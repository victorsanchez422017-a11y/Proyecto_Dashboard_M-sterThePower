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master\"/>
    </mc:Choice>
  </mc:AlternateContent>
  <xr:revisionPtr revIDLastSave="0" documentId="13_ncr:1_{167650DD-A164-4F06-A88C-2A35741370DC}" xr6:coauthVersionLast="47" xr6:coauthVersionMax="47" xr10:uidLastSave="{00000000-0000-0000-0000-000000000000}"/>
  <bookViews>
    <workbookView xWindow="0" yWindow="0" windowWidth="23040" windowHeight="12240" firstSheet="2" activeTab="5" xr2:uid="{1485BD25-BE3A-4974-BE8D-07CB639C2B58}"/>
  </bookViews>
  <sheets>
    <sheet name="KNICKS_DATASET" sheetId="1" r:id="rId1"/>
    <sheet name="KNICKS_TABLA_BRUTO" sheetId="4" r:id="rId2"/>
    <sheet name="KNICKS_TABLA_LIMPIA_20_to_24" sheetId="3" r:id="rId3"/>
    <sheet name="EVOLUCIÓN_FRANQUICIA" sheetId="6" r:id="rId4"/>
    <sheet name="TABLAS_DINÁMICAS" sheetId="5" r:id="rId5"/>
    <sheet name="DASHBOARD" sheetId="7" r:id="rId6"/>
  </sheets>
  <definedNames>
    <definedName name="DatosExternos_1" localSheetId="1" hidden="1">KNICKS_TABLA_BRUTO!$A$1:$AB$1219</definedName>
    <definedName name="DatosExternos_1" localSheetId="2" hidden="1">KNICKS_TABLA_LIMPIA_20_to_24!$A$1:$AQ$409</definedName>
    <definedName name="SegmentaciónDeDatos_SEASON">#N/A</definedName>
    <definedName name="SegmentaciónDeDatos_SEASON1">#N/A</definedName>
    <definedName name="SegmentaciónDeDatos_SEASON2">#N/A</definedName>
    <definedName name="SegmentaciónDeDatos_SEASON3">#N/A</definedName>
    <definedName name="SegmentaciónDeDatos_SEASON4">#N/A</definedName>
    <definedName name="SegmentaciónDeDatos_SEASON5">#N/A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5" l="1" a="1"/>
  <c r="B27" i="5" s="1"/>
  <c r="F27" i="5" s="1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9" i="5"/>
  <c r="L59" i="5"/>
  <c r="I60" i="5"/>
  <c r="J60" i="5"/>
  <c r="K60" i="5"/>
  <c r="L60" i="5"/>
  <c r="M60" i="5"/>
  <c r="I61" i="5"/>
  <c r="J61" i="5"/>
  <c r="K61" i="5"/>
  <c r="L61" i="5"/>
  <c r="M61" i="5"/>
  <c r="I62" i="5"/>
  <c r="J62" i="5"/>
  <c r="K62" i="5"/>
  <c r="L62" i="5"/>
  <c r="M62" i="5"/>
  <c r="I63" i="5"/>
  <c r="J63" i="5"/>
  <c r="K63" i="5"/>
  <c r="L63" i="5"/>
  <c r="M63" i="5"/>
  <c r="I64" i="5"/>
  <c r="J64" i="5"/>
  <c r="K64" i="5"/>
  <c r="L64" i="5"/>
  <c r="M64" i="5"/>
  <c r="I65" i="5"/>
  <c r="J65" i="5"/>
  <c r="K65" i="5"/>
  <c r="L65" i="5"/>
  <c r="M65" i="5"/>
  <c r="I66" i="5"/>
  <c r="J66" i="5"/>
  <c r="K66" i="5"/>
  <c r="L66" i="5"/>
  <c r="M66" i="5"/>
  <c r="J38" i="5"/>
  <c r="I38" i="5"/>
  <c r="G5" i="5"/>
  <c r="F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31" i="5"/>
  <c r="G32" i="5"/>
  <c r="G33" i="5"/>
  <c r="G34" i="5"/>
  <c r="G35" i="5"/>
  <c r="G36" i="5"/>
  <c r="G37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9" i="5"/>
  <c r="F31" i="5"/>
  <c r="F32" i="5"/>
  <c r="F33" i="5"/>
  <c r="F34" i="5"/>
  <c r="F35" i="5"/>
  <c r="F36" i="5"/>
  <c r="F37" i="5"/>
  <c r="F41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6" i="5"/>
  <c r="K2" i="6"/>
  <c r="K3" i="6"/>
  <c r="M3" i="6" s="1"/>
  <c r="K4" i="6"/>
  <c r="K5" i="6"/>
  <c r="K6" i="6"/>
  <c r="K7" i="6"/>
  <c r="K8" i="6"/>
  <c r="K9" i="6"/>
  <c r="K10" i="6"/>
  <c r="K11" i="6"/>
  <c r="K12" i="6"/>
  <c r="K13" i="6"/>
  <c r="K14" i="6"/>
  <c r="K15" i="6"/>
  <c r="M15" i="6" s="1"/>
  <c r="K16" i="6"/>
  <c r="K17" i="6"/>
  <c r="M17" i="6" s="1"/>
  <c r="K18" i="6"/>
  <c r="K19" i="6"/>
  <c r="K20" i="6"/>
  <c r="M20" i="6" s="1"/>
  <c r="K21" i="6"/>
  <c r="K22" i="6"/>
  <c r="K23" i="6"/>
  <c r="O259" i="3"/>
  <c r="O59" i="3"/>
  <c r="O108" i="3"/>
  <c r="O260" i="3"/>
  <c r="O13" i="3"/>
  <c r="O196" i="3"/>
  <c r="O137" i="3"/>
  <c r="O33" i="3"/>
  <c r="O31" i="3"/>
  <c r="O277" i="3"/>
  <c r="O218" i="3"/>
  <c r="O374" i="3"/>
  <c r="O328" i="3"/>
  <c r="O368" i="3"/>
  <c r="O354" i="3"/>
  <c r="O376" i="3"/>
  <c r="O202" i="3"/>
  <c r="O215" i="3"/>
  <c r="O46" i="3"/>
  <c r="O5" i="3"/>
  <c r="O96" i="3"/>
  <c r="O211" i="3"/>
  <c r="O69" i="3"/>
  <c r="O325" i="3"/>
  <c r="O240" i="3"/>
  <c r="O91" i="3"/>
  <c r="O363" i="3"/>
  <c r="O371" i="3"/>
  <c r="O393" i="3"/>
  <c r="O378" i="3"/>
  <c r="O87" i="3"/>
  <c r="O128" i="3"/>
  <c r="O32" i="3"/>
  <c r="O255" i="3"/>
  <c r="O19" i="3"/>
  <c r="O30" i="3"/>
  <c r="O257" i="3"/>
  <c r="O216" i="3"/>
  <c r="O276" i="3"/>
  <c r="O301" i="3"/>
  <c r="O334" i="3"/>
  <c r="O157" i="3"/>
  <c r="O357" i="3"/>
  <c r="O2" i="3"/>
  <c r="O145" i="3"/>
  <c r="O141" i="3"/>
  <c r="O291" i="3"/>
  <c r="O176" i="3"/>
  <c r="O136" i="3"/>
  <c r="O24" i="3"/>
  <c r="O341" i="3"/>
  <c r="O204" i="3"/>
  <c r="O140" i="3"/>
  <c r="O25" i="3"/>
  <c r="O282" i="3"/>
  <c r="O254" i="3"/>
  <c r="O167" i="3"/>
  <c r="O345" i="3"/>
  <c r="O126" i="3"/>
  <c r="O310" i="3"/>
  <c r="O273" i="3"/>
  <c r="O314" i="3"/>
  <c r="O111" i="3"/>
  <c r="O229" i="3"/>
  <c r="O398" i="3"/>
  <c r="O4" i="3"/>
  <c r="O129" i="3"/>
  <c r="O37" i="3"/>
  <c r="O323" i="3"/>
  <c r="O296" i="3"/>
  <c r="O165" i="3"/>
  <c r="O116" i="3"/>
  <c r="O213" i="3"/>
  <c r="O275" i="3"/>
  <c r="O133" i="3"/>
  <c r="O312" i="3"/>
  <c r="O313" i="3"/>
  <c r="O385" i="3"/>
  <c r="O201" i="3"/>
  <c r="O214" i="3"/>
  <c r="O281" i="3"/>
  <c r="O342" i="3"/>
  <c r="O377" i="3"/>
  <c r="O409" i="3"/>
  <c r="O8" i="3"/>
  <c r="O49" i="3"/>
  <c r="O261" i="3"/>
  <c r="O89" i="3"/>
  <c r="O356" i="3"/>
  <c r="O60" i="3"/>
  <c r="O284" i="3"/>
  <c r="O233" i="3"/>
  <c r="O158" i="3"/>
  <c r="O123" i="3"/>
  <c r="O329" i="3"/>
  <c r="O188" i="3"/>
  <c r="O225" i="3"/>
  <c r="O340" i="3"/>
  <c r="O239" i="3"/>
  <c r="O265" i="3"/>
  <c r="O270" i="3"/>
  <c r="O134" i="3"/>
  <c r="O355" i="3"/>
  <c r="O143" i="3"/>
  <c r="O256" i="3"/>
  <c r="O18" i="3"/>
  <c r="O109" i="3"/>
  <c r="O35" i="3"/>
  <c r="O47" i="3"/>
  <c r="O238" i="3"/>
  <c r="O177" i="3"/>
  <c r="O283" i="3"/>
  <c r="O194" i="3"/>
  <c r="O160" i="3"/>
  <c r="O228" i="3"/>
  <c r="O394" i="3"/>
  <c r="O365" i="3"/>
  <c r="O380" i="3"/>
  <c r="O124" i="3"/>
  <c r="O22" i="3"/>
  <c r="O197" i="3"/>
  <c r="O28" i="3"/>
  <c r="O81" i="3"/>
  <c r="O306" i="3"/>
  <c r="O144" i="3"/>
  <c r="O102" i="3"/>
  <c r="O235" i="3"/>
  <c r="O288" i="3"/>
  <c r="O391" i="3"/>
  <c r="O245" i="3"/>
  <c r="O138" i="3"/>
  <c r="O297" i="3"/>
  <c r="O373" i="3"/>
  <c r="O181" i="3"/>
  <c r="O112" i="3"/>
  <c r="O182" i="3"/>
  <c r="O43" i="3"/>
  <c r="O36" i="3"/>
  <c r="O6" i="3"/>
  <c r="O118" i="3"/>
  <c r="O155" i="3"/>
  <c r="O101" i="3"/>
  <c r="O386" i="3"/>
  <c r="O187" i="3"/>
  <c r="O382" i="3"/>
  <c r="O175" i="3"/>
  <c r="O308" i="3"/>
  <c r="O300" i="3"/>
  <c r="O317" i="3"/>
  <c r="O258" i="3"/>
  <c r="O390" i="3"/>
  <c r="O388" i="3"/>
  <c r="O205" i="3"/>
  <c r="O392" i="3"/>
  <c r="O304" i="3"/>
  <c r="O406" i="3"/>
  <c r="O51" i="3"/>
  <c r="O200" i="3"/>
  <c r="O114" i="3"/>
  <c r="O152" i="3"/>
  <c r="O166" i="3"/>
  <c r="O50" i="3"/>
  <c r="O12" i="3"/>
  <c r="O180" i="3"/>
  <c r="O45" i="3"/>
  <c r="O58" i="3"/>
  <c r="O64" i="3"/>
  <c r="O131" i="3"/>
  <c r="O159" i="3"/>
  <c r="O120" i="3"/>
  <c r="O285" i="3"/>
  <c r="O286" i="3"/>
  <c r="O352" i="3"/>
  <c r="O319" i="3"/>
  <c r="O389" i="3"/>
  <c r="O383" i="3"/>
  <c r="O90" i="3"/>
  <c r="O76" i="3"/>
  <c r="O3" i="3"/>
  <c r="O16" i="3"/>
  <c r="O150" i="3"/>
  <c r="O147" i="3"/>
  <c r="O139" i="3"/>
  <c r="O75" i="3"/>
  <c r="O271" i="3"/>
  <c r="O174" i="3"/>
  <c r="O106" i="3"/>
  <c r="O268" i="3"/>
  <c r="O318" i="3"/>
  <c r="O302" i="3"/>
  <c r="O217" i="3"/>
  <c r="O333" i="3"/>
  <c r="O267" i="3"/>
  <c r="O338" i="3"/>
  <c r="O290" i="3"/>
  <c r="O396" i="3"/>
  <c r="O52" i="3"/>
  <c r="O246" i="3"/>
  <c r="O207" i="3"/>
  <c r="O10" i="3"/>
  <c r="O100" i="3"/>
  <c r="O92" i="3"/>
  <c r="O83" i="3"/>
  <c r="O361" i="3"/>
  <c r="O350" i="3"/>
  <c r="O29" i="3"/>
  <c r="O279" i="3"/>
  <c r="O198" i="3"/>
  <c r="O343" i="3"/>
  <c r="O122" i="3"/>
  <c r="O127" i="3"/>
  <c r="O369" i="3"/>
  <c r="O403" i="3"/>
  <c r="O93" i="3"/>
  <c r="O130" i="3"/>
  <c r="O236" i="3"/>
  <c r="O85" i="3"/>
  <c r="O17" i="3"/>
  <c r="O331" i="3"/>
  <c r="O66" i="3"/>
  <c r="O332" i="3"/>
  <c r="O353" i="3"/>
  <c r="O153" i="3"/>
  <c r="O322" i="3"/>
  <c r="O73" i="3"/>
  <c r="O335" i="3"/>
  <c r="O253" i="3"/>
  <c r="O307" i="3"/>
  <c r="O224" i="3"/>
  <c r="O293" i="3"/>
  <c r="O316" i="3"/>
  <c r="O407" i="3"/>
  <c r="O71" i="3"/>
  <c r="O209" i="3"/>
  <c r="O210" i="3"/>
  <c r="O79" i="3"/>
  <c r="O311" i="3"/>
  <c r="O14" i="3"/>
  <c r="O163" i="3"/>
  <c r="O55" i="3"/>
  <c r="O146" i="3"/>
  <c r="O61" i="3"/>
  <c r="O262" i="3"/>
  <c r="O349" i="3"/>
  <c r="O292" i="3"/>
  <c r="O367" i="3"/>
  <c r="O362" i="3"/>
  <c r="O232" i="3"/>
  <c r="O364" i="3"/>
  <c r="O399" i="3"/>
  <c r="O72" i="3"/>
  <c r="O54" i="3"/>
  <c r="O219" i="3"/>
  <c r="O161" i="3"/>
  <c r="O65" i="3"/>
  <c r="O27" i="3"/>
  <c r="O192" i="3"/>
  <c r="O63" i="3"/>
  <c r="O67" i="3"/>
  <c r="O162" i="3"/>
  <c r="O142" i="3"/>
  <c r="O148" i="3"/>
  <c r="O77" i="3"/>
  <c r="O223" i="3"/>
  <c r="O244" i="3"/>
  <c r="O99" i="3"/>
  <c r="O193" i="3"/>
  <c r="O170" i="3"/>
  <c r="O241" i="3"/>
  <c r="O266" i="3"/>
  <c r="O39" i="3"/>
  <c r="O185" i="3"/>
  <c r="O178" i="3"/>
  <c r="O125" i="3"/>
  <c r="O40" i="3"/>
  <c r="O237" i="3"/>
  <c r="O94" i="3"/>
  <c r="O206" i="3"/>
  <c r="O247" i="3"/>
  <c r="O104" i="3"/>
  <c r="O179" i="3"/>
  <c r="O231" i="3"/>
  <c r="O387" i="3"/>
  <c r="O384" i="3"/>
  <c r="O344" i="3"/>
  <c r="O337" i="3"/>
  <c r="O82" i="3"/>
  <c r="O34" i="3"/>
  <c r="O173" i="3"/>
  <c r="O183" i="3"/>
  <c r="O107" i="3"/>
  <c r="O105" i="3"/>
  <c r="O171" i="3"/>
  <c r="O23" i="3"/>
  <c r="O189" i="3"/>
  <c r="O269" i="3"/>
  <c r="O221" i="3"/>
  <c r="O164" i="3"/>
  <c r="O119" i="3"/>
  <c r="O358" i="3"/>
  <c r="O326" i="3"/>
  <c r="O191" i="3"/>
  <c r="O172" i="3"/>
  <c r="O195" i="3"/>
  <c r="O86" i="3"/>
  <c r="O26" i="3"/>
  <c r="O154" i="3"/>
  <c r="O121" i="3"/>
  <c r="O103" i="3"/>
  <c r="O15" i="3"/>
  <c r="O251" i="3"/>
  <c r="O48" i="3"/>
  <c r="O186" i="3"/>
  <c r="O243" i="3"/>
  <c r="O70" i="3"/>
  <c r="O263" i="3"/>
  <c r="O274" i="3"/>
  <c r="O289" i="3"/>
  <c r="O156" i="3"/>
  <c r="O298" i="3"/>
  <c r="O117" i="3"/>
  <c r="O250" i="3"/>
  <c r="O408" i="3"/>
  <c r="O11" i="3"/>
  <c r="O38" i="3"/>
  <c r="O74" i="3"/>
  <c r="O305" i="3"/>
  <c r="O110" i="3"/>
  <c r="O272" i="3"/>
  <c r="O264" i="3"/>
  <c r="O168" i="3"/>
  <c r="O68" i="3"/>
  <c r="O135" i="3"/>
  <c r="O132" i="3"/>
  <c r="O327" i="3"/>
  <c r="O330" i="3"/>
  <c r="O375" i="3"/>
  <c r="O295" i="3"/>
  <c r="O227" i="3"/>
  <c r="O359" i="3"/>
  <c r="O381" i="3"/>
  <c r="O372" i="3"/>
  <c r="O20" i="3"/>
  <c r="O309" i="3"/>
  <c r="O78" i="3"/>
  <c r="O44" i="3"/>
  <c r="O80" i="3"/>
  <c r="O56" i="3"/>
  <c r="O57" i="3"/>
  <c r="O113" i="3"/>
  <c r="O212" i="3"/>
  <c r="O242" i="3"/>
  <c r="O287" i="3"/>
  <c r="O315" i="3"/>
  <c r="O278" i="3"/>
  <c r="O234" i="3"/>
  <c r="O360" i="3"/>
  <c r="O320" i="3"/>
  <c r="O339" i="3"/>
  <c r="O220" i="3"/>
  <c r="O346" i="3"/>
  <c r="O400" i="3"/>
  <c r="O321" i="3"/>
  <c r="O404" i="3"/>
  <c r="O405" i="3"/>
  <c r="O41" i="3"/>
  <c r="O9" i="3"/>
  <c r="O53" i="3"/>
  <c r="O248" i="3"/>
  <c r="O62" i="3"/>
  <c r="O84" i="3"/>
  <c r="O115" i="3"/>
  <c r="O190" i="3"/>
  <c r="O230" i="3"/>
  <c r="O324" i="3"/>
  <c r="O222" i="3"/>
  <c r="O149" i="3"/>
  <c r="O184" i="3"/>
  <c r="O203" i="3"/>
  <c r="O379" i="3"/>
  <c r="O395" i="3"/>
  <c r="O370" i="3"/>
  <c r="O7" i="3"/>
  <c r="O21" i="3"/>
  <c r="O95" i="3"/>
  <c r="O42" i="3"/>
  <c r="O88" i="3"/>
  <c r="O98" i="3"/>
  <c r="O169" i="3"/>
  <c r="O97" i="3"/>
  <c r="O294" i="3"/>
  <c r="O208" i="3"/>
  <c r="O151" i="3"/>
  <c r="O249" i="3"/>
  <c r="O199" i="3"/>
  <c r="O303" i="3"/>
  <c r="O252" i="3"/>
  <c r="O347" i="3"/>
  <c r="O280" i="3"/>
  <c r="O336" i="3"/>
  <c r="O348" i="3"/>
  <c r="O299" i="3"/>
  <c r="O226" i="3"/>
  <c r="O351" i="3"/>
  <c r="O366" i="3"/>
  <c r="O401" i="3"/>
  <c r="O402" i="3"/>
  <c r="O397" i="3"/>
  <c r="M259" i="3"/>
  <c r="M59" i="3"/>
  <c r="M108" i="3"/>
  <c r="M260" i="3"/>
  <c r="M13" i="3"/>
  <c r="M196" i="3"/>
  <c r="M137" i="3"/>
  <c r="M33" i="3"/>
  <c r="M31" i="3"/>
  <c r="M277" i="3"/>
  <c r="M218" i="3"/>
  <c r="M374" i="3"/>
  <c r="M328" i="3"/>
  <c r="M368" i="3"/>
  <c r="M354" i="3"/>
  <c r="M376" i="3"/>
  <c r="M202" i="3"/>
  <c r="M215" i="3"/>
  <c r="M46" i="3"/>
  <c r="M5" i="3"/>
  <c r="M96" i="3"/>
  <c r="M211" i="3"/>
  <c r="M69" i="3"/>
  <c r="M325" i="3"/>
  <c r="M240" i="3"/>
  <c r="M91" i="3"/>
  <c r="M363" i="3"/>
  <c r="M371" i="3"/>
  <c r="M393" i="3"/>
  <c r="M378" i="3"/>
  <c r="M87" i="3"/>
  <c r="M128" i="3"/>
  <c r="M32" i="3"/>
  <c r="M255" i="3"/>
  <c r="M19" i="3"/>
  <c r="M30" i="3"/>
  <c r="M257" i="3"/>
  <c r="M216" i="3"/>
  <c r="M276" i="3"/>
  <c r="M301" i="3"/>
  <c r="M334" i="3"/>
  <c r="M157" i="3"/>
  <c r="M357" i="3"/>
  <c r="M2" i="3"/>
  <c r="M145" i="3"/>
  <c r="M141" i="3"/>
  <c r="M291" i="3"/>
  <c r="M176" i="3"/>
  <c r="M136" i="3"/>
  <c r="M24" i="3"/>
  <c r="M341" i="3"/>
  <c r="M204" i="3"/>
  <c r="M140" i="3"/>
  <c r="M25" i="3"/>
  <c r="M282" i="3"/>
  <c r="M254" i="3"/>
  <c r="M167" i="3"/>
  <c r="M345" i="3"/>
  <c r="M126" i="3"/>
  <c r="M310" i="3"/>
  <c r="M273" i="3"/>
  <c r="M314" i="3"/>
  <c r="M111" i="3"/>
  <c r="M229" i="3"/>
  <c r="M398" i="3"/>
  <c r="M4" i="3"/>
  <c r="M129" i="3"/>
  <c r="M37" i="3"/>
  <c r="M323" i="3"/>
  <c r="M296" i="3"/>
  <c r="M165" i="3"/>
  <c r="M116" i="3"/>
  <c r="M213" i="3"/>
  <c r="M275" i="3"/>
  <c r="M133" i="3"/>
  <c r="M312" i="3"/>
  <c r="M313" i="3"/>
  <c r="M385" i="3"/>
  <c r="M201" i="3"/>
  <c r="M214" i="3"/>
  <c r="M281" i="3"/>
  <c r="M342" i="3"/>
  <c r="M377" i="3"/>
  <c r="M409" i="3"/>
  <c r="M8" i="3"/>
  <c r="M49" i="3"/>
  <c r="M261" i="3"/>
  <c r="M89" i="3"/>
  <c r="M356" i="3"/>
  <c r="M60" i="3"/>
  <c r="M284" i="3"/>
  <c r="M233" i="3"/>
  <c r="M158" i="3"/>
  <c r="M123" i="3"/>
  <c r="M329" i="3"/>
  <c r="M188" i="3"/>
  <c r="M225" i="3"/>
  <c r="M340" i="3"/>
  <c r="M239" i="3"/>
  <c r="M265" i="3"/>
  <c r="M270" i="3"/>
  <c r="M134" i="3"/>
  <c r="M355" i="3"/>
  <c r="M143" i="3"/>
  <c r="M256" i="3"/>
  <c r="M18" i="3"/>
  <c r="M109" i="3"/>
  <c r="M35" i="3"/>
  <c r="M47" i="3"/>
  <c r="M238" i="3"/>
  <c r="M177" i="3"/>
  <c r="M283" i="3"/>
  <c r="M194" i="3"/>
  <c r="M160" i="3"/>
  <c r="M228" i="3"/>
  <c r="M394" i="3"/>
  <c r="M365" i="3"/>
  <c r="M380" i="3"/>
  <c r="M124" i="3"/>
  <c r="M22" i="3"/>
  <c r="M197" i="3"/>
  <c r="M28" i="3"/>
  <c r="M81" i="3"/>
  <c r="M306" i="3"/>
  <c r="M144" i="3"/>
  <c r="M102" i="3"/>
  <c r="M235" i="3"/>
  <c r="M288" i="3"/>
  <c r="M391" i="3"/>
  <c r="M245" i="3"/>
  <c r="M138" i="3"/>
  <c r="M297" i="3"/>
  <c r="M373" i="3"/>
  <c r="M181" i="3"/>
  <c r="M112" i="3"/>
  <c r="M182" i="3"/>
  <c r="M43" i="3"/>
  <c r="M36" i="3"/>
  <c r="M6" i="3"/>
  <c r="M118" i="3"/>
  <c r="M155" i="3"/>
  <c r="M101" i="3"/>
  <c r="M386" i="3"/>
  <c r="M187" i="3"/>
  <c r="M382" i="3"/>
  <c r="M175" i="3"/>
  <c r="M308" i="3"/>
  <c r="M300" i="3"/>
  <c r="M317" i="3"/>
  <c r="M258" i="3"/>
  <c r="M390" i="3"/>
  <c r="M388" i="3"/>
  <c r="M205" i="3"/>
  <c r="M392" i="3"/>
  <c r="M304" i="3"/>
  <c r="M406" i="3"/>
  <c r="M51" i="3"/>
  <c r="M200" i="3"/>
  <c r="M114" i="3"/>
  <c r="M152" i="3"/>
  <c r="M166" i="3"/>
  <c r="M50" i="3"/>
  <c r="M12" i="3"/>
  <c r="M180" i="3"/>
  <c r="M45" i="3"/>
  <c r="M58" i="3"/>
  <c r="M64" i="3"/>
  <c r="M131" i="3"/>
  <c r="M159" i="3"/>
  <c r="M120" i="3"/>
  <c r="M285" i="3"/>
  <c r="M286" i="3"/>
  <c r="M352" i="3"/>
  <c r="M319" i="3"/>
  <c r="M389" i="3"/>
  <c r="M383" i="3"/>
  <c r="M90" i="3"/>
  <c r="M76" i="3"/>
  <c r="M3" i="3"/>
  <c r="M16" i="3"/>
  <c r="M150" i="3"/>
  <c r="M147" i="3"/>
  <c r="M139" i="3"/>
  <c r="M75" i="3"/>
  <c r="M271" i="3"/>
  <c r="M174" i="3"/>
  <c r="M106" i="3"/>
  <c r="M268" i="3"/>
  <c r="M318" i="3"/>
  <c r="M302" i="3"/>
  <c r="M217" i="3"/>
  <c r="M333" i="3"/>
  <c r="M267" i="3"/>
  <c r="M338" i="3"/>
  <c r="M290" i="3"/>
  <c r="M396" i="3"/>
  <c r="M52" i="3"/>
  <c r="M246" i="3"/>
  <c r="M207" i="3"/>
  <c r="M10" i="3"/>
  <c r="M100" i="3"/>
  <c r="M92" i="3"/>
  <c r="M83" i="3"/>
  <c r="M361" i="3"/>
  <c r="M350" i="3"/>
  <c r="M29" i="3"/>
  <c r="M279" i="3"/>
  <c r="M198" i="3"/>
  <c r="M343" i="3"/>
  <c r="M122" i="3"/>
  <c r="M127" i="3"/>
  <c r="M369" i="3"/>
  <c r="M403" i="3"/>
  <c r="M93" i="3"/>
  <c r="M130" i="3"/>
  <c r="M236" i="3"/>
  <c r="M85" i="3"/>
  <c r="M17" i="3"/>
  <c r="M331" i="3"/>
  <c r="M66" i="3"/>
  <c r="M332" i="3"/>
  <c r="M353" i="3"/>
  <c r="M153" i="3"/>
  <c r="M322" i="3"/>
  <c r="M73" i="3"/>
  <c r="M335" i="3"/>
  <c r="M253" i="3"/>
  <c r="M307" i="3"/>
  <c r="M224" i="3"/>
  <c r="M293" i="3"/>
  <c r="M316" i="3"/>
  <c r="M407" i="3"/>
  <c r="M71" i="3"/>
  <c r="M209" i="3"/>
  <c r="M210" i="3"/>
  <c r="M79" i="3"/>
  <c r="M311" i="3"/>
  <c r="M14" i="3"/>
  <c r="M163" i="3"/>
  <c r="M55" i="3"/>
  <c r="M146" i="3"/>
  <c r="M61" i="3"/>
  <c r="M262" i="3"/>
  <c r="M349" i="3"/>
  <c r="M292" i="3"/>
  <c r="M367" i="3"/>
  <c r="M362" i="3"/>
  <c r="M232" i="3"/>
  <c r="M364" i="3"/>
  <c r="M399" i="3"/>
  <c r="M72" i="3"/>
  <c r="M54" i="3"/>
  <c r="M219" i="3"/>
  <c r="M161" i="3"/>
  <c r="M65" i="3"/>
  <c r="M27" i="3"/>
  <c r="M192" i="3"/>
  <c r="M63" i="3"/>
  <c r="M67" i="3"/>
  <c r="M162" i="3"/>
  <c r="M142" i="3"/>
  <c r="M148" i="3"/>
  <c r="M77" i="3"/>
  <c r="M223" i="3"/>
  <c r="M244" i="3"/>
  <c r="M99" i="3"/>
  <c r="M193" i="3"/>
  <c r="M170" i="3"/>
  <c r="M241" i="3"/>
  <c r="M266" i="3"/>
  <c r="M39" i="3"/>
  <c r="M185" i="3"/>
  <c r="M178" i="3"/>
  <c r="M125" i="3"/>
  <c r="M40" i="3"/>
  <c r="M237" i="3"/>
  <c r="M94" i="3"/>
  <c r="M206" i="3"/>
  <c r="M247" i="3"/>
  <c r="M104" i="3"/>
  <c r="M179" i="3"/>
  <c r="M231" i="3"/>
  <c r="M387" i="3"/>
  <c r="M384" i="3"/>
  <c r="M344" i="3"/>
  <c r="M337" i="3"/>
  <c r="M82" i="3"/>
  <c r="M34" i="3"/>
  <c r="M173" i="3"/>
  <c r="M183" i="3"/>
  <c r="M107" i="3"/>
  <c r="M105" i="3"/>
  <c r="M171" i="3"/>
  <c r="M23" i="3"/>
  <c r="M189" i="3"/>
  <c r="M269" i="3"/>
  <c r="M221" i="3"/>
  <c r="M164" i="3"/>
  <c r="M119" i="3"/>
  <c r="M358" i="3"/>
  <c r="M326" i="3"/>
  <c r="M191" i="3"/>
  <c r="M172" i="3"/>
  <c r="M195" i="3"/>
  <c r="M86" i="3"/>
  <c r="M26" i="3"/>
  <c r="M154" i="3"/>
  <c r="M121" i="3"/>
  <c r="M103" i="3"/>
  <c r="M15" i="3"/>
  <c r="M251" i="3"/>
  <c r="M48" i="3"/>
  <c r="M186" i="3"/>
  <c r="M243" i="3"/>
  <c r="M70" i="3"/>
  <c r="M263" i="3"/>
  <c r="M274" i="3"/>
  <c r="M289" i="3"/>
  <c r="M156" i="3"/>
  <c r="M298" i="3"/>
  <c r="M117" i="3"/>
  <c r="M250" i="3"/>
  <c r="M408" i="3"/>
  <c r="M11" i="3"/>
  <c r="M38" i="3"/>
  <c r="M74" i="3"/>
  <c r="M305" i="3"/>
  <c r="M110" i="3"/>
  <c r="M272" i="3"/>
  <c r="M264" i="3"/>
  <c r="M168" i="3"/>
  <c r="M68" i="3"/>
  <c r="M135" i="3"/>
  <c r="M132" i="3"/>
  <c r="M327" i="3"/>
  <c r="M330" i="3"/>
  <c r="M375" i="3"/>
  <c r="M295" i="3"/>
  <c r="M227" i="3"/>
  <c r="M359" i="3"/>
  <c r="M381" i="3"/>
  <c r="M372" i="3"/>
  <c r="M20" i="3"/>
  <c r="M309" i="3"/>
  <c r="M78" i="3"/>
  <c r="M44" i="3"/>
  <c r="M80" i="3"/>
  <c r="M56" i="3"/>
  <c r="M57" i="3"/>
  <c r="M113" i="3"/>
  <c r="M212" i="3"/>
  <c r="M242" i="3"/>
  <c r="M287" i="3"/>
  <c r="M315" i="3"/>
  <c r="M278" i="3"/>
  <c r="M234" i="3"/>
  <c r="M360" i="3"/>
  <c r="M320" i="3"/>
  <c r="M339" i="3"/>
  <c r="M220" i="3"/>
  <c r="M346" i="3"/>
  <c r="M400" i="3"/>
  <c r="M321" i="3"/>
  <c r="M404" i="3"/>
  <c r="M405" i="3"/>
  <c r="M41" i="3"/>
  <c r="M9" i="3"/>
  <c r="M53" i="3"/>
  <c r="M248" i="3"/>
  <c r="M62" i="3"/>
  <c r="M84" i="3"/>
  <c r="M115" i="3"/>
  <c r="M190" i="3"/>
  <c r="M230" i="3"/>
  <c r="M324" i="3"/>
  <c r="M222" i="3"/>
  <c r="M149" i="3"/>
  <c r="M184" i="3"/>
  <c r="M203" i="3"/>
  <c r="M379" i="3"/>
  <c r="M395" i="3"/>
  <c r="M370" i="3"/>
  <c r="M7" i="3"/>
  <c r="M21" i="3"/>
  <c r="M95" i="3"/>
  <c r="M42" i="3"/>
  <c r="M88" i="3"/>
  <c r="M98" i="3"/>
  <c r="M169" i="3"/>
  <c r="M97" i="3"/>
  <c r="M294" i="3"/>
  <c r="M208" i="3"/>
  <c r="M151" i="3"/>
  <c r="M249" i="3"/>
  <c r="M199" i="3"/>
  <c r="M303" i="3"/>
  <c r="M252" i="3"/>
  <c r="M347" i="3"/>
  <c r="M280" i="3"/>
  <c r="M336" i="3"/>
  <c r="M348" i="3"/>
  <c r="M299" i="3"/>
  <c r="M226" i="3"/>
  <c r="M351" i="3"/>
  <c r="M366" i="3"/>
  <c r="M401" i="3"/>
  <c r="M402" i="3"/>
  <c r="M397" i="3"/>
  <c r="D5" i="6"/>
  <c r="B3" i="6"/>
  <c r="F13" i="6"/>
  <c r="O23" i="6"/>
  <c r="L23" i="6"/>
  <c r="F23" i="6"/>
  <c r="E23" i="6"/>
  <c r="D23" i="6"/>
  <c r="B23" i="6"/>
  <c r="O22" i="6"/>
  <c r="L22" i="6"/>
  <c r="F22" i="6"/>
  <c r="E22" i="6"/>
  <c r="D22" i="6"/>
  <c r="B22" i="6"/>
  <c r="O21" i="6"/>
  <c r="L21" i="6"/>
  <c r="F21" i="6"/>
  <c r="E21" i="6"/>
  <c r="D21" i="6"/>
  <c r="B21" i="6"/>
  <c r="O20" i="6"/>
  <c r="L20" i="6"/>
  <c r="F20" i="6"/>
  <c r="E20" i="6"/>
  <c r="D20" i="6"/>
  <c r="B20" i="6"/>
  <c r="O19" i="6"/>
  <c r="L19" i="6"/>
  <c r="F19" i="6"/>
  <c r="E19" i="6"/>
  <c r="D19" i="6"/>
  <c r="B19" i="6"/>
  <c r="O18" i="6"/>
  <c r="L18" i="6"/>
  <c r="F18" i="6"/>
  <c r="E18" i="6"/>
  <c r="D18" i="6"/>
  <c r="B18" i="6"/>
  <c r="O17" i="6"/>
  <c r="L17" i="6"/>
  <c r="F17" i="6"/>
  <c r="E17" i="6"/>
  <c r="D17" i="6"/>
  <c r="B17" i="6"/>
  <c r="O16" i="6"/>
  <c r="L16" i="6"/>
  <c r="F16" i="6"/>
  <c r="E16" i="6"/>
  <c r="G16" i="6" s="1"/>
  <c r="D16" i="6"/>
  <c r="B16" i="6"/>
  <c r="O15" i="6"/>
  <c r="L15" i="6"/>
  <c r="F15" i="6"/>
  <c r="E15" i="6"/>
  <c r="D15" i="6"/>
  <c r="B15" i="6"/>
  <c r="O14" i="6"/>
  <c r="L14" i="6"/>
  <c r="F14" i="6"/>
  <c r="E14" i="6"/>
  <c r="D14" i="6"/>
  <c r="B14" i="6"/>
  <c r="O13" i="6"/>
  <c r="L13" i="6"/>
  <c r="E13" i="6"/>
  <c r="D13" i="6"/>
  <c r="B13" i="6"/>
  <c r="O12" i="6"/>
  <c r="L12" i="6"/>
  <c r="F12" i="6"/>
  <c r="E12" i="6"/>
  <c r="D12" i="6"/>
  <c r="B12" i="6"/>
  <c r="O11" i="6"/>
  <c r="L11" i="6"/>
  <c r="F11" i="6"/>
  <c r="E11" i="6"/>
  <c r="D11" i="6"/>
  <c r="B11" i="6"/>
  <c r="O10" i="6"/>
  <c r="L10" i="6"/>
  <c r="F10" i="6"/>
  <c r="E10" i="6"/>
  <c r="D10" i="6"/>
  <c r="B10" i="6"/>
  <c r="O9" i="6"/>
  <c r="L9" i="6"/>
  <c r="F9" i="6"/>
  <c r="E9" i="6"/>
  <c r="D9" i="6"/>
  <c r="B9" i="6"/>
  <c r="O8" i="6"/>
  <c r="L8" i="6"/>
  <c r="F8" i="6"/>
  <c r="E8" i="6"/>
  <c r="D8" i="6"/>
  <c r="B8" i="6"/>
  <c r="O7" i="6"/>
  <c r="L7" i="6"/>
  <c r="F7" i="6"/>
  <c r="E7" i="6"/>
  <c r="D7" i="6"/>
  <c r="B7" i="6"/>
  <c r="O6" i="6"/>
  <c r="L6" i="6"/>
  <c r="M6" i="6" s="1"/>
  <c r="F6" i="6"/>
  <c r="E6" i="6"/>
  <c r="D6" i="6"/>
  <c r="B6" i="6"/>
  <c r="O5" i="6"/>
  <c r="L5" i="6"/>
  <c r="F5" i="6"/>
  <c r="E5" i="6"/>
  <c r="B5" i="6"/>
  <c r="O4" i="6"/>
  <c r="L4" i="6"/>
  <c r="F4" i="6"/>
  <c r="E4" i="6"/>
  <c r="D4" i="6"/>
  <c r="B4" i="6"/>
  <c r="O3" i="6"/>
  <c r="L3" i="6"/>
  <c r="F3" i="6"/>
  <c r="E3" i="6"/>
  <c r="D3" i="6"/>
  <c r="O2" i="6"/>
  <c r="L2" i="6"/>
  <c r="F2" i="6"/>
  <c r="E2" i="6"/>
  <c r="D2" i="6"/>
  <c r="B2" i="6"/>
  <c r="L259" i="3"/>
  <c r="Q259" i="3"/>
  <c r="T259" i="3"/>
  <c r="L59" i="3"/>
  <c r="Q59" i="3"/>
  <c r="T59" i="3"/>
  <c r="L108" i="3"/>
  <c r="Q108" i="3"/>
  <c r="T108" i="3"/>
  <c r="Q260" i="3"/>
  <c r="T260" i="3"/>
  <c r="Q13" i="3"/>
  <c r="T13" i="3"/>
  <c r="L196" i="3"/>
  <c r="Q196" i="3"/>
  <c r="T196" i="3"/>
  <c r="Q137" i="3"/>
  <c r="T137" i="3"/>
  <c r="Q33" i="3"/>
  <c r="T33" i="3"/>
  <c r="Q31" i="3"/>
  <c r="T31" i="3"/>
  <c r="L277" i="3"/>
  <c r="Q277" i="3"/>
  <c r="T277" i="3"/>
  <c r="Q218" i="3"/>
  <c r="T218" i="3"/>
  <c r="Q374" i="3"/>
  <c r="T374" i="3"/>
  <c r="L328" i="3"/>
  <c r="Q328" i="3"/>
  <c r="T328" i="3"/>
  <c r="L368" i="3"/>
  <c r="Q368" i="3"/>
  <c r="T368" i="3"/>
  <c r="L354" i="3"/>
  <c r="Q354" i="3"/>
  <c r="T354" i="3"/>
  <c r="L376" i="3"/>
  <c r="Q376" i="3"/>
  <c r="T376" i="3"/>
  <c r="L202" i="3"/>
  <c r="Q202" i="3"/>
  <c r="T202" i="3"/>
  <c r="Q215" i="3"/>
  <c r="T215" i="3"/>
  <c r="L46" i="3"/>
  <c r="Q46" i="3"/>
  <c r="T46" i="3"/>
  <c r="Q5" i="3"/>
  <c r="T5" i="3"/>
  <c r="L96" i="3"/>
  <c r="Q96" i="3"/>
  <c r="T96" i="3"/>
  <c r="Q211" i="3"/>
  <c r="T211" i="3"/>
  <c r="Q69" i="3"/>
  <c r="T69" i="3"/>
  <c r="L325" i="3"/>
  <c r="Q325" i="3"/>
  <c r="T325" i="3"/>
  <c r="L240" i="3"/>
  <c r="Q240" i="3"/>
  <c r="T240" i="3"/>
  <c r="L91" i="3"/>
  <c r="Q91" i="3"/>
  <c r="T91" i="3"/>
  <c r="L363" i="3"/>
  <c r="Q363" i="3"/>
  <c r="T363" i="3"/>
  <c r="L371" i="3"/>
  <c r="Q371" i="3"/>
  <c r="T371" i="3"/>
  <c r="L393" i="3"/>
  <c r="Q393" i="3"/>
  <c r="T393" i="3"/>
  <c r="Q378" i="3"/>
  <c r="T378" i="3"/>
  <c r="L87" i="3"/>
  <c r="Q87" i="3"/>
  <c r="T87" i="3"/>
  <c r="Q128" i="3"/>
  <c r="T128" i="3"/>
  <c r="L32" i="3"/>
  <c r="Q32" i="3"/>
  <c r="T32" i="3"/>
  <c r="Q255" i="3"/>
  <c r="T255" i="3"/>
  <c r="L19" i="3"/>
  <c r="Q19" i="3"/>
  <c r="T19" i="3"/>
  <c r="Q30" i="3"/>
  <c r="T30" i="3"/>
  <c r="L257" i="3"/>
  <c r="Q257" i="3"/>
  <c r="T257" i="3"/>
  <c r="L216" i="3"/>
  <c r="Q216" i="3"/>
  <c r="T216" i="3"/>
  <c r="L276" i="3"/>
  <c r="Q276" i="3"/>
  <c r="T276" i="3"/>
  <c r="L301" i="3"/>
  <c r="Q301" i="3"/>
  <c r="T301" i="3"/>
  <c r="L334" i="3"/>
  <c r="Q334" i="3"/>
  <c r="T334" i="3"/>
  <c r="Q157" i="3"/>
  <c r="T157" i="3"/>
  <c r="L357" i="3"/>
  <c r="Q357" i="3"/>
  <c r="T357" i="3"/>
  <c r="L2" i="3"/>
  <c r="Q2" i="3"/>
  <c r="T2" i="3"/>
  <c r="Q145" i="3"/>
  <c r="T145" i="3"/>
  <c r="Q141" i="3"/>
  <c r="T141" i="3"/>
  <c r="L291" i="3"/>
  <c r="Q291" i="3"/>
  <c r="T291" i="3"/>
  <c r="Q176" i="3"/>
  <c r="T176" i="3"/>
  <c r="L136" i="3"/>
  <c r="Q136" i="3"/>
  <c r="T136" i="3"/>
  <c r="Q24" i="3"/>
  <c r="T24" i="3"/>
  <c r="L341" i="3"/>
  <c r="Q341" i="3"/>
  <c r="T341" i="3"/>
  <c r="L204" i="3"/>
  <c r="Q204" i="3"/>
  <c r="T204" i="3"/>
  <c r="L140" i="3"/>
  <c r="Q140" i="3"/>
  <c r="T140" i="3"/>
  <c r="L25" i="3"/>
  <c r="Q25" i="3"/>
  <c r="T25" i="3"/>
  <c r="L282" i="3"/>
  <c r="Q282" i="3"/>
  <c r="T282" i="3"/>
  <c r="Q254" i="3"/>
  <c r="T254" i="3"/>
  <c r="L167" i="3"/>
  <c r="Q167" i="3"/>
  <c r="T167" i="3"/>
  <c r="Q345" i="3"/>
  <c r="T345" i="3"/>
  <c r="L126" i="3"/>
  <c r="Q126" i="3"/>
  <c r="T126" i="3"/>
  <c r="Q310" i="3"/>
  <c r="T310" i="3"/>
  <c r="L273" i="3"/>
  <c r="Q273" i="3"/>
  <c r="T273" i="3"/>
  <c r="L314" i="3"/>
  <c r="Q314" i="3"/>
  <c r="T314" i="3"/>
  <c r="Q111" i="3"/>
  <c r="T111" i="3"/>
  <c r="Q229" i="3"/>
  <c r="T229" i="3"/>
  <c r="Q398" i="3"/>
  <c r="T398" i="3"/>
  <c r="L4" i="3"/>
  <c r="Q4" i="3"/>
  <c r="T4" i="3"/>
  <c r="Q129" i="3"/>
  <c r="T129" i="3"/>
  <c r="Q37" i="3"/>
  <c r="T37" i="3"/>
  <c r="L323" i="3"/>
  <c r="Q323" i="3"/>
  <c r="T323" i="3"/>
  <c r="Q296" i="3"/>
  <c r="T296" i="3"/>
  <c r="Q165" i="3"/>
  <c r="T165" i="3"/>
  <c r="L116" i="3"/>
  <c r="Q116" i="3"/>
  <c r="T116" i="3"/>
  <c r="L213" i="3"/>
  <c r="Q213" i="3"/>
  <c r="T213" i="3"/>
  <c r="Q275" i="3"/>
  <c r="T275" i="3"/>
  <c r="L133" i="3"/>
  <c r="Q133" i="3"/>
  <c r="T133" i="3"/>
  <c r="Q312" i="3"/>
  <c r="T312" i="3"/>
  <c r="Q313" i="3"/>
  <c r="T313" i="3"/>
  <c r="L385" i="3"/>
  <c r="Q385" i="3"/>
  <c r="T385" i="3"/>
  <c r="Q201" i="3"/>
  <c r="T201" i="3"/>
  <c r="L214" i="3"/>
  <c r="Q214" i="3"/>
  <c r="T214" i="3"/>
  <c r="L281" i="3"/>
  <c r="Q281" i="3"/>
  <c r="T281" i="3"/>
  <c r="L342" i="3"/>
  <c r="Q342" i="3"/>
  <c r="T342" i="3"/>
  <c r="Q377" i="3"/>
  <c r="T377" i="3"/>
  <c r="L409" i="3"/>
  <c r="Q409" i="3"/>
  <c r="T409" i="3"/>
  <c r="L8" i="3"/>
  <c r="Q8" i="3"/>
  <c r="T8" i="3"/>
  <c r="Q49" i="3"/>
  <c r="T49" i="3"/>
  <c r="Q261" i="3"/>
  <c r="T261" i="3"/>
  <c r="L89" i="3"/>
  <c r="Q89" i="3"/>
  <c r="T89" i="3"/>
  <c r="Q356" i="3"/>
  <c r="T356" i="3"/>
  <c r="L60" i="3"/>
  <c r="Q60" i="3"/>
  <c r="T60" i="3"/>
  <c r="L284" i="3"/>
  <c r="Q284" i="3"/>
  <c r="T284" i="3"/>
  <c r="Q233" i="3"/>
  <c r="T233" i="3"/>
  <c r="Q158" i="3"/>
  <c r="T158" i="3"/>
  <c r="L123" i="3"/>
  <c r="Q123" i="3"/>
  <c r="T123" i="3"/>
  <c r="L329" i="3"/>
  <c r="Q329" i="3"/>
  <c r="T329" i="3"/>
  <c r="L188" i="3"/>
  <c r="Q188" i="3"/>
  <c r="T188" i="3"/>
  <c r="L225" i="3"/>
  <c r="Q225" i="3"/>
  <c r="T225" i="3"/>
  <c r="Q340" i="3"/>
  <c r="T340" i="3"/>
  <c r="Q239" i="3"/>
  <c r="T239" i="3"/>
  <c r="Q265" i="3"/>
  <c r="T265" i="3"/>
  <c r="Q270" i="3"/>
  <c r="T270" i="3"/>
  <c r="L134" i="3"/>
  <c r="Q134" i="3"/>
  <c r="T134" i="3"/>
  <c r="Q355" i="3"/>
  <c r="T355" i="3"/>
  <c r="L143" i="3"/>
  <c r="Q143" i="3"/>
  <c r="T143" i="3"/>
  <c r="Q256" i="3"/>
  <c r="T256" i="3"/>
  <c r="L18" i="3"/>
  <c r="Q18" i="3"/>
  <c r="T18" i="3"/>
  <c r="Q109" i="3"/>
  <c r="T109" i="3"/>
  <c r="Q35" i="3"/>
  <c r="T35" i="3"/>
  <c r="L47" i="3"/>
  <c r="Q47" i="3"/>
  <c r="T47" i="3"/>
  <c r="Q238" i="3"/>
  <c r="T238" i="3"/>
  <c r="L177" i="3"/>
  <c r="Q177" i="3"/>
  <c r="T177" i="3"/>
  <c r="L283" i="3"/>
  <c r="Q283" i="3"/>
  <c r="T283" i="3"/>
  <c r="Q194" i="3"/>
  <c r="T194" i="3"/>
  <c r="Q160" i="3"/>
  <c r="T160" i="3"/>
  <c r="Q228" i="3"/>
  <c r="T228" i="3"/>
  <c r="L394" i="3"/>
  <c r="Q394" i="3"/>
  <c r="T394" i="3"/>
  <c r="L365" i="3"/>
  <c r="Q365" i="3"/>
  <c r="T365" i="3"/>
  <c r="Q380" i="3"/>
  <c r="T380" i="3"/>
  <c r="Q124" i="3"/>
  <c r="T124" i="3"/>
  <c r="Q22" i="3"/>
  <c r="T22" i="3"/>
  <c r="L197" i="3"/>
  <c r="Q197" i="3"/>
  <c r="T197" i="3"/>
  <c r="L28" i="3"/>
  <c r="Q28" i="3"/>
  <c r="T28" i="3"/>
  <c r="L81" i="3"/>
  <c r="Q81" i="3"/>
  <c r="T81" i="3"/>
  <c r="Q306" i="3"/>
  <c r="T306" i="3"/>
  <c r="Q144" i="3"/>
  <c r="T144" i="3"/>
  <c r="Q102" i="3"/>
  <c r="T102" i="3"/>
  <c r="L235" i="3"/>
  <c r="Q235" i="3"/>
  <c r="T235" i="3"/>
  <c r="L288" i="3"/>
  <c r="Q288" i="3"/>
  <c r="T288" i="3"/>
  <c r="Q391" i="3"/>
  <c r="T391" i="3"/>
  <c r="Q245" i="3"/>
  <c r="T245" i="3"/>
  <c r="Q138" i="3"/>
  <c r="T138" i="3"/>
  <c r="Q297" i="3"/>
  <c r="T297" i="3"/>
  <c r="L373" i="3"/>
  <c r="Q373" i="3"/>
  <c r="T373" i="3"/>
  <c r="Q181" i="3"/>
  <c r="T181" i="3"/>
  <c r="L112" i="3"/>
  <c r="Q112" i="3"/>
  <c r="T112" i="3"/>
  <c r="L182" i="3"/>
  <c r="Q182" i="3"/>
  <c r="T182" i="3"/>
  <c r="L43" i="3"/>
  <c r="Q43" i="3"/>
  <c r="T43" i="3"/>
  <c r="Q36" i="3"/>
  <c r="T36" i="3"/>
  <c r="L6" i="3"/>
  <c r="Q6" i="3"/>
  <c r="T6" i="3"/>
  <c r="L118" i="3"/>
  <c r="Q118" i="3"/>
  <c r="T118" i="3"/>
  <c r="Q155" i="3"/>
  <c r="T155" i="3"/>
  <c r="L101" i="3"/>
  <c r="Q101" i="3"/>
  <c r="T101" i="3"/>
  <c r="Q386" i="3"/>
  <c r="T386" i="3"/>
  <c r="Q187" i="3"/>
  <c r="T187" i="3"/>
  <c r="L382" i="3"/>
  <c r="Q382" i="3"/>
  <c r="T382" i="3"/>
  <c r="Q175" i="3"/>
  <c r="T175" i="3"/>
  <c r="Q308" i="3"/>
  <c r="T308" i="3"/>
  <c r="Q300" i="3"/>
  <c r="T300" i="3"/>
  <c r="Q317" i="3"/>
  <c r="T317" i="3"/>
  <c r="Q258" i="3"/>
  <c r="T258" i="3"/>
  <c r="L390" i="3"/>
  <c r="Q390" i="3"/>
  <c r="T390" i="3"/>
  <c r="Q388" i="3"/>
  <c r="T388" i="3"/>
  <c r="Q205" i="3"/>
  <c r="T205" i="3"/>
  <c r="Q392" i="3"/>
  <c r="T392" i="3"/>
  <c r="Q304" i="3"/>
  <c r="T304" i="3"/>
  <c r="L406" i="3"/>
  <c r="Q406" i="3"/>
  <c r="T406" i="3"/>
  <c r="L51" i="3"/>
  <c r="Q51" i="3"/>
  <c r="T51" i="3"/>
  <c r="L200" i="3"/>
  <c r="Q200" i="3"/>
  <c r="T200" i="3"/>
  <c r="L114" i="3"/>
  <c r="Q114" i="3"/>
  <c r="T114" i="3"/>
  <c r="Q152" i="3"/>
  <c r="T152" i="3"/>
  <c r="L166" i="3"/>
  <c r="Q166" i="3"/>
  <c r="T166" i="3"/>
  <c r="L50" i="3"/>
  <c r="Q50" i="3"/>
  <c r="T50" i="3"/>
  <c r="L12" i="3"/>
  <c r="Q12" i="3"/>
  <c r="T12" i="3"/>
  <c r="Q180" i="3"/>
  <c r="T180" i="3"/>
  <c r="L45" i="3"/>
  <c r="Q45" i="3"/>
  <c r="T45" i="3"/>
  <c r="L58" i="3"/>
  <c r="Q58" i="3"/>
  <c r="T58" i="3"/>
  <c r="L64" i="3"/>
  <c r="Q64" i="3"/>
  <c r="T64" i="3"/>
  <c r="L131" i="3"/>
  <c r="Q131" i="3"/>
  <c r="T131" i="3"/>
  <c r="Q159" i="3"/>
  <c r="T159" i="3"/>
  <c r="L120" i="3"/>
  <c r="Q120" i="3"/>
  <c r="T120" i="3"/>
  <c r="Q285" i="3"/>
  <c r="T285" i="3"/>
  <c r="Q286" i="3"/>
  <c r="T286" i="3"/>
  <c r="L352" i="3"/>
  <c r="Q352" i="3"/>
  <c r="T352" i="3"/>
  <c r="L319" i="3"/>
  <c r="Q319" i="3"/>
  <c r="T319" i="3"/>
  <c r="L389" i="3"/>
  <c r="Q389" i="3"/>
  <c r="T389" i="3"/>
  <c r="Q383" i="3"/>
  <c r="T383" i="3"/>
  <c r="Q90" i="3"/>
  <c r="T90" i="3"/>
  <c r="L76" i="3"/>
  <c r="Q76" i="3"/>
  <c r="T76" i="3"/>
  <c r="L3" i="3"/>
  <c r="Q3" i="3"/>
  <c r="T3" i="3"/>
  <c r="L16" i="3"/>
  <c r="Q16" i="3"/>
  <c r="T16" i="3"/>
  <c r="L150" i="3"/>
  <c r="Q150" i="3"/>
  <c r="T150" i="3"/>
  <c r="Q147" i="3"/>
  <c r="T147" i="3"/>
  <c r="L139" i="3"/>
  <c r="Q139" i="3"/>
  <c r="T139" i="3"/>
  <c r="L75" i="3"/>
  <c r="Q75" i="3"/>
  <c r="T75" i="3"/>
  <c r="Q271" i="3"/>
  <c r="T271" i="3"/>
  <c r="Q174" i="3"/>
  <c r="T174" i="3"/>
  <c r="L106" i="3"/>
  <c r="Q106" i="3"/>
  <c r="T106" i="3"/>
  <c r="Q268" i="3"/>
  <c r="T268" i="3"/>
  <c r="L318" i="3"/>
  <c r="Q318" i="3"/>
  <c r="T318" i="3"/>
  <c r="Q302" i="3"/>
  <c r="T302" i="3"/>
  <c r="Q217" i="3"/>
  <c r="T217" i="3"/>
  <c r="L333" i="3"/>
  <c r="Q333" i="3"/>
  <c r="T333" i="3"/>
  <c r="L267" i="3"/>
  <c r="Q267" i="3"/>
  <c r="T267" i="3"/>
  <c r="L338" i="3"/>
  <c r="Q338" i="3"/>
  <c r="T338" i="3"/>
  <c r="Q290" i="3"/>
  <c r="T290" i="3"/>
  <c r="L396" i="3"/>
  <c r="Q396" i="3"/>
  <c r="T396" i="3"/>
  <c r="L52" i="3"/>
  <c r="Q52" i="3"/>
  <c r="T52" i="3"/>
  <c r="L246" i="3"/>
  <c r="Q246" i="3"/>
  <c r="T246" i="3"/>
  <c r="Q207" i="3"/>
  <c r="T207" i="3"/>
  <c r="L10" i="3"/>
  <c r="Q10" i="3"/>
  <c r="T10" i="3"/>
  <c r="L100" i="3"/>
  <c r="Q100" i="3"/>
  <c r="T100" i="3"/>
  <c r="L92" i="3"/>
  <c r="Q92" i="3"/>
  <c r="T92" i="3"/>
  <c r="Q83" i="3"/>
  <c r="T83" i="3"/>
  <c r="L361" i="3"/>
  <c r="Q361" i="3"/>
  <c r="T361" i="3"/>
  <c r="L350" i="3"/>
  <c r="Q350" i="3"/>
  <c r="T350" i="3"/>
  <c r="Q29" i="3"/>
  <c r="T29" i="3"/>
  <c r="Q279" i="3"/>
  <c r="T279" i="3"/>
  <c r="Q198" i="3"/>
  <c r="T198" i="3"/>
  <c r="L343" i="3"/>
  <c r="Q343" i="3"/>
  <c r="T343" i="3"/>
  <c r="L122" i="3"/>
  <c r="Q122" i="3"/>
  <c r="T122" i="3"/>
  <c r="L127" i="3"/>
  <c r="Q127" i="3"/>
  <c r="T127" i="3"/>
  <c r="Q369" i="3"/>
  <c r="T369" i="3"/>
  <c r="Q403" i="3"/>
  <c r="T403" i="3"/>
  <c r="L93" i="3"/>
  <c r="Q93" i="3"/>
  <c r="T93" i="3"/>
  <c r="L130" i="3"/>
  <c r="Q130" i="3"/>
  <c r="T130" i="3"/>
  <c r="L236" i="3"/>
  <c r="Q236" i="3"/>
  <c r="T236" i="3"/>
  <c r="L85" i="3"/>
  <c r="Q85" i="3"/>
  <c r="T85" i="3"/>
  <c r="L17" i="3"/>
  <c r="Q17" i="3"/>
  <c r="T17" i="3"/>
  <c r="Q331" i="3"/>
  <c r="T331" i="3"/>
  <c r="Q66" i="3"/>
  <c r="T66" i="3"/>
  <c r="L332" i="3"/>
  <c r="Q332" i="3"/>
  <c r="T332" i="3"/>
  <c r="Q353" i="3"/>
  <c r="T353" i="3"/>
  <c r="Q153" i="3"/>
  <c r="T153" i="3"/>
  <c r="Q322" i="3"/>
  <c r="T322" i="3"/>
  <c r="L73" i="3"/>
  <c r="Q73" i="3"/>
  <c r="T73" i="3"/>
  <c r="L335" i="3"/>
  <c r="Q335" i="3"/>
  <c r="T335" i="3"/>
  <c r="L253" i="3"/>
  <c r="Q253" i="3"/>
  <c r="T253" i="3"/>
  <c r="Q307" i="3"/>
  <c r="T307" i="3"/>
  <c r="Q224" i="3"/>
  <c r="T224" i="3"/>
  <c r="L293" i="3"/>
  <c r="Q293" i="3"/>
  <c r="T293" i="3"/>
  <c r="Q316" i="3"/>
  <c r="T316" i="3"/>
  <c r="Q407" i="3"/>
  <c r="T407" i="3"/>
  <c r="L71" i="3"/>
  <c r="Q71" i="3"/>
  <c r="T71" i="3"/>
  <c r="L209" i="3"/>
  <c r="Q209" i="3"/>
  <c r="T209" i="3"/>
  <c r="L210" i="3"/>
  <c r="Q210" i="3"/>
  <c r="T210" i="3"/>
  <c r="L79" i="3"/>
  <c r="Q79" i="3"/>
  <c r="T79" i="3"/>
  <c r="Q311" i="3"/>
  <c r="T311" i="3"/>
  <c r="L14" i="3"/>
  <c r="Q14" i="3"/>
  <c r="T14" i="3"/>
  <c r="L163" i="3"/>
  <c r="Q163" i="3"/>
  <c r="T163" i="3"/>
  <c r="Q55" i="3"/>
  <c r="T55" i="3"/>
  <c r="Q146" i="3"/>
  <c r="T146" i="3"/>
  <c r="L61" i="3"/>
  <c r="Q61" i="3"/>
  <c r="T61" i="3"/>
  <c r="L262" i="3"/>
  <c r="Q262" i="3"/>
  <c r="T262" i="3"/>
  <c r="L349" i="3"/>
  <c r="Q349" i="3"/>
  <c r="T349" i="3"/>
  <c r="Q292" i="3"/>
  <c r="T292" i="3"/>
  <c r="Q367" i="3"/>
  <c r="T367" i="3"/>
  <c r="Q362" i="3"/>
  <c r="T362" i="3"/>
  <c r="L232" i="3"/>
  <c r="Q232" i="3"/>
  <c r="T232" i="3"/>
  <c r="L364" i="3"/>
  <c r="Q364" i="3"/>
  <c r="T364" i="3"/>
  <c r="Q399" i="3"/>
  <c r="T399" i="3"/>
  <c r="L72" i="3"/>
  <c r="Q72" i="3"/>
  <c r="T72" i="3"/>
  <c r="L54" i="3"/>
  <c r="Q54" i="3"/>
  <c r="T54" i="3"/>
  <c r="Q219" i="3"/>
  <c r="T219" i="3"/>
  <c r="L161" i="3"/>
  <c r="Q161" i="3"/>
  <c r="T161" i="3"/>
  <c r="Q65" i="3"/>
  <c r="T65" i="3"/>
  <c r="L27" i="3"/>
  <c r="Q27" i="3"/>
  <c r="T27" i="3"/>
  <c r="L192" i="3"/>
  <c r="Q192" i="3"/>
  <c r="T192" i="3"/>
  <c r="L63" i="3"/>
  <c r="Q63" i="3"/>
  <c r="T63" i="3"/>
  <c r="Q67" i="3"/>
  <c r="T67" i="3"/>
  <c r="Q162" i="3"/>
  <c r="T162" i="3"/>
  <c r="L142" i="3"/>
  <c r="Q142" i="3"/>
  <c r="T142" i="3"/>
  <c r="L148" i="3"/>
  <c r="Q148" i="3"/>
  <c r="T148" i="3"/>
  <c r="L77" i="3"/>
  <c r="Q77" i="3"/>
  <c r="T77" i="3"/>
  <c r="Q223" i="3"/>
  <c r="T223" i="3"/>
  <c r="Q244" i="3"/>
  <c r="T244" i="3"/>
  <c r="L99" i="3"/>
  <c r="Q99" i="3"/>
  <c r="T99" i="3"/>
  <c r="Q193" i="3"/>
  <c r="T193" i="3"/>
  <c r="L170" i="3"/>
  <c r="Q170" i="3"/>
  <c r="T170" i="3"/>
  <c r="L241" i="3"/>
  <c r="Q241" i="3"/>
  <c r="T241" i="3"/>
  <c r="Q266" i="3"/>
  <c r="T266" i="3"/>
  <c r="L39" i="3"/>
  <c r="Q39" i="3"/>
  <c r="T39" i="3"/>
  <c r="L185" i="3"/>
  <c r="Q185" i="3"/>
  <c r="T185" i="3"/>
  <c r="L178" i="3"/>
  <c r="Q178" i="3"/>
  <c r="T178" i="3"/>
  <c r="L125" i="3"/>
  <c r="Q125" i="3"/>
  <c r="T125" i="3"/>
  <c r="L40" i="3"/>
  <c r="Q40" i="3"/>
  <c r="T40" i="3"/>
  <c r="Q237" i="3"/>
  <c r="T237" i="3"/>
  <c r="Q94" i="3"/>
  <c r="T94" i="3"/>
  <c r="L206" i="3"/>
  <c r="Q206" i="3"/>
  <c r="T206" i="3"/>
  <c r="Q247" i="3"/>
  <c r="T247" i="3"/>
  <c r="Q104" i="3"/>
  <c r="T104" i="3"/>
  <c r="Q179" i="3"/>
  <c r="T179" i="3"/>
  <c r="L231" i="3"/>
  <c r="Q231" i="3"/>
  <c r="T231" i="3"/>
  <c r="L387" i="3"/>
  <c r="Q387" i="3"/>
  <c r="T387" i="3"/>
  <c r="Q384" i="3"/>
  <c r="T384" i="3"/>
  <c r="L344" i="3"/>
  <c r="Q344" i="3"/>
  <c r="T344" i="3"/>
  <c r="Q337" i="3"/>
  <c r="T337" i="3"/>
  <c r="L82" i="3"/>
  <c r="Q82" i="3"/>
  <c r="T82" i="3"/>
  <c r="L34" i="3"/>
  <c r="Q34" i="3"/>
  <c r="T34" i="3"/>
  <c r="L173" i="3"/>
  <c r="Q173" i="3"/>
  <c r="T173" i="3"/>
  <c r="L183" i="3"/>
  <c r="Q183" i="3"/>
  <c r="T183" i="3"/>
  <c r="L107" i="3"/>
  <c r="Q107" i="3"/>
  <c r="T107" i="3"/>
  <c r="L105" i="3"/>
  <c r="Q105" i="3"/>
  <c r="T105" i="3"/>
  <c r="L171" i="3"/>
  <c r="Q171" i="3"/>
  <c r="T171" i="3"/>
  <c r="Q23" i="3"/>
  <c r="T23" i="3"/>
  <c r="L189" i="3"/>
  <c r="Q189" i="3"/>
  <c r="T189" i="3"/>
  <c r="Q269" i="3"/>
  <c r="T269" i="3"/>
  <c r="L221" i="3"/>
  <c r="Q221" i="3"/>
  <c r="T221" i="3"/>
  <c r="L164" i="3"/>
  <c r="Q164" i="3"/>
  <c r="T164" i="3"/>
  <c r="L119" i="3"/>
  <c r="Q119" i="3"/>
  <c r="T119" i="3"/>
  <c r="L358" i="3"/>
  <c r="Q358" i="3"/>
  <c r="T358" i="3"/>
  <c r="Q326" i="3"/>
  <c r="T326" i="3"/>
  <c r="Q191" i="3"/>
  <c r="T191" i="3"/>
  <c r="Q172" i="3"/>
  <c r="T172" i="3"/>
  <c r="L195" i="3"/>
  <c r="Q195" i="3"/>
  <c r="T195" i="3"/>
  <c r="L86" i="3"/>
  <c r="Q86" i="3"/>
  <c r="T86" i="3"/>
  <c r="L26" i="3"/>
  <c r="Q26" i="3"/>
  <c r="T26" i="3"/>
  <c r="L154" i="3"/>
  <c r="Q154" i="3"/>
  <c r="T154" i="3"/>
  <c r="L121" i="3"/>
  <c r="Q121" i="3"/>
  <c r="T121" i="3"/>
  <c r="L103" i="3"/>
  <c r="Q103" i="3"/>
  <c r="T103" i="3"/>
  <c r="Q15" i="3"/>
  <c r="T15" i="3"/>
  <c r="Q251" i="3"/>
  <c r="T251" i="3"/>
  <c r="L48" i="3"/>
  <c r="Q48" i="3"/>
  <c r="T48" i="3"/>
  <c r="L186" i="3"/>
  <c r="Q186" i="3"/>
  <c r="T186" i="3"/>
  <c r="L243" i="3"/>
  <c r="Q243" i="3"/>
  <c r="T243" i="3"/>
  <c r="L70" i="3"/>
  <c r="Q70" i="3"/>
  <c r="T70" i="3"/>
  <c r="L263" i="3"/>
  <c r="Q263" i="3"/>
  <c r="T263" i="3"/>
  <c r="L274" i="3"/>
  <c r="Q274" i="3"/>
  <c r="T274" i="3"/>
  <c r="Q289" i="3"/>
  <c r="T289" i="3"/>
  <c r="L156" i="3"/>
  <c r="Q156" i="3"/>
  <c r="T156" i="3"/>
  <c r="L298" i="3"/>
  <c r="Q298" i="3"/>
  <c r="T298" i="3"/>
  <c r="L117" i="3"/>
  <c r="Q117" i="3"/>
  <c r="T117" i="3"/>
  <c r="L250" i="3"/>
  <c r="Q250" i="3"/>
  <c r="T250" i="3"/>
  <c r="L408" i="3"/>
  <c r="Q408" i="3"/>
  <c r="T408" i="3"/>
  <c r="L11" i="3"/>
  <c r="Q11" i="3"/>
  <c r="T11" i="3"/>
  <c r="L38" i="3"/>
  <c r="Q38" i="3"/>
  <c r="T38" i="3"/>
  <c r="L74" i="3"/>
  <c r="Q74" i="3"/>
  <c r="T74" i="3"/>
  <c r="L305" i="3"/>
  <c r="Q305" i="3"/>
  <c r="T305" i="3"/>
  <c r="L110" i="3"/>
  <c r="Q110" i="3"/>
  <c r="T110" i="3"/>
  <c r="L272" i="3"/>
  <c r="Q272" i="3"/>
  <c r="T272" i="3"/>
  <c r="Q264" i="3"/>
  <c r="T264" i="3"/>
  <c r="L168" i="3"/>
  <c r="Q168" i="3"/>
  <c r="T168" i="3"/>
  <c r="L68" i="3"/>
  <c r="Q68" i="3"/>
  <c r="T68" i="3"/>
  <c r="L135" i="3"/>
  <c r="Q135" i="3"/>
  <c r="T135" i="3"/>
  <c r="L132" i="3"/>
  <c r="Q132" i="3"/>
  <c r="T132" i="3"/>
  <c r="Q327" i="3"/>
  <c r="T327" i="3"/>
  <c r="L330" i="3"/>
  <c r="Q330" i="3"/>
  <c r="T330" i="3"/>
  <c r="Q375" i="3"/>
  <c r="T375" i="3"/>
  <c r="L295" i="3"/>
  <c r="Q295" i="3"/>
  <c r="T295" i="3"/>
  <c r="L227" i="3"/>
  <c r="Q227" i="3"/>
  <c r="T227" i="3"/>
  <c r="L359" i="3"/>
  <c r="Q359" i="3"/>
  <c r="T359" i="3"/>
  <c r="L381" i="3"/>
  <c r="Q381" i="3"/>
  <c r="T381" i="3"/>
  <c r="L372" i="3"/>
  <c r="Q372" i="3"/>
  <c r="T372" i="3"/>
  <c r="L20" i="3"/>
  <c r="Q20" i="3"/>
  <c r="T20" i="3"/>
  <c r="L309" i="3"/>
  <c r="Q309" i="3"/>
  <c r="T309" i="3"/>
  <c r="L78" i="3"/>
  <c r="Q78" i="3"/>
  <c r="T78" i="3"/>
  <c r="L44" i="3"/>
  <c r="Q44" i="3"/>
  <c r="T44" i="3"/>
  <c r="L80" i="3"/>
  <c r="Q80" i="3"/>
  <c r="T80" i="3"/>
  <c r="Q56" i="3"/>
  <c r="T56" i="3"/>
  <c r="L57" i="3"/>
  <c r="Q57" i="3"/>
  <c r="T57" i="3"/>
  <c r="L113" i="3"/>
  <c r="Q113" i="3"/>
  <c r="T113" i="3"/>
  <c r="Q212" i="3"/>
  <c r="T212" i="3"/>
  <c r="L242" i="3"/>
  <c r="Q242" i="3"/>
  <c r="T242" i="3"/>
  <c r="Q287" i="3"/>
  <c r="T287" i="3"/>
  <c r="L315" i="3"/>
  <c r="Q315" i="3"/>
  <c r="T315" i="3"/>
  <c r="Q278" i="3"/>
  <c r="T278" i="3"/>
  <c r="L234" i="3"/>
  <c r="Q234" i="3"/>
  <c r="T234" i="3"/>
  <c r="L360" i="3"/>
  <c r="Q360" i="3"/>
  <c r="T360" i="3"/>
  <c r="L320" i="3"/>
  <c r="Q320" i="3"/>
  <c r="T320" i="3"/>
  <c r="L339" i="3"/>
  <c r="Q339" i="3"/>
  <c r="T339" i="3"/>
  <c r="L220" i="3"/>
  <c r="Q220" i="3"/>
  <c r="T220" i="3"/>
  <c r="L346" i="3"/>
  <c r="Q346" i="3"/>
  <c r="T346" i="3"/>
  <c r="L400" i="3"/>
  <c r="Q400" i="3"/>
  <c r="T400" i="3"/>
  <c r="L321" i="3"/>
  <c r="Q321" i="3"/>
  <c r="T321" i="3"/>
  <c r="L404" i="3"/>
  <c r="Q404" i="3"/>
  <c r="T404" i="3"/>
  <c r="L405" i="3"/>
  <c r="Q405" i="3"/>
  <c r="T405" i="3"/>
  <c r="L41" i="3"/>
  <c r="Q41" i="3"/>
  <c r="T41" i="3"/>
  <c r="L9" i="3"/>
  <c r="Q9" i="3"/>
  <c r="T9" i="3"/>
  <c r="L53" i="3"/>
  <c r="Q53" i="3"/>
  <c r="T53" i="3"/>
  <c r="L248" i="3"/>
  <c r="Q248" i="3"/>
  <c r="T248" i="3"/>
  <c r="L62" i="3"/>
  <c r="Q62" i="3"/>
  <c r="T62" i="3"/>
  <c r="L84" i="3"/>
  <c r="Q84" i="3"/>
  <c r="T84" i="3"/>
  <c r="L115" i="3"/>
  <c r="Q115" i="3"/>
  <c r="T115" i="3"/>
  <c r="L190" i="3"/>
  <c r="Q190" i="3"/>
  <c r="T190" i="3"/>
  <c r="Q230" i="3"/>
  <c r="T230" i="3"/>
  <c r="L324" i="3"/>
  <c r="Q324" i="3"/>
  <c r="T324" i="3"/>
  <c r="Q222" i="3"/>
  <c r="T222" i="3"/>
  <c r="L149" i="3"/>
  <c r="Q149" i="3"/>
  <c r="T149" i="3"/>
  <c r="L184" i="3"/>
  <c r="Q184" i="3"/>
  <c r="T184" i="3"/>
  <c r="L203" i="3"/>
  <c r="Q203" i="3"/>
  <c r="T203" i="3"/>
  <c r="L379" i="3"/>
  <c r="Q379" i="3"/>
  <c r="T379" i="3"/>
  <c r="Q395" i="3"/>
  <c r="T395" i="3"/>
  <c r="L370" i="3"/>
  <c r="Q370" i="3"/>
  <c r="T370" i="3"/>
  <c r="L7" i="3"/>
  <c r="Q7" i="3"/>
  <c r="T7" i="3"/>
  <c r="L21" i="3"/>
  <c r="Q21" i="3"/>
  <c r="T21" i="3"/>
  <c r="L95" i="3"/>
  <c r="Q95" i="3"/>
  <c r="T95" i="3"/>
  <c r="L42" i="3"/>
  <c r="Q42" i="3"/>
  <c r="T42" i="3"/>
  <c r="L88" i="3"/>
  <c r="Q88" i="3"/>
  <c r="T88" i="3"/>
  <c r="L98" i="3"/>
  <c r="Q98" i="3"/>
  <c r="T98" i="3"/>
  <c r="L169" i="3"/>
  <c r="Q169" i="3"/>
  <c r="T169" i="3"/>
  <c r="L97" i="3"/>
  <c r="Q97" i="3"/>
  <c r="T97" i="3"/>
  <c r="L294" i="3"/>
  <c r="Q294" i="3"/>
  <c r="T294" i="3"/>
  <c r="Q208" i="3"/>
  <c r="T208" i="3"/>
  <c r="L151" i="3"/>
  <c r="Q151" i="3"/>
  <c r="T151" i="3"/>
  <c r="Q249" i="3"/>
  <c r="T249" i="3"/>
  <c r="L199" i="3"/>
  <c r="Q199" i="3"/>
  <c r="T199" i="3"/>
  <c r="L303" i="3"/>
  <c r="Q303" i="3"/>
  <c r="T303" i="3"/>
  <c r="L252" i="3"/>
  <c r="Q252" i="3"/>
  <c r="T252" i="3"/>
  <c r="Q347" i="3"/>
  <c r="T347" i="3"/>
  <c r="L280" i="3"/>
  <c r="Q280" i="3"/>
  <c r="T280" i="3"/>
  <c r="L336" i="3"/>
  <c r="Q336" i="3"/>
  <c r="T336" i="3"/>
  <c r="Q348" i="3"/>
  <c r="T348" i="3"/>
  <c r="Q299" i="3"/>
  <c r="T299" i="3"/>
  <c r="L226" i="3"/>
  <c r="Q226" i="3"/>
  <c r="T226" i="3"/>
  <c r="Q351" i="3"/>
  <c r="T351" i="3"/>
  <c r="L366" i="3"/>
  <c r="Q366" i="3"/>
  <c r="T366" i="3"/>
  <c r="L401" i="3"/>
  <c r="Q401" i="3"/>
  <c r="T401" i="3"/>
  <c r="L402" i="3"/>
  <c r="Q402" i="3"/>
  <c r="T402" i="3"/>
  <c r="L397" i="3"/>
  <c r="Q397" i="3"/>
  <c r="T397" i="3"/>
  <c r="AQ259" i="3"/>
  <c r="AQ59" i="3"/>
  <c r="AQ108" i="3"/>
  <c r="AQ260" i="3"/>
  <c r="AQ13" i="3"/>
  <c r="AQ196" i="3"/>
  <c r="AQ137" i="3"/>
  <c r="AQ33" i="3"/>
  <c r="AQ31" i="3"/>
  <c r="AQ277" i="3"/>
  <c r="AQ218" i="3"/>
  <c r="AQ374" i="3"/>
  <c r="AQ328" i="3"/>
  <c r="AQ368" i="3"/>
  <c r="AQ354" i="3"/>
  <c r="AQ376" i="3"/>
  <c r="AQ202" i="3"/>
  <c r="AQ215" i="3"/>
  <c r="AQ46" i="3"/>
  <c r="AQ5" i="3"/>
  <c r="AQ96" i="3"/>
  <c r="AQ211" i="3"/>
  <c r="AQ69" i="3"/>
  <c r="AQ325" i="3"/>
  <c r="AQ240" i="3"/>
  <c r="AQ91" i="3"/>
  <c r="AQ363" i="3"/>
  <c r="AQ371" i="3"/>
  <c r="AQ393" i="3"/>
  <c r="AQ378" i="3"/>
  <c r="AQ87" i="3"/>
  <c r="AQ128" i="3"/>
  <c r="AQ32" i="3"/>
  <c r="AQ255" i="3"/>
  <c r="AQ19" i="3"/>
  <c r="AQ30" i="3"/>
  <c r="AQ257" i="3"/>
  <c r="AQ216" i="3"/>
  <c r="AQ276" i="3"/>
  <c r="AQ301" i="3"/>
  <c r="AQ334" i="3"/>
  <c r="AQ157" i="3"/>
  <c r="AQ357" i="3"/>
  <c r="AQ2" i="3"/>
  <c r="AQ145" i="3"/>
  <c r="AQ141" i="3"/>
  <c r="AQ291" i="3"/>
  <c r="AQ176" i="3"/>
  <c r="AQ136" i="3"/>
  <c r="AQ24" i="3"/>
  <c r="AQ341" i="3"/>
  <c r="AQ204" i="3"/>
  <c r="AQ140" i="3"/>
  <c r="AQ25" i="3"/>
  <c r="AQ282" i="3"/>
  <c r="AQ254" i="3"/>
  <c r="AQ167" i="3"/>
  <c r="AQ345" i="3"/>
  <c r="AQ126" i="3"/>
  <c r="AQ310" i="3"/>
  <c r="AQ273" i="3"/>
  <c r="AQ314" i="3"/>
  <c r="AQ111" i="3"/>
  <c r="AQ229" i="3"/>
  <c r="AQ398" i="3"/>
  <c r="AQ4" i="3"/>
  <c r="AQ129" i="3"/>
  <c r="AQ37" i="3"/>
  <c r="AQ323" i="3"/>
  <c r="AQ296" i="3"/>
  <c r="AQ165" i="3"/>
  <c r="AQ116" i="3"/>
  <c r="AQ213" i="3"/>
  <c r="AQ275" i="3"/>
  <c r="AQ133" i="3"/>
  <c r="AQ312" i="3"/>
  <c r="AQ313" i="3"/>
  <c r="AQ385" i="3"/>
  <c r="AQ201" i="3"/>
  <c r="AQ214" i="3"/>
  <c r="AQ281" i="3"/>
  <c r="AQ342" i="3"/>
  <c r="AQ377" i="3"/>
  <c r="AQ409" i="3"/>
  <c r="AQ8" i="3"/>
  <c r="AQ49" i="3"/>
  <c r="AQ261" i="3"/>
  <c r="AQ89" i="3"/>
  <c r="AQ356" i="3"/>
  <c r="AQ60" i="3"/>
  <c r="AQ284" i="3"/>
  <c r="AQ233" i="3"/>
  <c r="AQ158" i="3"/>
  <c r="AQ123" i="3"/>
  <c r="AQ329" i="3"/>
  <c r="AQ188" i="3"/>
  <c r="AQ225" i="3"/>
  <c r="AQ340" i="3"/>
  <c r="AQ239" i="3"/>
  <c r="AQ265" i="3"/>
  <c r="AQ270" i="3"/>
  <c r="AQ134" i="3"/>
  <c r="AQ355" i="3"/>
  <c r="AQ143" i="3"/>
  <c r="AQ256" i="3"/>
  <c r="AQ18" i="3"/>
  <c r="AQ109" i="3"/>
  <c r="AQ35" i="3"/>
  <c r="AQ47" i="3"/>
  <c r="AQ238" i="3"/>
  <c r="AQ177" i="3"/>
  <c r="AQ283" i="3"/>
  <c r="AQ194" i="3"/>
  <c r="AQ160" i="3"/>
  <c r="AQ228" i="3"/>
  <c r="AQ394" i="3"/>
  <c r="AQ365" i="3"/>
  <c r="AQ380" i="3"/>
  <c r="AQ124" i="3"/>
  <c r="AQ22" i="3"/>
  <c r="AQ197" i="3"/>
  <c r="AQ28" i="3"/>
  <c r="AQ81" i="3"/>
  <c r="AQ306" i="3"/>
  <c r="AQ144" i="3"/>
  <c r="AQ102" i="3"/>
  <c r="AQ235" i="3"/>
  <c r="AQ288" i="3"/>
  <c r="AQ391" i="3"/>
  <c r="AQ245" i="3"/>
  <c r="AQ138" i="3"/>
  <c r="AQ297" i="3"/>
  <c r="AQ373" i="3"/>
  <c r="AQ181" i="3"/>
  <c r="AQ112" i="3"/>
  <c r="AQ182" i="3"/>
  <c r="AQ43" i="3"/>
  <c r="AQ36" i="3"/>
  <c r="AQ6" i="3"/>
  <c r="AQ118" i="3"/>
  <c r="AQ155" i="3"/>
  <c r="AQ101" i="3"/>
  <c r="AQ386" i="3"/>
  <c r="AQ187" i="3"/>
  <c r="AQ382" i="3"/>
  <c r="AQ175" i="3"/>
  <c r="AQ308" i="3"/>
  <c r="AQ300" i="3"/>
  <c r="AQ317" i="3"/>
  <c r="AQ258" i="3"/>
  <c r="AQ390" i="3"/>
  <c r="AQ388" i="3"/>
  <c r="AQ205" i="3"/>
  <c r="AQ392" i="3"/>
  <c r="AQ304" i="3"/>
  <c r="AQ406" i="3"/>
  <c r="AQ51" i="3"/>
  <c r="AQ200" i="3"/>
  <c r="AQ114" i="3"/>
  <c r="AQ152" i="3"/>
  <c r="AQ166" i="3"/>
  <c r="AQ50" i="3"/>
  <c r="AQ12" i="3"/>
  <c r="AQ180" i="3"/>
  <c r="AQ45" i="3"/>
  <c r="AQ58" i="3"/>
  <c r="AQ64" i="3"/>
  <c r="AQ131" i="3"/>
  <c r="AQ159" i="3"/>
  <c r="AQ120" i="3"/>
  <c r="AQ285" i="3"/>
  <c r="AQ286" i="3"/>
  <c r="AQ352" i="3"/>
  <c r="AQ319" i="3"/>
  <c r="AQ389" i="3"/>
  <c r="AQ383" i="3"/>
  <c r="AQ90" i="3"/>
  <c r="AQ76" i="3"/>
  <c r="AQ3" i="3"/>
  <c r="AQ16" i="3"/>
  <c r="AQ150" i="3"/>
  <c r="AQ147" i="3"/>
  <c r="AQ139" i="3"/>
  <c r="AQ75" i="3"/>
  <c r="AQ271" i="3"/>
  <c r="AQ174" i="3"/>
  <c r="AQ106" i="3"/>
  <c r="AQ268" i="3"/>
  <c r="AQ318" i="3"/>
  <c r="AQ302" i="3"/>
  <c r="AQ217" i="3"/>
  <c r="AQ333" i="3"/>
  <c r="AQ267" i="3"/>
  <c r="AQ338" i="3"/>
  <c r="AQ290" i="3"/>
  <c r="AQ396" i="3"/>
  <c r="AQ52" i="3"/>
  <c r="AQ246" i="3"/>
  <c r="AQ207" i="3"/>
  <c r="AQ10" i="3"/>
  <c r="AQ100" i="3"/>
  <c r="AQ92" i="3"/>
  <c r="AQ83" i="3"/>
  <c r="AQ361" i="3"/>
  <c r="AQ350" i="3"/>
  <c r="AQ29" i="3"/>
  <c r="AQ279" i="3"/>
  <c r="AQ198" i="3"/>
  <c r="AQ343" i="3"/>
  <c r="AQ122" i="3"/>
  <c r="AQ127" i="3"/>
  <c r="AQ369" i="3"/>
  <c r="AQ403" i="3"/>
  <c r="AQ93" i="3"/>
  <c r="AQ130" i="3"/>
  <c r="AQ236" i="3"/>
  <c r="AQ85" i="3"/>
  <c r="AQ17" i="3"/>
  <c r="AQ331" i="3"/>
  <c r="AQ66" i="3"/>
  <c r="AQ332" i="3"/>
  <c r="AQ353" i="3"/>
  <c r="AQ153" i="3"/>
  <c r="AQ322" i="3"/>
  <c r="AQ73" i="3"/>
  <c r="AQ335" i="3"/>
  <c r="AQ253" i="3"/>
  <c r="AQ307" i="3"/>
  <c r="AQ224" i="3"/>
  <c r="AQ293" i="3"/>
  <c r="AQ316" i="3"/>
  <c r="AQ407" i="3"/>
  <c r="AQ71" i="3"/>
  <c r="AQ209" i="3"/>
  <c r="AQ210" i="3"/>
  <c r="AQ79" i="3"/>
  <c r="AQ311" i="3"/>
  <c r="AQ14" i="3"/>
  <c r="AQ163" i="3"/>
  <c r="AQ55" i="3"/>
  <c r="AQ146" i="3"/>
  <c r="AQ61" i="3"/>
  <c r="AQ262" i="3"/>
  <c r="AQ349" i="3"/>
  <c r="AQ292" i="3"/>
  <c r="AQ367" i="3"/>
  <c r="AQ362" i="3"/>
  <c r="AQ232" i="3"/>
  <c r="AQ364" i="3"/>
  <c r="AQ399" i="3"/>
  <c r="AQ72" i="3"/>
  <c r="AQ54" i="3"/>
  <c r="AQ219" i="3"/>
  <c r="AQ161" i="3"/>
  <c r="AQ65" i="3"/>
  <c r="AQ27" i="3"/>
  <c r="AQ192" i="3"/>
  <c r="AQ63" i="3"/>
  <c r="AQ67" i="3"/>
  <c r="AQ162" i="3"/>
  <c r="AQ142" i="3"/>
  <c r="AQ148" i="3"/>
  <c r="AQ77" i="3"/>
  <c r="AQ223" i="3"/>
  <c r="AQ244" i="3"/>
  <c r="AQ99" i="3"/>
  <c r="AQ193" i="3"/>
  <c r="AQ170" i="3"/>
  <c r="AQ241" i="3"/>
  <c r="AQ266" i="3"/>
  <c r="AQ39" i="3"/>
  <c r="AQ185" i="3"/>
  <c r="AQ178" i="3"/>
  <c r="AQ125" i="3"/>
  <c r="AQ40" i="3"/>
  <c r="AQ237" i="3"/>
  <c r="AQ94" i="3"/>
  <c r="AQ206" i="3"/>
  <c r="AQ247" i="3"/>
  <c r="AQ104" i="3"/>
  <c r="AQ179" i="3"/>
  <c r="AQ231" i="3"/>
  <c r="AQ387" i="3"/>
  <c r="AQ384" i="3"/>
  <c r="AQ344" i="3"/>
  <c r="AQ337" i="3"/>
  <c r="AQ82" i="3"/>
  <c r="AQ34" i="3"/>
  <c r="AQ173" i="3"/>
  <c r="AQ183" i="3"/>
  <c r="AQ107" i="3"/>
  <c r="AQ105" i="3"/>
  <c r="AQ171" i="3"/>
  <c r="AQ23" i="3"/>
  <c r="AQ189" i="3"/>
  <c r="AQ269" i="3"/>
  <c r="AQ221" i="3"/>
  <c r="AQ164" i="3"/>
  <c r="AQ119" i="3"/>
  <c r="AQ358" i="3"/>
  <c r="AQ326" i="3"/>
  <c r="AQ191" i="3"/>
  <c r="AQ172" i="3"/>
  <c r="AQ195" i="3"/>
  <c r="AQ86" i="3"/>
  <c r="AQ26" i="3"/>
  <c r="AQ154" i="3"/>
  <c r="AQ121" i="3"/>
  <c r="AQ103" i="3"/>
  <c r="AQ15" i="3"/>
  <c r="AQ251" i="3"/>
  <c r="AQ48" i="3"/>
  <c r="AQ186" i="3"/>
  <c r="AQ243" i="3"/>
  <c r="AQ70" i="3"/>
  <c r="AQ263" i="3"/>
  <c r="AQ274" i="3"/>
  <c r="AQ289" i="3"/>
  <c r="AQ156" i="3"/>
  <c r="AQ298" i="3"/>
  <c r="AQ117" i="3"/>
  <c r="AQ250" i="3"/>
  <c r="AQ408" i="3"/>
  <c r="AQ11" i="3"/>
  <c r="AQ38" i="3"/>
  <c r="AQ74" i="3"/>
  <c r="AQ305" i="3"/>
  <c r="AQ110" i="3"/>
  <c r="AQ272" i="3"/>
  <c r="AQ264" i="3"/>
  <c r="AQ168" i="3"/>
  <c r="AQ68" i="3"/>
  <c r="AQ135" i="3"/>
  <c r="AQ132" i="3"/>
  <c r="AQ327" i="3"/>
  <c r="AQ330" i="3"/>
  <c r="AQ375" i="3"/>
  <c r="AQ295" i="3"/>
  <c r="AQ227" i="3"/>
  <c r="AQ359" i="3"/>
  <c r="AQ381" i="3"/>
  <c r="AQ372" i="3"/>
  <c r="AQ20" i="3"/>
  <c r="AQ309" i="3"/>
  <c r="AQ78" i="3"/>
  <c r="AQ44" i="3"/>
  <c r="AQ80" i="3"/>
  <c r="AQ56" i="3"/>
  <c r="AQ57" i="3"/>
  <c r="AQ113" i="3"/>
  <c r="AQ212" i="3"/>
  <c r="AQ242" i="3"/>
  <c r="AQ287" i="3"/>
  <c r="AQ315" i="3"/>
  <c r="AQ278" i="3"/>
  <c r="AQ234" i="3"/>
  <c r="AQ360" i="3"/>
  <c r="AQ320" i="3"/>
  <c r="AQ339" i="3"/>
  <c r="AQ220" i="3"/>
  <c r="AQ346" i="3"/>
  <c r="AQ400" i="3"/>
  <c r="AQ321" i="3"/>
  <c r="AQ404" i="3"/>
  <c r="AQ405" i="3"/>
  <c r="AQ41" i="3"/>
  <c r="AQ9" i="3"/>
  <c r="AQ53" i="3"/>
  <c r="AQ248" i="3"/>
  <c r="AQ62" i="3"/>
  <c r="AQ84" i="3"/>
  <c r="AQ115" i="3"/>
  <c r="AQ190" i="3"/>
  <c r="AQ230" i="3"/>
  <c r="AQ324" i="3"/>
  <c r="AQ222" i="3"/>
  <c r="AQ149" i="3"/>
  <c r="AQ184" i="3"/>
  <c r="AQ203" i="3"/>
  <c r="AQ379" i="3"/>
  <c r="AQ395" i="3"/>
  <c r="AQ370" i="3"/>
  <c r="AQ7" i="3"/>
  <c r="AQ21" i="3"/>
  <c r="AQ95" i="3"/>
  <c r="AQ42" i="3"/>
  <c r="AQ88" i="3"/>
  <c r="AQ98" i="3"/>
  <c r="AQ169" i="3"/>
  <c r="AQ97" i="3"/>
  <c r="AQ294" i="3"/>
  <c r="AQ208" i="3"/>
  <c r="AQ151" i="3"/>
  <c r="AQ249" i="3"/>
  <c r="AQ199" i="3"/>
  <c r="AQ303" i="3"/>
  <c r="AQ252" i="3"/>
  <c r="AQ347" i="3"/>
  <c r="AQ280" i="3"/>
  <c r="AQ336" i="3"/>
  <c r="AQ348" i="3"/>
  <c r="AQ299" i="3"/>
  <c r="AQ226" i="3"/>
  <c r="AQ351" i="3"/>
  <c r="AQ366" i="3"/>
  <c r="AQ401" i="3"/>
  <c r="AQ402" i="3"/>
  <c r="AQ397" i="3"/>
  <c r="C409" i="3"/>
  <c r="C408" i="3"/>
  <c r="C407" i="3"/>
  <c r="C406" i="3"/>
  <c r="C398" i="3"/>
  <c r="C403" i="3"/>
  <c r="C405" i="3"/>
  <c r="C404" i="3"/>
  <c r="C383" i="3"/>
  <c r="C378" i="3"/>
  <c r="C397" i="3"/>
  <c r="C402" i="3"/>
  <c r="C321" i="3"/>
  <c r="C372" i="3"/>
  <c r="C401" i="3"/>
  <c r="C396" i="3"/>
  <c r="C381" i="3"/>
  <c r="C377" i="3"/>
  <c r="C376" i="3"/>
  <c r="C304" i="3"/>
  <c r="C399" i="3"/>
  <c r="C392" i="3"/>
  <c r="C400" i="3"/>
  <c r="C366" i="3"/>
  <c r="C373" i="3"/>
  <c r="C290" i="3"/>
  <c r="C342" i="3"/>
  <c r="C370" i="3"/>
  <c r="C346" i="3"/>
  <c r="C380" i="3"/>
  <c r="C365" i="3"/>
  <c r="C351" i="3"/>
  <c r="C393" i="3"/>
  <c r="C371" i="3"/>
  <c r="C395" i="3"/>
  <c r="C226" i="3"/>
  <c r="C355" i="3"/>
  <c r="C337" i="3"/>
  <c r="C299" i="3"/>
  <c r="C359" i="3"/>
  <c r="C344" i="3"/>
  <c r="C357" i="3"/>
  <c r="C354" i="3"/>
  <c r="C205" i="3"/>
  <c r="C368" i="3"/>
  <c r="C328" i="3"/>
  <c r="C281" i="3"/>
  <c r="C348" i="3"/>
  <c r="C229" i="3"/>
  <c r="C227" i="3"/>
  <c r="C389" i="3"/>
  <c r="C364" i="3"/>
  <c r="C157" i="3"/>
  <c r="C295" i="3"/>
  <c r="C214" i="3"/>
  <c r="C220" i="3"/>
  <c r="C379" i="3"/>
  <c r="C316" i="3"/>
  <c r="C388" i="3"/>
  <c r="C374" i="3"/>
  <c r="C339" i="3"/>
  <c r="C363" i="3"/>
  <c r="C297" i="3"/>
  <c r="C336" i="3"/>
  <c r="C232" i="3"/>
  <c r="C280" i="3"/>
  <c r="C394" i="3"/>
  <c r="C334" i="3"/>
  <c r="C134" i="3"/>
  <c r="C347" i="3"/>
  <c r="C338" i="3"/>
  <c r="C201" i="3"/>
  <c r="C384" i="3"/>
  <c r="C387" i="3"/>
  <c r="C390" i="3"/>
  <c r="C250" i="3"/>
  <c r="C138" i="3"/>
  <c r="C369" i="3"/>
  <c r="C218" i="3"/>
  <c r="C270" i="3"/>
  <c r="C191" i="3"/>
  <c r="C326" i="3"/>
  <c r="C267" i="3"/>
  <c r="C203" i="3"/>
  <c r="C228" i="3"/>
  <c r="C320" i="3"/>
  <c r="C117" i="3"/>
  <c r="C375" i="3"/>
  <c r="C298" i="3"/>
  <c r="C258" i="3"/>
  <c r="C330" i="3"/>
  <c r="C127" i="3"/>
  <c r="C362" i="3"/>
  <c r="C293" i="3"/>
  <c r="C367" i="3"/>
  <c r="C122" i="3"/>
  <c r="C360" i="3"/>
  <c r="C301" i="3"/>
  <c r="C160" i="3"/>
  <c r="C156" i="3"/>
  <c r="C91" i="3"/>
  <c r="C289" i="3"/>
  <c r="C343" i="3"/>
  <c r="C266" i="3"/>
  <c r="C252" i="3"/>
  <c r="C111" i="3"/>
  <c r="C224" i="3"/>
  <c r="C317" i="3"/>
  <c r="C314" i="3"/>
  <c r="C358" i="3"/>
  <c r="C273" i="3"/>
  <c r="C319" i="3"/>
  <c r="C310" i="3"/>
  <c r="C292" i="3"/>
  <c r="C276" i="3"/>
  <c r="C245" i="3"/>
  <c r="C333" i="3"/>
  <c r="C217" i="3"/>
  <c r="C352" i="3"/>
  <c r="C184" i="3"/>
  <c r="C286" i="3"/>
  <c r="C285" i="3"/>
  <c r="C307" i="3"/>
  <c r="C385" i="3"/>
  <c r="C198" i="3"/>
  <c r="C241" i="3"/>
  <c r="C265" i="3"/>
  <c r="C170" i="3"/>
  <c r="C391" i="3"/>
  <c r="C119" i="3"/>
  <c r="C231" i="3"/>
  <c r="C302" i="3"/>
  <c r="C318" i="3"/>
  <c r="C288" i="3"/>
  <c r="C253" i="3"/>
  <c r="C164" i="3"/>
  <c r="C274" i="3"/>
  <c r="C239" i="3"/>
  <c r="C126" i="3"/>
  <c r="C240" i="3"/>
  <c r="C349" i="3"/>
  <c r="C300" i="3"/>
  <c r="C340" i="3"/>
  <c r="C277" i="3"/>
  <c r="C149" i="3"/>
  <c r="C263" i="3"/>
  <c r="C70" i="3"/>
  <c r="C120" i="3"/>
  <c r="C327" i="3"/>
  <c r="C179" i="3"/>
  <c r="C313" i="3"/>
  <c r="C225" i="3"/>
  <c r="C188" i="3"/>
  <c r="C329" i="3"/>
  <c r="C268" i="3"/>
  <c r="C194" i="3"/>
  <c r="C312" i="3"/>
  <c r="C308" i="3"/>
  <c r="C221" i="3"/>
  <c r="C279" i="3"/>
  <c r="C234" i="3"/>
  <c r="C303" i="3"/>
  <c r="C278" i="3"/>
  <c r="C269" i="3"/>
  <c r="C133" i="3"/>
  <c r="C275" i="3"/>
  <c r="C104" i="3"/>
  <c r="C315" i="3"/>
  <c r="C123" i="3"/>
  <c r="C335" i="3"/>
  <c r="C213" i="3"/>
  <c r="C345" i="3"/>
  <c r="C106" i="3"/>
  <c r="C73" i="3"/>
  <c r="C29" i="3"/>
  <c r="C167" i="3"/>
  <c r="C175" i="3"/>
  <c r="C254" i="3"/>
  <c r="C247" i="3"/>
  <c r="C199" i="3"/>
  <c r="C322" i="3"/>
  <c r="C235" i="3"/>
  <c r="C31" i="3"/>
  <c r="C350" i="3"/>
  <c r="C282" i="3"/>
  <c r="C158" i="3"/>
  <c r="C193" i="3"/>
  <c r="C243" i="3"/>
  <c r="C99" i="3"/>
  <c r="C153" i="3"/>
  <c r="C262" i="3"/>
  <c r="C249" i="3"/>
  <c r="C353" i="3"/>
  <c r="C325" i="3"/>
  <c r="C132" i="3"/>
  <c r="C287" i="3"/>
  <c r="C69" i="3"/>
  <c r="C206" i="3"/>
  <c r="C61" i="3"/>
  <c r="C222" i="3"/>
  <c r="C146" i="3"/>
  <c r="C55" i="3"/>
  <c r="C174" i="3"/>
  <c r="C283" i="3"/>
  <c r="C216" i="3"/>
  <c r="C244" i="3"/>
  <c r="C382" i="3"/>
  <c r="C177" i="3"/>
  <c r="C223" i="3"/>
  <c r="C163" i="3"/>
  <c r="C271" i="3"/>
  <c r="C233" i="3"/>
  <c r="C159" i="3"/>
  <c r="C102" i="3"/>
  <c r="C116" i="3"/>
  <c r="C131" i="3"/>
  <c r="C284" i="3"/>
  <c r="C77" i="3"/>
  <c r="C144" i="3"/>
  <c r="C186" i="3"/>
  <c r="C64" i="3"/>
  <c r="C148" i="3"/>
  <c r="C142" i="3"/>
  <c r="C151" i="3"/>
  <c r="C324" i="3"/>
  <c r="C25" i="3"/>
  <c r="C230" i="3"/>
  <c r="C48" i="3"/>
  <c r="C361" i="3"/>
  <c r="C83" i="3"/>
  <c r="C165" i="3"/>
  <c r="C189" i="3"/>
  <c r="C251" i="3"/>
  <c r="C162" i="3"/>
  <c r="C187" i="3"/>
  <c r="C238" i="3"/>
  <c r="C332" i="3"/>
  <c r="C67" i="3"/>
  <c r="C386" i="3"/>
  <c r="C63" i="3"/>
  <c r="C94" i="3"/>
  <c r="C296" i="3"/>
  <c r="C140" i="3"/>
  <c r="C242" i="3"/>
  <c r="C33" i="3"/>
  <c r="C135" i="3"/>
  <c r="C257" i="3"/>
  <c r="C60" i="3"/>
  <c r="C137" i="3"/>
  <c r="C101" i="3"/>
  <c r="C68" i="3"/>
  <c r="C155" i="3"/>
  <c r="C237" i="3"/>
  <c r="C30" i="3"/>
  <c r="C192" i="3"/>
  <c r="C204" i="3"/>
  <c r="C306" i="3"/>
  <c r="C196" i="3"/>
  <c r="C13" i="3"/>
  <c r="C19" i="3"/>
  <c r="C58" i="3"/>
  <c r="C190" i="3"/>
  <c r="C45" i="3"/>
  <c r="C81" i="3"/>
  <c r="C23" i="3"/>
  <c r="C75" i="3"/>
  <c r="C92" i="3"/>
  <c r="C341" i="3"/>
  <c r="C212" i="3"/>
  <c r="C27" i="3"/>
  <c r="C180" i="3"/>
  <c r="C168" i="3"/>
  <c r="C113" i="3"/>
  <c r="C12" i="3"/>
  <c r="C356" i="3"/>
  <c r="C15" i="3"/>
  <c r="C264" i="3"/>
  <c r="C171" i="3"/>
  <c r="C89" i="3"/>
  <c r="C40" i="3"/>
  <c r="C100" i="3"/>
  <c r="C125" i="3"/>
  <c r="C47" i="3"/>
  <c r="C115" i="3"/>
  <c r="C14" i="3"/>
  <c r="C57" i="3"/>
  <c r="C66" i="3"/>
  <c r="C65" i="3"/>
  <c r="C24" i="3"/>
  <c r="C261" i="3"/>
  <c r="C311" i="3"/>
  <c r="C28" i="3"/>
  <c r="C255" i="3"/>
  <c r="C50" i="3"/>
  <c r="C272" i="3"/>
  <c r="C105" i="3"/>
  <c r="C260" i="3"/>
  <c r="C79" i="3"/>
  <c r="C107" i="3"/>
  <c r="C210" i="3"/>
  <c r="C136" i="3"/>
  <c r="C103" i="3"/>
  <c r="C56" i="3"/>
  <c r="C183" i="3"/>
  <c r="C121" i="3"/>
  <c r="C176" i="3"/>
  <c r="C291" i="3"/>
  <c r="C208" i="3"/>
  <c r="C161" i="3"/>
  <c r="C80" i="3"/>
  <c r="C110" i="3"/>
  <c r="C49" i="3"/>
  <c r="C118" i="3"/>
  <c r="C211" i="3"/>
  <c r="C331" i="3"/>
  <c r="C294" i="3"/>
  <c r="C219" i="3"/>
  <c r="C97" i="3"/>
  <c r="C323" i="3"/>
  <c r="C154" i="3"/>
  <c r="C17" i="3"/>
  <c r="C141" i="3"/>
  <c r="C35" i="3"/>
  <c r="C109" i="3"/>
  <c r="C108" i="3"/>
  <c r="C26" i="3"/>
  <c r="C18" i="3"/>
  <c r="C166" i="3"/>
  <c r="C96" i="3"/>
  <c r="C44" i="3"/>
  <c r="C152" i="3"/>
  <c r="C5" i="3"/>
  <c r="C86" i="3"/>
  <c r="C139" i="3"/>
  <c r="C114" i="3"/>
  <c r="C46" i="3"/>
  <c r="C59" i="3"/>
  <c r="C37" i="3"/>
  <c r="C32" i="3"/>
  <c r="C169" i="3"/>
  <c r="C6" i="3"/>
  <c r="C10" i="3"/>
  <c r="C98" i="3"/>
  <c r="C178" i="3"/>
  <c r="C84" i="3"/>
  <c r="C256" i="3"/>
  <c r="C88" i="3"/>
  <c r="C128" i="3"/>
  <c r="C147" i="3"/>
  <c r="C305" i="3"/>
  <c r="C36" i="3"/>
  <c r="C54" i="3"/>
  <c r="C145" i="3"/>
  <c r="C85" i="3"/>
  <c r="C8" i="3"/>
  <c r="C185" i="3"/>
  <c r="C43" i="3"/>
  <c r="C62" i="3"/>
  <c r="C215" i="3"/>
  <c r="C200" i="3"/>
  <c r="C74" i="3"/>
  <c r="C78" i="3"/>
  <c r="C150" i="3"/>
  <c r="C209" i="3"/>
  <c r="C87" i="3"/>
  <c r="C197" i="3"/>
  <c r="C38" i="3"/>
  <c r="C22" i="3"/>
  <c r="C309" i="3"/>
  <c r="C182" i="3"/>
  <c r="C202" i="3"/>
  <c r="C129" i="3"/>
  <c r="C42" i="3"/>
  <c r="C16" i="3"/>
  <c r="C248" i="3"/>
  <c r="C207" i="3"/>
  <c r="C95" i="3"/>
  <c r="C173" i="3"/>
  <c r="C34" i="3"/>
  <c r="C53" i="3"/>
  <c r="C236" i="3"/>
  <c r="C82" i="3"/>
  <c r="C124" i="3"/>
  <c r="C246" i="3"/>
  <c r="C143" i="3"/>
  <c r="C52" i="3"/>
  <c r="C195" i="3"/>
  <c r="C3" i="3"/>
  <c r="C259" i="3"/>
  <c r="C2" i="3"/>
  <c r="C72" i="3"/>
  <c r="C20" i="3"/>
  <c r="C172" i="3"/>
  <c r="C39" i="3"/>
  <c r="C4" i="3"/>
  <c r="C112" i="3"/>
  <c r="C130" i="3"/>
  <c r="C93" i="3"/>
  <c r="C76" i="3"/>
  <c r="C181" i="3"/>
  <c r="C9" i="3"/>
  <c r="C90" i="3"/>
  <c r="C21" i="3"/>
  <c r="C71" i="3"/>
  <c r="C41" i="3"/>
  <c r="C11" i="3"/>
  <c r="C7" i="3"/>
  <c r="C51" i="3"/>
  <c r="AD154" i="3"/>
  <c r="AF154" i="3" s="1"/>
  <c r="AD206" i="3"/>
  <c r="AF206" i="3" s="1"/>
  <c r="AD171" i="3"/>
  <c r="AF171" i="3" s="1"/>
  <c r="AD121" i="3"/>
  <c r="AF121" i="3" s="1"/>
  <c r="AD70" i="3"/>
  <c r="AF70" i="3" s="1"/>
  <c r="AD295" i="3"/>
  <c r="AF295" i="3" s="1"/>
  <c r="AD361" i="3"/>
  <c r="AF361" i="3" s="1"/>
  <c r="AD335" i="3"/>
  <c r="AF335" i="3" s="1"/>
  <c r="AD126" i="3"/>
  <c r="AF126" i="3" s="1"/>
  <c r="AD214" i="3"/>
  <c r="AF214" i="3" s="1"/>
  <c r="AD123" i="3"/>
  <c r="AF123" i="3" s="1"/>
  <c r="AD177" i="3"/>
  <c r="AF177" i="3" s="1"/>
  <c r="AD81" i="3"/>
  <c r="AF81" i="3" s="1"/>
  <c r="AD43" i="3"/>
  <c r="AF43" i="3" s="1"/>
  <c r="AD50" i="3"/>
  <c r="AF50" i="3" s="1"/>
  <c r="AD185" i="3"/>
  <c r="AD173" i="3"/>
  <c r="AF173" i="3" s="1"/>
  <c r="AD195" i="3"/>
  <c r="AF195" i="3" s="1"/>
  <c r="AD272" i="3"/>
  <c r="AF272" i="3" s="1"/>
  <c r="AD242" i="3"/>
  <c r="AF242" i="3" s="1"/>
  <c r="AD107" i="3"/>
  <c r="AF107" i="3" s="1"/>
  <c r="AD298" i="3"/>
  <c r="AF298" i="3" s="1"/>
  <c r="AD390" i="3"/>
  <c r="AF390" i="3" s="1"/>
  <c r="AD283" i="3"/>
  <c r="AF283" i="3" s="1"/>
  <c r="AD288" i="3"/>
  <c r="AF288" i="3" s="1"/>
  <c r="AD396" i="3"/>
  <c r="AF396" i="3" s="1"/>
  <c r="AD343" i="3"/>
  <c r="AF343" i="3" s="1"/>
  <c r="AD358" i="3"/>
  <c r="AF358" i="3" s="1"/>
  <c r="AD200" i="3"/>
  <c r="AF200" i="3" s="1"/>
  <c r="AD130" i="3"/>
  <c r="AF130" i="3" s="1"/>
  <c r="AD276" i="3"/>
  <c r="AF276" i="3" s="1"/>
  <c r="AD379" i="3"/>
  <c r="AF379" i="3" s="1"/>
  <c r="AD89" i="3"/>
  <c r="AF89" i="3" s="1"/>
  <c r="AD393" i="3"/>
  <c r="AF393" i="3" s="1"/>
  <c r="AD341" i="3"/>
  <c r="AF341" i="3" s="1"/>
  <c r="AD122" i="3"/>
  <c r="AF122" i="3" s="1"/>
  <c r="AD232" i="3"/>
  <c r="AF232" i="3" s="1"/>
  <c r="AD210" i="3"/>
  <c r="AF210" i="3" s="1"/>
  <c r="AD161" i="3"/>
  <c r="AF161" i="3" s="1"/>
  <c r="AD48" i="3"/>
  <c r="AF48" i="3" s="1"/>
  <c r="AD333" i="3"/>
  <c r="AF333" i="3" s="1"/>
  <c r="AD132" i="3"/>
  <c r="AF132" i="3" s="1"/>
  <c r="AD365" i="3"/>
  <c r="AF365" i="3" s="1"/>
  <c r="AD373" i="3"/>
  <c r="AF373" i="3" s="1"/>
  <c r="AD382" i="3"/>
  <c r="AF382" i="3" s="1"/>
  <c r="AD404" i="3"/>
  <c r="AF404" i="3" s="1"/>
  <c r="AD291" i="3"/>
  <c r="AF291" i="3" s="1"/>
  <c r="AD323" i="3"/>
  <c r="AF323" i="3" s="1"/>
  <c r="AD213" i="3"/>
  <c r="AF213" i="3" s="1"/>
  <c r="AD188" i="3"/>
  <c r="AF188" i="3" s="1"/>
  <c r="AD280" i="3"/>
  <c r="AF280" i="3" s="1"/>
  <c r="AD54" i="3"/>
  <c r="AD125" i="3"/>
  <c r="AF125" i="3" s="1"/>
  <c r="AD117" i="3"/>
  <c r="AF117" i="3" s="1"/>
  <c r="AD319" i="3"/>
  <c r="AF319" i="3" s="1"/>
  <c r="AD225" i="3"/>
  <c r="AF225" i="3" s="1"/>
  <c r="AD273" i="3"/>
  <c r="AF273" i="3" s="1"/>
  <c r="AD342" i="3"/>
  <c r="AF342" i="3" s="1"/>
  <c r="AD64" i="3"/>
  <c r="AF64" i="3" s="1"/>
  <c r="AD74" i="3"/>
  <c r="AF74" i="3" s="1"/>
  <c r="AD78" i="3"/>
  <c r="AF78" i="3" s="1"/>
  <c r="AD84" i="3"/>
  <c r="AF84" i="3" s="1"/>
  <c r="AD98" i="3"/>
  <c r="AF98" i="3" s="1"/>
  <c r="AD231" i="3"/>
  <c r="AF231" i="3" s="1"/>
  <c r="AD73" i="3"/>
  <c r="AF73" i="3" s="1"/>
  <c r="AD61" i="3"/>
  <c r="AF61" i="3" s="1"/>
  <c r="AD99" i="3"/>
  <c r="AF99" i="3" s="1"/>
  <c r="AD34" i="3"/>
  <c r="AF34" i="3" s="1"/>
  <c r="AD38" i="3"/>
  <c r="AF38" i="3" s="1"/>
  <c r="AD44" i="3"/>
  <c r="AF44" i="3" s="1"/>
  <c r="AD149" i="3"/>
  <c r="AF149" i="3" s="1"/>
  <c r="AD45" i="3"/>
  <c r="AF45" i="3" s="1"/>
  <c r="AD76" i="3"/>
  <c r="AF76" i="3" s="1"/>
  <c r="AD52" i="3"/>
  <c r="AF52" i="3" s="1"/>
  <c r="AD93" i="3"/>
  <c r="AF93" i="3" s="1"/>
  <c r="AD71" i="3"/>
  <c r="AF71" i="3" s="1"/>
  <c r="AD72" i="3"/>
  <c r="AF72" i="3" s="1"/>
  <c r="AD39" i="3"/>
  <c r="AF39" i="3" s="1"/>
  <c r="AD82" i="3"/>
  <c r="AF82" i="3" s="1"/>
  <c r="AD349" i="3"/>
  <c r="AF349" i="3" s="1"/>
  <c r="AD192" i="3"/>
  <c r="AF192" i="3" s="1"/>
  <c r="AD339" i="3"/>
  <c r="AF339" i="3" s="1"/>
  <c r="AD370" i="3"/>
  <c r="AF370" i="3" s="1"/>
  <c r="AD366" i="3"/>
  <c r="AF366" i="3" s="1"/>
  <c r="AD16" i="3"/>
  <c r="AF16" i="3" s="1"/>
  <c r="AD204" i="3"/>
  <c r="AF204" i="3" s="1"/>
  <c r="AD243" i="3"/>
  <c r="AF243" i="3" s="1"/>
  <c r="AD346" i="3"/>
  <c r="AF346" i="3" s="1"/>
  <c r="AD387" i="3"/>
  <c r="AF387" i="3" s="1"/>
  <c r="AD220" i="3"/>
  <c r="AF220" i="3" s="1"/>
  <c r="AD203" i="3"/>
  <c r="AF203" i="3" s="1"/>
  <c r="AD151" i="3"/>
  <c r="AF151" i="3" s="1"/>
  <c r="AD68" i="3"/>
  <c r="AF68" i="3" s="1"/>
  <c r="AD235" i="3"/>
  <c r="AF235" i="3" s="1"/>
  <c r="AD118" i="3"/>
  <c r="AF118" i="3" s="1"/>
  <c r="AD114" i="3"/>
  <c r="AF114" i="3" s="1"/>
  <c r="AD150" i="3"/>
  <c r="AF150" i="3" s="1"/>
  <c r="AD60" i="3"/>
  <c r="AF60" i="3" s="1"/>
  <c r="AD47" i="3"/>
  <c r="AF47" i="3" s="1"/>
  <c r="AD246" i="3"/>
  <c r="AF246" i="3" s="1"/>
  <c r="AD236" i="3"/>
  <c r="AF236" i="3" s="1"/>
  <c r="AD209" i="3"/>
  <c r="AF209" i="3" s="1"/>
  <c r="AD100" i="3"/>
  <c r="AF100" i="3" s="1"/>
  <c r="AD85" i="3"/>
  <c r="AF85" i="3" s="1"/>
  <c r="AD79" i="3"/>
  <c r="AF79" i="3" s="1"/>
  <c r="AD63" i="3"/>
  <c r="AF63" i="3" s="1"/>
  <c r="AD321" i="3"/>
  <c r="AF321" i="3" s="1"/>
  <c r="AD113" i="3"/>
  <c r="AF113" i="3" s="1"/>
  <c r="AD184" i="3"/>
  <c r="AF184" i="3" s="1"/>
  <c r="AD226" i="3"/>
  <c r="AF226" i="3" s="1"/>
  <c r="AD119" i="3"/>
  <c r="AF119" i="3" s="1"/>
  <c r="AD156" i="3"/>
  <c r="AF156" i="3" s="1"/>
  <c r="AD101" i="3"/>
  <c r="AF101" i="3" s="1"/>
  <c r="AD58" i="3"/>
  <c r="AF58" i="3" s="1"/>
  <c r="AD394" i="3"/>
  <c r="AF394" i="3" s="1"/>
  <c r="AD108" i="3"/>
  <c r="AF108" i="3" s="1"/>
  <c r="AD96" i="3"/>
  <c r="AF96" i="3" s="1"/>
  <c r="AD87" i="3"/>
  <c r="AF87" i="3" s="1"/>
  <c r="AD136" i="3"/>
  <c r="AF136" i="3" s="1"/>
  <c r="AD116" i="3"/>
  <c r="AF116" i="3" s="1"/>
  <c r="AD406" i="3"/>
  <c r="AF406" i="3" s="1"/>
  <c r="AD267" i="3"/>
  <c r="AF267" i="3" s="1"/>
  <c r="AD405" i="3"/>
  <c r="AF405" i="3" s="1"/>
  <c r="AD336" i="3"/>
  <c r="AF336" i="3" s="1"/>
  <c r="AD120" i="3"/>
  <c r="AF120" i="3" s="1"/>
  <c r="AD106" i="3"/>
  <c r="AF106" i="3" s="1"/>
  <c r="AD338" i="3"/>
  <c r="AF338" i="3" s="1"/>
  <c r="AD381" i="3"/>
  <c r="AF381" i="3" s="1"/>
  <c r="AD332" i="3"/>
  <c r="AF332" i="3" s="1"/>
  <c r="AD163" i="3"/>
  <c r="AF163" i="3" s="1"/>
  <c r="AD169" i="3"/>
  <c r="AF169" i="3" s="1"/>
  <c r="AD227" i="3"/>
  <c r="AF227" i="3" s="1"/>
  <c r="AD139" i="3"/>
  <c r="AF139" i="3" s="1"/>
  <c r="AD92" i="3"/>
  <c r="AF92" i="3" s="1"/>
  <c r="AD135" i="3"/>
  <c r="AF135" i="3" s="1"/>
  <c r="AD57" i="3"/>
  <c r="AF57" i="3" s="1"/>
  <c r="AD62" i="3"/>
  <c r="AF62" i="3" s="1"/>
  <c r="AD97" i="3"/>
  <c r="AF97" i="3" s="1"/>
  <c r="AD2" i="3"/>
  <c r="AF2" i="3" s="1"/>
  <c r="AD4" i="3"/>
  <c r="AF4" i="3" s="1"/>
  <c r="AD8" i="3"/>
  <c r="AD18" i="3"/>
  <c r="AF18" i="3" s="1"/>
  <c r="AD28" i="3"/>
  <c r="AF28" i="3" s="1"/>
  <c r="AD189" i="3"/>
  <c r="AF189" i="3" s="1"/>
  <c r="AD259" i="3"/>
  <c r="AF259" i="3" s="1"/>
  <c r="AD202" i="3"/>
  <c r="AF202" i="3" s="1"/>
  <c r="AD293" i="3"/>
  <c r="AF293" i="3" s="1"/>
  <c r="AD3" i="3"/>
  <c r="AF3" i="3" s="1"/>
  <c r="AD17" i="3"/>
  <c r="AF17" i="3" s="1"/>
  <c r="AD14" i="3"/>
  <c r="AF14" i="3" s="1"/>
  <c r="AD352" i="3"/>
  <c r="AF352" i="3" s="1"/>
  <c r="AD27" i="3"/>
  <c r="AF27" i="3" s="1"/>
  <c r="AD40" i="3"/>
  <c r="AF40" i="3" s="1"/>
  <c r="AD250" i="3"/>
  <c r="AF250" i="3" s="1"/>
  <c r="AD385" i="3"/>
  <c r="AF385" i="3" s="1"/>
  <c r="AD329" i="3"/>
  <c r="AF329" i="3" s="1"/>
  <c r="AD196" i="3"/>
  <c r="AF196" i="3" s="1"/>
  <c r="AD178" i="3"/>
  <c r="AF178" i="3" s="1"/>
  <c r="AD354" i="3"/>
  <c r="AF354" i="3" s="1"/>
  <c r="AD183" i="3"/>
  <c r="AF183" i="3" s="1"/>
  <c r="AD263" i="3"/>
  <c r="AF263" i="3" s="1"/>
  <c r="AD148" i="3"/>
  <c r="AF148" i="3" s="1"/>
  <c r="AD305" i="3"/>
  <c r="AF305" i="3" s="1"/>
  <c r="AD309" i="3"/>
  <c r="AF309" i="3" s="1"/>
  <c r="AD248" i="3"/>
  <c r="AF248" i="3" s="1"/>
  <c r="AD294" i="3"/>
  <c r="AF294" i="3" s="1"/>
  <c r="AD11" i="3"/>
  <c r="AD20" i="3"/>
  <c r="AF20" i="3" s="1"/>
  <c r="AD41" i="3"/>
  <c r="AD21" i="3"/>
  <c r="AF21" i="3" s="1"/>
  <c r="AD10" i="3"/>
  <c r="AF10" i="3" s="1"/>
  <c r="AD91" i="3"/>
  <c r="AF91" i="3" s="1"/>
  <c r="AD19" i="3"/>
  <c r="AF19" i="3" s="1"/>
  <c r="AD25" i="3"/>
  <c r="AF25" i="3" s="1"/>
  <c r="AD110" i="3"/>
  <c r="AF110" i="3" s="1"/>
  <c r="AD80" i="3"/>
  <c r="AF80" i="3" s="1"/>
  <c r="AD252" i="3"/>
  <c r="AF252" i="3" s="1"/>
  <c r="AD284" i="3"/>
  <c r="AF284" i="3" s="1"/>
  <c r="AD143" i="3"/>
  <c r="AF143" i="3" s="1"/>
  <c r="AD197" i="3"/>
  <c r="AF197" i="3" s="1"/>
  <c r="AD112" i="3"/>
  <c r="AF112" i="3" s="1"/>
  <c r="AD51" i="3"/>
  <c r="AD26" i="3"/>
  <c r="AF26" i="3" s="1"/>
  <c r="AD315" i="3"/>
  <c r="AF315" i="3" s="1"/>
  <c r="AD324" i="3"/>
  <c r="AF324" i="3" s="1"/>
  <c r="AD303" i="3"/>
  <c r="AF303" i="3" s="1"/>
  <c r="AD105" i="3"/>
  <c r="AF105" i="3" s="1"/>
  <c r="AD103" i="3"/>
  <c r="AF103" i="3" s="1"/>
  <c r="AD170" i="3"/>
  <c r="AF170" i="3" s="1"/>
  <c r="AD190" i="3"/>
  <c r="AF190" i="3" s="1"/>
  <c r="AD95" i="3"/>
  <c r="AF95" i="3" s="1"/>
  <c r="AD241" i="3"/>
  <c r="AF241" i="3" s="1"/>
  <c r="AD344" i="3"/>
  <c r="AF344" i="3" s="1"/>
  <c r="AD53" i="3"/>
  <c r="AF53" i="3" s="1"/>
  <c r="AD42" i="3"/>
  <c r="AF42" i="3" s="1"/>
  <c r="AD168" i="3"/>
  <c r="AF168" i="3" s="1"/>
  <c r="AD277" i="3"/>
  <c r="AF277" i="3" s="1"/>
  <c r="AD325" i="3"/>
  <c r="AF325" i="3" s="1"/>
  <c r="AD257" i="3"/>
  <c r="AF257" i="3" s="1"/>
  <c r="AD314" i="3"/>
  <c r="AF314" i="3" s="1"/>
  <c r="AD6" i="3"/>
  <c r="AF6" i="3" s="1"/>
  <c r="AD12" i="3"/>
  <c r="AF12" i="3" s="1"/>
  <c r="AD77" i="3"/>
  <c r="AF77" i="3" s="1"/>
  <c r="AD182" i="3"/>
  <c r="AF182" i="3" s="1"/>
  <c r="AD166" i="3"/>
  <c r="AF166" i="3" s="1"/>
  <c r="AD350" i="3"/>
  <c r="AF350" i="3" s="1"/>
  <c r="AD131" i="3"/>
  <c r="AF131" i="3" s="1"/>
  <c r="AD75" i="3"/>
  <c r="AF75" i="3" s="1"/>
  <c r="AD127" i="3"/>
  <c r="AF127" i="3" s="1"/>
  <c r="AD402" i="3"/>
  <c r="AF402" i="3" s="1"/>
  <c r="AD389" i="3"/>
  <c r="AF389" i="3" s="1"/>
  <c r="AD372" i="3"/>
  <c r="AF372" i="3" s="1"/>
  <c r="AD274" i="3"/>
  <c r="AF274" i="3" s="1"/>
  <c r="AD320" i="3"/>
  <c r="AF320" i="3" s="1"/>
  <c r="AD328" i="3"/>
  <c r="AF328" i="3" s="1"/>
  <c r="AD164" i="3"/>
  <c r="AF164" i="3" s="1"/>
  <c r="AD221" i="3"/>
  <c r="AF221" i="3" s="1"/>
  <c r="AD408" i="3"/>
  <c r="AF408" i="3" s="1"/>
  <c r="AD9" i="3"/>
  <c r="AF9" i="3" s="1"/>
  <c r="AD7" i="3"/>
  <c r="AF7" i="3" s="1"/>
  <c r="AD368" i="3"/>
  <c r="AF368" i="3" s="1"/>
  <c r="AD363" i="3"/>
  <c r="AF363" i="3" s="1"/>
  <c r="AD357" i="3"/>
  <c r="AF357" i="3" s="1"/>
  <c r="AD397" i="3"/>
  <c r="AF397" i="3" s="1"/>
  <c r="AD59" i="3"/>
  <c r="AF59" i="3" s="1"/>
  <c r="AD46" i="3"/>
  <c r="AF46" i="3" s="1"/>
  <c r="AD32" i="3"/>
  <c r="AF32" i="3" s="1"/>
  <c r="AD364" i="3"/>
  <c r="AF364" i="3" s="1"/>
  <c r="AD318" i="3"/>
  <c r="AF318" i="3" s="1"/>
  <c r="AD186" i="3"/>
  <c r="AF186" i="3" s="1"/>
  <c r="AD262" i="3"/>
  <c r="AF262" i="3" s="1"/>
  <c r="AD142" i="3"/>
  <c r="AF142" i="3" s="1"/>
  <c r="AD86" i="3"/>
  <c r="AF86" i="3" s="1"/>
  <c r="AD301" i="3"/>
  <c r="AF301" i="3" s="1"/>
  <c r="AD282" i="3"/>
  <c r="AF282" i="3" s="1"/>
  <c r="AD140" i="3"/>
  <c r="AF140" i="3" s="1"/>
  <c r="AD133" i="3"/>
  <c r="AF133" i="3" s="1"/>
  <c r="AD134" i="3"/>
  <c r="AF134" i="3" s="1"/>
  <c r="AD401" i="3"/>
  <c r="AF401" i="3" s="1"/>
  <c r="AD330" i="3"/>
  <c r="AF330" i="3" s="1"/>
  <c r="AD360" i="3"/>
  <c r="AF360" i="3" s="1"/>
  <c r="AD400" i="3"/>
  <c r="AF400" i="3" s="1"/>
  <c r="AD88" i="3"/>
  <c r="AF88" i="3" s="1"/>
  <c r="AD253" i="3"/>
  <c r="AF253" i="3" s="1"/>
  <c r="AD281" i="3"/>
  <c r="AF281" i="3" s="1"/>
  <c r="AD376" i="3"/>
  <c r="AF376" i="3" s="1"/>
  <c r="AD371" i="3"/>
  <c r="AF371" i="3" s="1"/>
  <c r="AD334" i="3"/>
  <c r="AF334" i="3" s="1"/>
  <c r="AD234" i="3"/>
  <c r="AF234" i="3" s="1"/>
  <c r="AD115" i="3"/>
  <c r="AF115" i="3" s="1"/>
  <c r="AD199" i="3"/>
  <c r="AF199" i="3" s="1"/>
  <c r="AD240" i="3"/>
  <c r="AF240" i="3" s="1"/>
  <c r="AD216" i="3"/>
  <c r="AF216" i="3" s="1"/>
  <c r="AD167" i="3"/>
  <c r="AF167" i="3" s="1"/>
  <c r="AD409" i="3"/>
  <c r="AF409" i="3" s="1"/>
  <c r="AD359" i="3"/>
  <c r="AF359" i="3" s="1"/>
  <c r="AD326" i="3"/>
  <c r="AF326" i="3" s="1"/>
  <c r="AD258" i="3"/>
  <c r="AF258" i="3" s="1"/>
  <c r="AD29" i="3"/>
  <c r="AF29" i="3" s="1"/>
  <c r="AD66" i="3"/>
  <c r="AF66" i="3" s="1"/>
  <c r="AD104" i="3"/>
  <c r="AF104" i="3" s="1"/>
  <c r="AD340" i="3"/>
  <c r="AF340" i="3" s="1"/>
  <c r="AD275" i="3"/>
  <c r="AF275" i="3" s="1"/>
  <c r="AD239" i="3"/>
  <c r="AF239" i="3" s="1"/>
  <c r="AD228" i="3"/>
  <c r="AF228" i="3" s="1"/>
  <c r="AD297" i="3"/>
  <c r="AF297" i="3" s="1"/>
  <c r="AD304" i="3"/>
  <c r="AF304" i="3" s="1"/>
  <c r="AD395" i="3"/>
  <c r="AF395" i="3" s="1"/>
  <c r="AD244" i="3"/>
  <c r="AF244" i="3" s="1"/>
  <c r="AD374" i="3"/>
  <c r="AF374" i="3" s="1"/>
  <c r="AD378" i="3"/>
  <c r="AF378" i="3" s="1"/>
  <c r="AD356" i="3"/>
  <c r="AF356" i="3" s="1"/>
  <c r="AD256" i="3"/>
  <c r="AF256" i="3" s="1"/>
  <c r="AD306" i="3"/>
  <c r="AF306" i="3" s="1"/>
  <c r="AD392" i="3"/>
  <c r="AF392" i="3" s="1"/>
  <c r="AD383" i="3"/>
  <c r="AF383" i="3" s="1"/>
  <c r="AD278" i="3"/>
  <c r="AF278" i="3" s="1"/>
  <c r="AD222" i="3"/>
  <c r="AF222" i="3" s="1"/>
  <c r="AD369" i="3"/>
  <c r="AF369" i="3" s="1"/>
  <c r="AD317" i="3"/>
  <c r="AF317" i="3" s="1"/>
  <c r="AD407" i="3"/>
  <c r="AF407" i="3" s="1"/>
  <c r="AD37" i="3"/>
  <c r="AF37" i="3" s="1"/>
  <c r="AD49" i="3"/>
  <c r="AF49" i="3" s="1"/>
  <c r="AD35" i="3"/>
  <c r="AF35" i="3" s="1"/>
  <c r="AD22" i="3"/>
  <c r="AF22" i="3" s="1"/>
  <c r="AD36" i="3"/>
  <c r="AF36" i="3" s="1"/>
  <c r="AD102" i="3"/>
  <c r="AF102" i="3" s="1"/>
  <c r="AD223" i="3"/>
  <c r="AF223" i="3" s="1"/>
  <c r="AD386" i="3"/>
  <c r="AF386" i="3" s="1"/>
  <c r="AD286" i="3"/>
  <c r="AF286" i="3" s="1"/>
  <c r="AD137" i="3"/>
  <c r="AF137" i="3" s="1"/>
  <c r="AD264" i="3"/>
  <c r="AF264" i="3" s="1"/>
  <c r="AD287" i="3"/>
  <c r="AF287" i="3" s="1"/>
  <c r="AD299" i="3"/>
  <c r="AF299" i="3" s="1"/>
  <c r="AD322" i="3"/>
  <c r="AF322" i="3" s="1"/>
  <c r="AD310" i="3"/>
  <c r="AF310" i="3" s="1"/>
  <c r="AD83" i="3"/>
  <c r="AF83" i="3" s="1"/>
  <c r="AD153" i="3"/>
  <c r="AF153" i="3" s="1"/>
  <c r="AD146" i="3"/>
  <c r="AF146" i="3" s="1"/>
  <c r="AD67" i="3"/>
  <c r="AF67" i="3" s="1"/>
  <c r="AD399" i="3"/>
  <c r="AF399" i="3" s="1"/>
  <c r="AD290" i="3"/>
  <c r="AF290" i="3" s="1"/>
  <c r="AD23" i="3"/>
  <c r="AF23" i="3" s="1"/>
  <c r="AD160" i="3"/>
  <c r="AF160" i="3" s="1"/>
  <c r="AD138" i="3"/>
  <c r="AF138" i="3" s="1"/>
  <c r="AD205" i="3"/>
  <c r="AF205" i="3" s="1"/>
  <c r="AD375" i="3"/>
  <c r="AF375" i="3" s="1"/>
  <c r="AD194" i="3"/>
  <c r="AF194" i="3" s="1"/>
  <c r="AD245" i="3"/>
  <c r="AF245" i="3" s="1"/>
  <c r="AD175" i="3"/>
  <c r="AF175" i="3" s="1"/>
  <c r="AD159" i="3"/>
  <c r="AF159" i="3" s="1"/>
  <c r="AD217" i="3"/>
  <c r="AF217" i="3" s="1"/>
  <c r="AD279" i="3"/>
  <c r="AF279" i="3" s="1"/>
  <c r="AD65" i="3"/>
  <c r="AF65" i="3" s="1"/>
  <c r="AD94" i="3"/>
  <c r="AF94" i="3" s="1"/>
  <c r="AD90" i="3"/>
  <c r="AF90" i="3" s="1"/>
  <c r="AD207" i="3"/>
  <c r="AF207" i="3" s="1"/>
  <c r="AD331" i="3"/>
  <c r="AF331" i="3" s="1"/>
  <c r="AD311" i="3"/>
  <c r="AF311" i="3" s="1"/>
  <c r="AD219" i="3"/>
  <c r="AF219" i="3" s="1"/>
  <c r="AD308" i="3"/>
  <c r="AF308" i="3" s="1"/>
  <c r="AD152" i="3"/>
  <c r="AF152" i="3" s="1"/>
  <c r="AD147" i="3"/>
  <c r="AF147" i="3" s="1"/>
  <c r="AD351" i="3"/>
  <c r="AF351" i="3" s="1"/>
  <c r="AD355" i="3"/>
  <c r="AF355" i="3" s="1"/>
  <c r="AD380" i="3"/>
  <c r="AF380" i="3" s="1"/>
  <c r="AD391" i="3"/>
  <c r="AF391" i="3" s="1"/>
  <c r="AD388" i="3"/>
  <c r="AF388" i="3" s="1"/>
  <c r="AD249" i="3"/>
  <c r="AF249" i="3" s="1"/>
  <c r="AD403" i="3"/>
  <c r="AF403" i="3" s="1"/>
  <c r="AD362" i="3"/>
  <c r="AF362" i="3" s="1"/>
  <c r="AD13" i="3"/>
  <c r="AF13" i="3" s="1"/>
  <c r="AD5" i="3"/>
  <c r="AF5" i="3" s="1"/>
  <c r="AD261" i="3"/>
  <c r="AF261" i="3" s="1"/>
  <c r="AD238" i="3"/>
  <c r="AF238" i="3" s="1"/>
  <c r="AD285" i="3"/>
  <c r="AF285" i="3" s="1"/>
  <c r="AD208" i="3"/>
  <c r="AF208" i="3" s="1"/>
  <c r="AD201" i="3"/>
  <c r="AF201" i="3" s="1"/>
  <c r="AD31" i="3"/>
  <c r="AF31" i="3" s="1"/>
  <c r="AD162" i="3"/>
  <c r="AF162" i="3" s="1"/>
  <c r="AD337" i="3"/>
  <c r="AF337" i="3" s="1"/>
  <c r="AD158" i="3"/>
  <c r="AF158" i="3" s="1"/>
  <c r="AD109" i="3"/>
  <c r="AF109" i="3" s="1"/>
  <c r="AD144" i="3"/>
  <c r="AF144" i="3" s="1"/>
  <c r="AD155" i="3"/>
  <c r="AF155" i="3" s="1"/>
  <c r="AD224" i="3"/>
  <c r="AF224" i="3" s="1"/>
  <c r="AD124" i="3"/>
  <c r="AF124" i="3" s="1"/>
  <c r="AD181" i="3"/>
  <c r="AF181" i="3" s="1"/>
  <c r="AD15" i="3"/>
  <c r="AF15" i="3" s="1"/>
  <c r="AD172" i="3"/>
  <c r="AF172" i="3" s="1"/>
  <c r="AD384" i="3"/>
  <c r="AF384" i="3" s="1"/>
  <c r="AD229" i="3"/>
  <c r="AF229" i="3" s="1"/>
  <c r="AD377" i="3"/>
  <c r="AF377" i="3" s="1"/>
  <c r="AD345" i="3"/>
  <c r="AF345" i="3" s="1"/>
  <c r="AD296" i="3"/>
  <c r="AF296" i="3" s="1"/>
  <c r="AD313" i="3"/>
  <c r="AF313" i="3" s="1"/>
  <c r="AD265" i="3"/>
  <c r="AF265" i="3" s="1"/>
  <c r="AD260" i="3"/>
  <c r="AF260" i="3" s="1"/>
  <c r="AD215" i="3"/>
  <c r="AF215" i="3" s="1"/>
  <c r="AD128" i="3"/>
  <c r="AF128" i="3" s="1"/>
  <c r="AD141" i="3"/>
  <c r="AF141" i="3" s="1"/>
  <c r="AD129" i="3"/>
  <c r="AF129" i="3" s="1"/>
  <c r="AD307" i="3"/>
  <c r="AF307" i="3" s="1"/>
  <c r="AD193" i="3"/>
  <c r="AF193" i="3" s="1"/>
  <c r="AD247" i="3"/>
  <c r="AF247" i="3" s="1"/>
  <c r="AD269" i="3"/>
  <c r="AF269" i="3" s="1"/>
  <c r="AD289" i="3"/>
  <c r="AF289" i="3" s="1"/>
  <c r="AD176" i="3"/>
  <c r="AF176" i="3" s="1"/>
  <c r="AD165" i="3"/>
  <c r="AF165" i="3" s="1"/>
  <c r="AD187" i="3"/>
  <c r="AF187" i="3" s="1"/>
  <c r="AD347" i="3"/>
  <c r="AF347" i="3" s="1"/>
  <c r="AD327" i="3"/>
  <c r="AF327" i="3" s="1"/>
  <c r="AD212" i="3"/>
  <c r="AF212" i="3" s="1"/>
  <c r="AD230" i="3"/>
  <c r="AF230" i="3" s="1"/>
  <c r="AD398" i="3"/>
  <c r="AF398" i="3" s="1"/>
  <c r="AD174" i="3"/>
  <c r="AF174" i="3" s="1"/>
  <c r="AD367" i="3"/>
  <c r="AF367" i="3" s="1"/>
  <c r="AD270" i="3"/>
  <c r="AF270" i="3" s="1"/>
  <c r="AD218" i="3"/>
  <c r="AF218" i="3" s="1"/>
  <c r="AD145" i="3"/>
  <c r="AF145" i="3" s="1"/>
  <c r="AD179" i="3"/>
  <c r="AF179" i="3" s="1"/>
  <c r="AD191" i="3"/>
  <c r="AF191" i="3" s="1"/>
  <c r="AD180" i="3"/>
  <c r="AF180" i="3" s="1"/>
  <c r="AD302" i="3"/>
  <c r="AF302" i="3" s="1"/>
  <c r="AD198" i="3"/>
  <c r="AF198" i="3" s="1"/>
  <c r="AD56" i="3"/>
  <c r="AF56" i="3" s="1"/>
  <c r="AD353" i="3"/>
  <c r="AF353" i="3" s="1"/>
  <c r="AD33" i="3"/>
  <c r="AF33" i="3" s="1"/>
  <c r="AD69" i="3"/>
  <c r="AF69" i="3" s="1"/>
  <c r="AD30" i="3"/>
  <c r="AF30" i="3" s="1"/>
  <c r="AD24" i="3"/>
  <c r="AF24" i="3" s="1"/>
  <c r="AD266" i="3"/>
  <c r="AF266" i="3" s="1"/>
  <c r="AD55" i="3"/>
  <c r="AF55" i="3" s="1"/>
  <c r="AD316" i="3"/>
  <c r="AF316" i="3" s="1"/>
  <c r="AD300" i="3"/>
  <c r="AF300" i="3" s="1"/>
  <c r="AD237" i="3"/>
  <c r="AF237" i="3" s="1"/>
  <c r="AD157" i="3"/>
  <c r="AF157" i="3" s="1"/>
  <c r="AD111" i="3"/>
  <c r="AF111" i="3" s="1"/>
  <c r="AD271" i="3"/>
  <c r="AF271" i="3" s="1"/>
  <c r="AD268" i="3"/>
  <c r="AF268" i="3" s="1"/>
  <c r="AD251" i="3"/>
  <c r="AF251" i="3" s="1"/>
  <c r="AD348" i="3"/>
  <c r="AF348" i="3" s="1"/>
  <c r="AD233" i="3"/>
  <c r="AF233" i="3" s="1"/>
  <c r="AD292" i="3"/>
  <c r="AF292" i="3" s="1"/>
  <c r="AD211" i="3"/>
  <c r="AF211" i="3" s="1"/>
  <c r="AD255" i="3"/>
  <c r="AF255" i="3" s="1"/>
  <c r="AD254" i="3"/>
  <c r="AF254" i="3" s="1"/>
  <c r="AD312" i="3"/>
  <c r="AF312" i="3" s="1"/>
  <c r="AO154" i="3"/>
  <c r="AO206" i="3"/>
  <c r="AO171" i="3"/>
  <c r="AO121" i="3"/>
  <c r="AO70" i="3"/>
  <c r="AO295" i="3"/>
  <c r="AO361" i="3"/>
  <c r="AO335" i="3"/>
  <c r="AO126" i="3"/>
  <c r="AO214" i="3"/>
  <c r="AO123" i="3"/>
  <c r="AO177" i="3"/>
  <c r="AO81" i="3"/>
  <c r="AO43" i="3"/>
  <c r="AO50" i="3"/>
  <c r="AO185" i="3"/>
  <c r="AO173" i="3"/>
  <c r="AO195" i="3"/>
  <c r="AO272" i="3"/>
  <c r="AO242" i="3"/>
  <c r="AO107" i="3"/>
  <c r="AO298" i="3"/>
  <c r="AO390" i="3"/>
  <c r="AO283" i="3"/>
  <c r="AO288" i="3"/>
  <c r="AO396" i="3"/>
  <c r="AO343" i="3"/>
  <c r="AO358" i="3"/>
  <c r="AO200" i="3"/>
  <c r="AO130" i="3"/>
  <c r="AO276" i="3"/>
  <c r="AO379" i="3"/>
  <c r="AO89" i="3"/>
  <c r="AO393" i="3"/>
  <c r="AO341" i="3"/>
  <c r="AO122" i="3"/>
  <c r="AO232" i="3"/>
  <c r="AO210" i="3"/>
  <c r="AO161" i="3"/>
  <c r="AO48" i="3"/>
  <c r="AO333" i="3"/>
  <c r="AO132" i="3"/>
  <c r="AO365" i="3"/>
  <c r="AO373" i="3"/>
  <c r="AO382" i="3"/>
  <c r="AO404" i="3"/>
  <c r="AO291" i="3"/>
  <c r="AO323" i="3"/>
  <c r="AO213" i="3"/>
  <c r="AO188" i="3"/>
  <c r="AO280" i="3"/>
  <c r="AO54" i="3"/>
  <c r="AO125" i="3"/>
  <c r="AO117" i="3"/>
  <c r="AO319" i="3"/>
  <c r="AO225" i="3"/>
  <c r="AO273" i="3"/>
  <c r="AO342" i="3"/>
  <c r="AO64" i="3"/>
  <c r="AO74" i="3"/>
  <c r="AO78" i="3"/>
  <c r="AO84" i="3"/>
  <c r="AO98" i="3"/>
  <c r="AO231" i="3"/>
  <c r="AO73" i="3"/>
  <c r="AO61" i="3"/>
  <c r="AO99" i="3"/>
  <c r="AO34" i="3"/>
  <c r="AO38" i="3"/>
  <c r="AO44" i="3"/>
  <c r="AO149" i="3"/>
  <c r="AO45" i="3"/>
  <c r="AO76" i="3"/>
  <c r="AO52" i="3"/>
  <c r="AO93" i="3"/>
  <c r="AO71" i="3"/>
  <c r="AO72" i="3"/>
  <c r="AO39" i="3"/>
  <c r="AO82" i="3"/>
  <c r="AO349" i="3"/>
  <c r="AO192" i="3"/>
  <c r="AO339" i="3"/>
  <c r="AO370" i="3"/>
  <c r="AO366" i="3"/>
  <c r="AO16" i="3"/>
  <c r="AO204" i="3"/>
  <c r="AO243" i="3"/>
  <c r="AO346" i="3"/>
  <c r="AO387" i="3"/>
  <c r="AO220" i="3"/>
  <c r="AO203" i="3"/>
  <c r="AO151" i="3"/>
  <c r="AO68" i="3"/>
  <c r="AO235" i="3"/>
  <c r="AO118" i="3"/>
  <c r="AO114" i="3"/>
  <c r="AO150" i="3"/>
  <c r="AO60" i="3"/>
  <c r="AO47" i="3"/>
  <c r="AO246" i="3"/>
  <c r="AO236" i="3"/>
  <c r="AO209" i="3"/>
  <c r="AO100" i="3"/>
  <c r="AO85" i="3"/>
  <c r="AO79" i="3"/>
  <c r="AO63" i="3"/>
  <c r="AO321" i="3"/>
  <c r="AO113" i="3"/>
  <c r="AO184" i="3"/>
  <c r="AO226" i="3"/>
  <c r="AO119" i="3"/>
  <c r="AO156" i="3"/>
  <c r="AO101" i="3"/>
  <c r="AO58" i="3"/>
  <c r="AO394" i="3"/>
  <c r="AO108" i="3"/>
  <c r="AO96" i="3"/>
  <c r="AO87" i="3"/>
  <c r="AO136" i="3"/>
  <c r="AO116" i="3"/>
  <c r="AO406" i="3"/>
  <c r="AO267" i="3"/>
  <c r="AO405" i="3"/>
  <c r="AO336" i="3"/>
  <c r="AO120" i="3"/>
  <c r="AO106" i="3"/>
  <c r="AO338" i="3"/>
  <c r="AO381" i="3"/>
  <c r="AO332" i="3"/>
  <c r="AO163" i="3"/>
  <c r="AO169" i="3"/>
  <c r="AO227" i="3"/>
  <c r="AO139" i="3"/>
  <c r="AO92" i="3"/>
  <c r="AO135" i="3"/>
  <c r="AO57" i="3"/>
  <c r="AO62" i="3"/>
  <c r="AO97" i="3"/>
  <c r="AO2" i="3"/>
  <c r="AO4" i="3"/>
  <c r="AO8" i="3"/>
  <c r="AO18" i="3"/>
  <c r="AO28" i="3"/>
  <c r="AO189" i="3"/>
  <c r="AO259" i="3"/>
  <c r="AO202" i="3"/>
  <c r="AO293" i="3"/>
  <c r="AO3" i="3"/>
  <c r="AO17" i="3"/>
  <c r="AO14" i="3"/>
  <c r="AO352" i="3"/>
  <c r="AO27" i="3"/>
  <c r="AO40" i="3"/>
  <c r="AO250" i="3"/>
  <c r="AO385" i="3"/>
  <c r="AO329" i="3"/>
  <c r="AO196" i="3"/>
  <c r="AO178" i="3"/>
  <c r="AO354" i="3"/>
  <c r="AO183" i="3"/>
  <c r="AO263" i="3"/>
  <c r="AO148" i="3"/>
  <c r="AO305" i="3"/>
  <c r="AO309" i="3"/>
  <c r="AO248" i="3"/>
  <c r="AO294" i="3"/>
  <c r="AO11" i="3"/>
  <c r="AO20" i="3"/>
  <c r="AO41" i="3"/>
  <c r="AO21" i="3"/>
  <c r="AO10" i="3"/>
  <c r="AO91" i="3"/>
  <c r="AO19" i="3"/>
  <c r="AO25" i="3"/>
  <c r="AO110" i="3"/>
  <c r="AO80" i="3"/>
  <c r="AO252" i="3"/>
  <c r="AO284" i="3"/>
  <c r="AO143" i="3"/>
  <c r="AO197" i="3"/>
  <c r="AO112" i="3"/>
  <c r="AO51" i="3"/>
  <c r="AO26" i="3"/>
  <c r="AO315" i="3"/>
  <c r="AO324" i="3"/>
  <c r="AO303" i="3"/>
  <c r="AO105" i="3"/>
  <c r="AO103" i="3"/>
  <c r="AO170" i="3"/>
  <c r="AO190" i="3"/>
  <c r="AO95" i="3"/>
  <c r="AO241" i="3"/>
  <c r="AO344" i="3"/>
  <c r="AO53" i="3"/>
  <c r="AO42" i="3"/>
  <c r="AO168" i="3"/>
  <c r="AO277" i="3"/>
  <c r="AO325" i="3"/>
  <c r="AO257" i="3"/>
  <c r="AO314" i="3"/>
  <c r="AO6" i="3"/>
  <c r="AO12" i="3"/>
  <c r="AO77" i="3"/>
  <c r="AO182" i="3"/>
  <c r="AO166" i="3"/>
  <c r="AO350" i="3"/>
  <c r="AO131" i="3"/>
  <c r="AO75" i="3"/>
  <c r="AO127" i="3"/>
  <c r="AO402" i="3"/>
  <c r="AO389" i="3"/>
  <c r="AO372" i="3"/>
  <c r="AO274" i="3"/>
  <c r="AO320" i="3"/>
  <c r="AO328" i="3"/>
  <c r="AO164" i="3"/>
  <c r="AO221" i="3"/>
  <c r="AO408" i="3"/>
  <c r="AO9" i="3"/>
  <c r="AO7" i="3"/>
  <c r="AO368" i="3"/>
  <c r="AO363" i="3"/>
  <c r="AO357" i="3"/>
  <c r="AO397" i="3"/>
  <c r="AO59" i="3"/>
  <c r="AO46" i="3"/>
  <c r="AO32" i="3"/>
  <c r="AO364" i="3"/>
  <c r="AO318" i="3"/>
  <c r="AO186" i="3"/>
  <c r="AO262" i="3"/>
  <c r="AO142" i="3"/>
  <c r="AO86" i="3"/>
  <c r="AO301" i="3"/>
  <c r="AO282" i="3"/>
  <c r="AO140" i="3"/>
  <c r="AO133" i="3"/>
  <c r="AO134" i="3"/>
  <c r="AO401" i="3"/>
  <c r="AO330" i="3"/>
  <c r="AO360" i="3"/>
  <c r="AO400" i="3"/>
  <c r="AO88" i="3"/>
  <c r="AO253" i="3"/>
  <c r="AO281" i="3"/>
  <c r="AO376" i="3"/>
  <c r="AO371" i="3"/>
  <c r="AO334" i="3"/>
  <c r="AO234" i="3"/>
  <c r="AO115" i="3"/>
  <c r="AO199" i="3"/>
  <c r="AO240" i="3"/>
  <c r="AO216" i="3"/>
  <c r="AO167" i="3"/>
  <c r="AO409" i="3"/>
  <c r="AO359" i="3"/>
  <c r="AO326" i="3"/>
  <c r="AO258" i="3"/>
  <c r="AO29" i="3"/>
  <c r="AO66" i="3"/>
  <c r="AO104" i="3"/>
  <c r="AO340" i="3"/>
  <c r="AO275" i="3"/>
  <c r="AO239" i="3"/>
  <c r="AO228" i="3"/>
  <c r="AO297" i="3"/>
  <c r="AO304" i="3"/>
  <c r="AO395" i="3"/>
  <c r="AO244" i="3"/>
  <c r="AO374" i="3"/>
  <c r="AO378" i="3"/>
  <c r="AO356" i="3"/>
  <c r="AO256" i="3"/>
  <c r="AO306" i="3"/>
  <c r="AO392" i="3"/>
  <c r="AO383" i="3"/>
  <c r="AO278" i="3"/>
  <c r="AO222" i="3"/>
  <c r="AO369" i="3"/>
  <c r="AO317" i="3"/>
  <c r="AO407" i="3"/>
  <c r="AO37" i="3"/>
  <c r="AO49" i="3"/>
  <c r="AO35" i="3"/>
  <c r="AO22" i="3"/>
  <c r="AO36" i="3"/>
  <c r="AO102" i="3"/>
  <c r="AO223" i="3"/>
  <c r="AO386" i="3"/>
  <c r="AO286" i="3"/>
  <c r="AO137" i="3"/>
  <c r="AO264" i="3"/>
  <c r="AO287" i="3"/>
  <c r="AO299" i="3"/>
  <c r="AO322" i="3"/>
  <c r="AO310" i="3"/>
  <c r="AO83" i="3"/>
  <c r="AO153" i="3"/>
  <c r="AO146" i="3"/>
  <c r="AO67" i="3"/>
  <c r="AO399" i="3"/>
  <c r="AO290" i="3"/>
  <c r="AO23" i="3"/>
  <c r="AO160" i="3"/>
  <c r="AO138" i="3"/>
  <c r="AO205" i="3"/>
  <c r="AO375" i="3"/>
  <c r="AO194" i="3"/>
  <c r="AO245" i="3"/>
  <c r="AO175" i="3"/>
  <c r="AO159" i="3"/>
  <c r="AO217" i="3"/>
  <c r="AO279" i="3"/>
  <c r="AO65" i="3"/>
  <c r="AO94" i="3"/>
  <c r="AO90" i="3"/>
  <c r="AO207" i="3"/>
  <c r="AO331" i="3"/>
  <c r="AO311" i="3"/>
  <c r="AO219" i="3"/>
  <c r="AO308" i="3"/>
  <c r="AO152" i="3"/>
  <c r="AO147" i="3"/>
  <c r="AO351" i="3"/>
  <c r="AO355" i="3"/>
  <c r="AO380" i="3"/>
  <c r="AO391" i="3"/>
  <c r="AO388" i="3"/>
  <c r="AO249" i="3"/>
  <c r="AO403" i="3"/>
  <c r="AO362" i="3"/>
  <c r="AO13" i="3"/>
  <c r="AO5" i="3"/>
  <c r="AO261" i="3"/>
  <c r="AO238" i="3"/>
  <c r="AO285" i="3"/>
  <c r="AO208" i="3"/>
  <c r="AO201" i="3"/>
  <c r="AO31" i="3"/>
  <c r="AO162" i="3"/>
  <c r="AO337" i="3"/>
  <c r="AO158" i="3"/>
  <c r="AO109" i="3"/>
  <c r="AO144" i="3"/>
  <c r="AO155" i="3"/>
  <c r="AO224" i="3"/>
  <c r="AO124" i="3"/>
  <c r="AO181" i="3"/>
  <c r="AO15" i="3"/>
  <c r="AO172" i="3"/>
  <c r="AO384" i="3"/>
  <c r="AO229" i="3"/>
  <c r="AO377" i="3"/>
  <c r="AO345" i="3"/>
  <c r="AO296" i="3"/>
  <c r="AO313" i="3"/>
  <c r="AO265" i="3"/>
  <c r="AO260" i="3"/>
  <c r="AO215" i="3"/>
  <c r="AO128" i="3"/>
  <c r="AO141" i="3"/>
  <c r="AO129" i="3"/>
  <c r="AO307" i="3"/>
  <c r="AO193" i="3"/>
  <c r="AO247" i="3"/>
  <c r="AO269" i="3"/>
  <c r="AO289" i="3"/>
  <c r="AO176" i="3"/>
  <c r="AO165" i="3"/>
  <c r="AO187" i="3"/>
  <c r="AO347" i="3"/>
  <c r="AO327" i="3"/>
  <c r="AO212" i="3"/>
  <c r="AO230" i="3"/>
  <c r="AO398" i="3"/>
  <c r="AO174" i="3"/>
  <c r="AO367" i="3"/>
  <c r="AO270" i="3"/>
  <c r="AO218" i="3"/>
  <c r="AO145" i="3"/>
  <c r="AO179" i="3"/>
  <c r="AO191" i="3"/>
  <c r="AO180" i="3"/>
  <c r="AO302" i="3"/>
  <c r="AO198" i="3"/>
  <c r="AO56" i="3"/>
  <c r="AO353" i="3"/>
  <c r="AO33" i="3"/>
  <c r="AO69" i="3"/>
  <c r="AO30" i="3"/>
  <c r="AO24" i="3"/>
  <c r="AO266" i="3"/>
  <c r="AO55" i="3"/>
  <c r="AO316" i="3"/>
  <c r="AO300" i="3"/>
  <c r="AO237" i="3"/>
  <c r="AO157" i="3"/>
  <c r="AO111" i="3"/>
  <c r="AO271" i="3"/>
  <c r="AO268" i="3"/>
  <c r="AO251" i="3"/>
  <c r="AO348" i="3"/>
  <c r="AO233" i="3"/>
  <c r="AO292" i="3"/>
  <c r="AO211" i="3"/>
  <c r="AO255" i="3"/>
  <c r="AO254" i="3"/>
  <c r="AO312" i="3"/>
  <c r="AL154" i="3"/>
  <c r="AM154" i="3" s="1"/>
  <c r="AL206" i="3"/>
  <c r="AM206" i="3" s="1"/>
  <c r="AL171" i="3"/>
  <c r="AM171" i="3" s="1"/>
  <c r="AL121" i="3"/>
  <c r="AM121" i="3" s="1"/>
  <c r="AL70" i="3"/>
  <c r="AM70" i="3" s="1"/>
  <c r="AL295" i="3"/>
  <c r="AM295" i="3" s="1"/>
  <c r="AL361" i="3"/>
  <c r="AM361" i="3" s="1"/>
  <c r="AL335" i="3"/>
  <c r="AM335" i="3" s="1"/>
  <c r="AL126" i="3"/>
  <c r="AM126" i="3" s="1"/>
  <c r="AL214" i="3"/>
  <c r="AM214" i="3" s="1"/>
  <c r="AL123" i="3"/>
  <c r="AM123" i="3" s="1"/>
  <c r="AL177" i="3"/>
  <c r="AM177" i="3" s="1"/>
  <c r="AL81" i="3"/>
  <c r="AM81" i="3" s="1"/>
  <c r="AL43" i="3"/>
  <c r="AM43" i="3" s="1"/>
  <c r="AL50" i="3"/>
  <c r="AM50" i="3" s="1"/>
  <c r="AL185" i="3"/>
  <c r="AM185" i="3" s="1"/>
  <c r="AL173" i="3"/>
  <c r="AM173" i="3" s="1"/>
  <c r="AL195" i="3"/>
  <c r="AM195" i="3" s="1"/>
  <c r="AL272" i="3"/>
  <c r="AM272" i="3" s="1"/>
  <c r="AL242" i="3"/>
  <c r="AM242" i="3" s="1"/>
  <c r="AL107" i="3"/>
  <c r="AM107" i="3" s="1"/>
  <c r="AL298" i="3"/>
  <c r="AM298" i="3" s="1"/>
  <c r="AL390" i="3"/>
  <c r="AM390" i="3" s="1"/>
  <c r="AL283" i="3"/>
  <c r="AM283" i="3" s="1"/>
  <c r="AL288" i="3"/>
  <c r="AM288" i="3" s="1"/>
  <c r="AL396" i="3"/>
  <c r="AM396" i="3" s="1"/>
  <c r="AL343" i="3"/>
  <c r="AM343" i="3" s="1"/>
  <c r="AL358" i="3"/>
  <c r="AM358" i="3" s="1"/>
  <c r="AL200" i="3"/>
  <c r="AM200" i="3" s="1"/>
  <c r="AL130" i="3"/>
  <c r="AM130" i="3" s="1"/>
  <c r="AL276" i="3"/>
  <c r="AM276" i="3" s="1"/>
  <c r="AL379" i="3"/>
  <c r="AM379" i="3" s="1"/>
  <c r="AL89" i="3"/>
  <c r="AM89" i="3" s="1"/>
  <c r="AL393" i="3"/>
  <c r="AM393" i="3" s="1"/>
  <c r="AL341" i="3"/>
  <c r="AM341" i="3" s="1"/>
  <c r="AL122" i="3"/>
  <c r="AM122" i="3" s="1"/>
  <c r="AL232" i="3"/>
  <c r="AM232" i="3" s="1"/>
  <c r="AL210" i="3"/>
  <c r="AM210" i="3" s="1"/>
  <c r="AL161" i="3"/>
  <c r="AM161" i="3" s="1"/>
  <c r="AL48" i="3"/>
  <c r="AM48" i="3" s="1"/>
  <c r="AL333" i="3"/>
  <c r="AM333" i="3" s="1"/>
  <c r="AL132" i="3"/>
  <c r="AM132" i="3" s="1"/>
  <c r="AL365" i="3"/>
  <c r="AM365" i="3" s="1"/>
  <c r="AL373" i="3"/>
  <c r="AM373" i="3" s="1"/>
  <c r="AL382" i="3"/>
  <c r="AM382" i="3" s="1"/>
  <c r="AL404" i="3"/>
  <c r="AM404" i="3" s="1"/>
  <c r="AL291" i="3"/>
  <c r="AM291" i="3" s="1"/>
  <c r="AL323" i="3"/>
  <c r="AM323" i="3" s="1"/>
  <c r="AL213" i="3"/>
  <c r="AM213" i="3" s="1"/>
  <c r="AL188" i="3"/>
  <c r="AM188" i="3" s="1"/>
  <c r="AL280" i="3"/>
  <c r="AM280" i="3" s="1"/>
  <c r="AL54" i="3"/>
  <c r="AM54" i="3" s="1"/>
  <c r="AL125" i="3"/>
  <c r="AM125" i="3" s="1"/>
  <c r="AL117" i="3"/>
  <c r="AM117" i="3" s="1"/>
  <c r="AL319" i="3"/>
  <c r="AM319" i="3" s="1"/>
  <c r="AL225" i="3"/>
  <c r="AM225" i="3" s="1"/>
  <c r="AL273" i="3"/>
  <c r="AM273" i="3" s="1"/>
  <c r="AL342" i="3"/>
  <c r="AM342" i="3" s="1"/>
  <c r="AL64" i="3"/>
  <c r="AM64" i="3" s="1"/>
  <c r="AL74" i="3"/>
  <c r="AM74" i="3" s="1"/>
  <c r="AL78" i="3"/>
  <c r="AM78" i="3" s="1"/>
  <c r="AL84" i="3"/>
  <c r="AM84" i="3" s="1"/>
  <c r="AL98" i="3"/>
  <c r="AM98" i="3" s="1"/>
  <c r="AL231" i="3"/>
  <c r="AM231" i="3" s="1"/>
  <c r="AL73" i="3"/>
  <c r="AM73" i="3" s="1"/>
  <c r="AL61" i="3"/>
  <c r="AM61" i="3" s="1"/>
  <c r="AL99" i="3"/>
  <c r="AM99" i="3" s="1"/>
  <c r="AL34" i="3"/>
  <c r="AM34" i="3" s="1"/>
  <c r="AL38" i="3"/>
  <c r="AM38" i="3" s="1"/>
  <c r="AL44" i="3"/>
  <c r="AM44" i="3" s="1"/>
  <c r="AL149" i="3"/>
  <c r="AM149" i="3" s="1"/>
  <c r="AL45" i="3"/>
  <c r="AM45" i="3" s="1"/>
  <c r="AL76" i="3"/>
  <c r="AM76" i="3" s="1"/>
  <c r="AL52" i="3"/>
  <c r="AM52" i="3" s="1"/>
  <c r="AL93" i="3"/>
  <c r="AM93" i="3" s="1"/>
  <c r="AL71" i="3"/>
  <c r="AM71" i="3" s="1"/>
  <c r="AL72" i="3"/>
  <c r="AM72" i="3" s="1"/>
  <c r="AL39" i="3"/>
  <c r="AM39" i="3" s="1"/>
  <c r="AL82" i="3"/>
  <c r="AM82" i="3" s="1"/>
  <c r="AL349" i="3"/>
  <c r="AM349" i="3" s="1"/>
  <c r="AL192" i="3"/>
  <c r="AM192" i="3" s="1"/>
  <c r="AL339" i="3"/>
  <c r="AM339" i="3" s="1"/>
  <c r="AL370" i="3"/>
  <c r="AM370" i="3" s="1"/>
  <c r="AL366" i="3"/>
  <c r="AM366" i="3" s="1"/>
  <c r="AL16" i="3"/>
  <c r="AM16" i="3" s="1"/>
  <c r="AL204" i="3"/>
  <c r="AM204" i="3" s="1"/>
  <c r="AL243" i="3"/>
  <c r="AM243" i="3" s="1"/>
  <c r="AL346" i="3"/>
  <c r="AM346" i="3" s="1"/>
  <c r="AL387" i="3"/>
  <c r="AM387" i="3" s="1"/>
  <c r="AL220" i="3"/>
  <c r="AM220" i="3" s="1"/>
  <c r="AL203" i="3"/>
  <c r="AM203" i="3" s="1"/>
  <c r="AL151" i="3"/>
  <c r="AM151" i="3" s="1"/>
  <c r="AL68" i="3"/>
  <c r="AM68" i="3" s="1"/>
  <c r="AL235" i="3"/>
  <c r="AM235" i="3" s="1"/>
  <c r="AL118" i="3"/>
  <c r="AM118" i="3" s="1"/>
  <c r="AL114" i="3"/>
  <c r="AM114" i="3" s="1"/>
  <c r="AL150" i="3"/>
  <c r="AM150" i="3" s="1"/>
  <c r="AL60" i="3"/>
  <c r="AM60" i="3" s="1"/>
  <c r="AL47" i="3"/>
  <c r="AM47" i="3" s="1"/>
  <c r="AL246" i="3"/>
  <c r="AL236" i="3"/>
  <c r="AM236" i="3" s="1"/>
  <c r="AL209" i="3"/>
  <c r="AM209" i="3" s="1"/>
  <c r="AL100" i="3"/>
  <c r="AM100" i="3" s="1"/>
  <c r="AL85" i="3"/>
  <c r="AM85" i="3" s="1"/>
  <c r="AL79" i="3"/>
  <c r="AM79" i="3" s="1"/>
  <c r="AL63" i="3"/>
  <c r="AM63" i="3" s="1"/>
  <c r="AL321" i="3"/>
  <c r="AM321" i="3" s="1"/>
  <c r="AL113" i="3"/>
  <c r="AM113" i="3" s="1"/>
  <c r="AL184" i="3"/>
  <c r="AM184" i="3" s="1"/>
  <c r="AL226" i="3"/>
  <c r="AM226" i="3" s="1"/>
  <c r="AL119" i="3"/>
  <c r="AM119" i="3" s="1"/>
  <c r="AL156" i="3"/>
  <c r="AM156" i="3" s="1"/>
  <c r="AL101" i="3"/>
  <c r="AM101" i="3" s="1"/>
  <c r="AL58" i="3"/>
  <c r="AM58" i="3" s="1"/>
  <c r="AL394" i="3"/>
  <c r="AM394" i="3" s="1"/>
  <c r="AL108" i="3"/>
  <c r="AM108" i="3" s="1"/>
  <c r="AL96" i="3"/>
  <c r="AM96" i="3" s="1"/>
  <c r="AL87" i="3"/>
  <c r="AL136" i="3"/>
  <c r="AM136" i="3" s="1"/>
  <c r="AL116" i="3"/>
  <c r="AM116" i="3" s="1"/>
  <c r="AL406" i="3"/>
  <c r="AM406" i="3" s="1"/>
  <c r="AL267" i="3"/>
  <c r="AM267" i="3" s="1"/>
  <c r="AL405" i="3"/>
  <c r="AM405" i="3" s="1"/>
  <c r="AL336" i="3"/>
  <c r="AM336" i="3" s="1"/>
  <c r="AL120" i="3"/>
  <c r="AM120" i="3" s="1"/>
  <c r="AL106" i="3"/>
  <c r="AM106" i="3" s="1"/>
  <c r="AL338" i="3"/>
  <c r="AM338" i="3" s="1"/>
  <c r="AL381" i="3"/>
  <c r="AM381" i="3" s="1"/>
  <c r="AL332" i="3"/>
  <c r="AM332" i="3" s="1"/>
  <c r="AL163" i="3"/>
  <c r="AM163" i="3" s="1"/>
  <c r="AL169" i="3"/>
  <c r="AM169" i="3" s="1"/>
  <c r="AL227" i="3"/>
  <c r="AM227" i="3" s="1"/>
  <c r="AL139" i="3"/>
  <c r="AM139" i="3" s="1"/>
  <c r="AL92" i="3"/>
  <c r="AM92" i="3" s="1"/>
  <c r="AL135" i="3"/>
  <c r="AM135" i="3" s="1"/>
  <c r="AL57" i="3"/>
  <c r="AM57" i="3" s="1"/>
  <c r="AL62" i="3"/>
  <c r="AM62" i="3" s="1"/>
  <c r="AL97" i="3"/>
  <c r="AM97" i="3" s="1"/>
  <c r="AL2" i="3"/>
  <c r="AM2" i="3" s="1"/>
  <c r="AL4" i="3"/>
  <c r="AM4" i="3" s="1"/>
  <c r="AL8" i="3"/>
  <c r="AL18" i="3"/>
  <c r="AM18" i="3" s="1"/>
  <c r="AL28" i="3"/>
  <c r="AM28" i="3" s="1"/>
  <c r="AL189" i="3"/>
  <c r="AM189" i="3" s="1"/>
  <c r="AL259" i="3"/>
  <c r="AM259" i="3" s="1"/>
  <c r="AL202" i="3"/>
  <c r="AL293" i="3"/>
  <c r="AM293" i="3" s="1"/>
  <c r="AL3" i="3"/>
  <c r="AM3" i="3" s="1"/>
  <c r="AL17" i="3"/>
  <c r="AM17" i="3" s="1"/>
  <c r="AL14" i="3"/>
  <c r="AM14" i="3" s="1"/>
  <c r="AL352" i="3"/>
  <c r="AM352" i="3" s="1"/>
  <c r="AL27" i="3"/>
  <c r="AM27" i="3" s="1"/>
  <c r="AL40" i="3"/>
  <c r="AM40" i="3" s="1"/>
  <c r="AL250" i="3"/>
  <c r="AM250" i="3" s="1"/>
  <c r="AL385" i="3"/>
  <c r="AM385" i="3" s="1"/>
  <c r="AL329" i="3"/>
  <c r="AM329" i="3" s="1"/>
  <c r="AL196" i="3"/>
  <c r="AM196" i="3" s="1"/>
  <c r="AL178" i="3"/>
  <c r="AM178" i="3" s="1"/>
  <c r="AL354" i="3"/>
  <c r="AM354" i="3" s="1"/>
  <c r="AL183" i="3"/>
  <c r="AM183" i="3" s="1"/>
  <c r="AL263" i="3"/>
  <c r="AM263" i="3" s="1"/>
  <c r="AL148" i="3"/>
  <c r="AM148" i="3" s="1"/>
  <c r="AL305" i="3"/>
  <c r="AM305" i="3" s="1"/>
  <c r="AL309" i="3"/>
  <c r="AM309" i="3" s="1"/>
  <c r="AL248" i="3"/>
  <c r="AM248" i="3" s="1"/>
  <c r="AL294" i="3"/>
  <c r="AM294" i="3" s="1"/>
  <c r="AL11" i="3"/>
  <c r="AM11" i="3" s="1"/>
  <c r="AL20" i="3"/>
  <c r="AL41" i="3"/>
  <c r="AM41" i="3" s="1"/>
  <c r="AL21" i="3"/>
  <c r="AM21" i="3" s="1"/>
  <c r="AL10" i="3"/>
  <c r="AM10" i="3" s="1"/>
  <c r="AL91" i="3"/>
  <c r="AM91" i="3" s="1"/>
  <c r="AL19" i="3"/>
  <c r="AM19" i="3" s="1"/>
  <c r="AL25" i="3"/>
  <c r="AM25" i="3" s="1"/>
  <c r="AL110" i="3"/>
  <c r="AM110" i="3" s="1"/>
  <c r="AL80" i="3"/>
  <c r="AM80" i="3" s="1"/>
  <c r="AL252" i="3"/>
  <c r="AM252" i="3" s="1"/>
  <c r="AL284" i="3"/>
  <c r="AM284" i="3" s="1"/>
  <c r="AL143" i="3"/>
  <c r="AM143" i="3" s="1"/>
  <c r="AL197" i="3"/>
  <c r="AM197" i="3" s="1"/>
  <c r="AL112" i="3"/>
  <c r="AM112" i="3" s="1"/>
  <c r="AL51" i="3"/>
  <c r="AM51" i="3" s="1"/>
  <c r="AL26" i="3"/>
  <c r="AM26" i="3" s="1"/>
  <c r="AL315" i="3"/>
  <c r="AM315" i="3" s="1"/>
  <c r="AL324" i="3"/>
  <c r="AM324" i="3" s="1"/>
  <c r="AL303" i="3"/>
  <c r="AM303" i="3" s="1"/>
  <c r="AL105" i="3"/>
  <c r="AM105" i="3" s="1"/>
  <c r="AL103" i="3"/>
  <c r="AM103" i="3" s="1"/>
  <c r="AL170" i="3"/>
  <c r="AM170" i="3" s="1"/>
  <c r="AL190" i="3"/>
  <c r="AM190" i="3" s="1"/>
  <c r="AL95" i="3"/>
  <c r="AM95" i="3" s="1"/>
  <c r="AL241" i="3"/>
  <c r="AM241" i="3" s="1"/>
  <c r="AL344" i="3"/>
  <c r="AM344" i="3" s="1"/>
  <c r="AL53" i="3"/>
  <c r="AM53" i="3" s="1"/>
  <c r="AL42" i="3"/>
  <c r="AM42" i="3" s="1"/>
  <c r="AL168" i="3"/>
  <c r="AM168" i="3" s="1"/>
  <c r="AL277" i="3"/>
  <c r="AM277" i="3" s="1"/>
  <c r="AL325" i="3"/>
  <c r="AM325" i="3" s="1"/>
  <c r="AL257" i="3"/>
  <c r="AM257" i="3" s="1"/>
  <c r="AL314" i="3"/>
  <c r="AM314" i="3" s="1"/>
  <c r="AL6" i="3"/>
  <c r="AM6" i="3" s="1"/>
  <c r="AL12" i="3"/>
  <c r="AM12" i="3" s="1"/>
  <c r="AL77" i="3"/>
  <c r="AM77" i="3" s="1"/>
  <c r="AL182" i="3"/>
  <c r="AM182" i="3" s="1"/>
  <c r="AL166" i="3"/>
  <c r="AM166" i="3" s="1"/>
  <c r="AL350" i="3"/>
  <c r="AM350" i="3" s="1"/>
  <c r="AL131" i="3"/>
  <c r="AM131" i="3" s="1"/>
  <c r="AL75" i="3"/>
  <c r="AM75" i="3" s="1"/>
  <c r="AL127" i="3"/>
  <c r="AM127" i="3" s="1"/>
  <c r="AL402" i="3"/>
  <c r="AM402" i="3" s="1"/>
  <c r="AL389" i="3"/>
  <c r="AM389" i="3" s="1"/>
  <c r="AL372" i="3"/>
  <c r="AM372" i="3" s="1"/>
  <c r="AL274" i="3"/>
  <c r="AM274" i="3" s="1"/>
  <c r="AL320" i="3"/>
  <c r="AM320" i="3" s="1"/>
  <c r="AL328" i="3"/>
  <c r="AM328" i="3" s="1"/>
  <c r="AL164" i="3"/>
  <c r="AM164" i="3" s="1"/>
  <c r="AL221" i="3"/>
  <c r="AM221" i="3" s="1"/>
  <c r="AL408" i="3"/>
  <c r="AM408" i="3" s="1"/>
  <c r="AL9" i="3"/>
  <c r="AM9" i="3" s="1"/>
  <c r="AL7" i="3"/>
  <c r="AM7" i="3" s="1"/>
  <c r="AL368" i="3"/>
  <c r="AM368" i="3" s="1"/>
  <c r="AL363" i="3"/>
  <c r="AM363" i="3" s="1"/>
  <c r="AL357" i="3"/>
  <c r="AM357" i="3" s="1"/>
  <c r="AL397" i="3"/>
  <c r="AM397" i="3" s="1"/>
  <c r="AL59" i="3"/>
  <c r="AM59" i="3" s="1"/>
  <c r="AL46" i="3"/>
  <c r="AM46" i="3" s="1"/>
  <c r="AL32" i="3"/>
  <c r="AM32" i="3" s="1"/>
  <c r="AL364" i="3"/>
  <c r="AM364" i="3" s="1"/>
  <c r="AL318" i="3"/>
  <c r="AM318" i="3" s="1"/>
  <c r="AL186" i="3"/>
  <c r="AM186" i="3" s="1"/>
  <c r="AL262" i="3"/>
  <c r="AM262" i="3" s="1"/>
  <c r="AL142" i="3"/>
  <c r="AM142" i="3" s="1"/>
  <c r="AL86" i="3"/>
  <c r="AM86" i="3" s="1"/>
  <c r="AL301" i="3"/>
  <c r="AM301" i="3" s="1"/>
  <c r="AL282" i="3"/>
  <c r="AM282" i="3" s="1"/>
  <c r="AL140" i="3"/>
  <c r="AM140" i="3" s="1"/>
  <c r="AL133" i="3"/>
  <c r="AM133" i="3" s="1"/>
  <c r="AL134" i="3"/>
  <c r="AM134" i="3" s="1"/>
  <c r="AL401" i="3"/>
  <c r="AM401" i="3" s="1"/>
  <c r="AL330" i="3"/>
  <c r="AM330" i="3" s="1"/>
  <c r="AL360" i="3"/>
  <c r="AM360" i="3" s="1"/>
  <c r="AL400" i="3"/>
  <c r="AM400" i="3" s="1"/>
  <c r="AL88" i="3"/>
  <c r="AM88" i="3" s="1"/>
  <c r="AL253" i="3"/>
  <c r="AM253" i="3" s="1"/>
  <c r="AL281" i="3"/>
  <c r="AM281" i="3" s="1"/>
  <c r="AL376" i="3"/>
  <c r="AM376" i="3" s="1"/>
  <c r="AL371" i="3"/>
  <c r="AM371" i="3" s="1"/>
  <c r="AL334" i="3"/>
  <c r="AM334" i="3" s="1"/>
  <c r="AL234" i="3"/>
  <c r="AM234" i="3" s="1"/>
  <c r="AL115" i="3"/>
  <c r="AM115" i="3" s="1"/>
  <c r="AL199" i="3"/>
  <c r="AM199" i="3" s="1"/>
  <c r="AL240" i="3"/>
  <c r="AM240" i="3" s="1"/>
  <c r="AL216" i="3"/>
  <c r="AM216" i="3" s="1"/>
  <c r="AL167" i="3"/>
  <c r="AM167" i="3" s="1"/>
  <c r="AL409" i="3"/>
  <c r="AM409" i="3" s="1"/>
  <c r="AL359" i="3"/>
  <c r="AM359" i="3" s="1"/>
  <c r="AL326" i="3"/>
  <c r="AM326" i="3" s="1"/>
  <c r="AL258" i="3"/>
  <c r="AM258" i="3" s="1"/>
  <c r="AL29" i="3"/>
  <c r="AM29" i="3" s="1"/>
  <c r="AL66" i="3"/>
  <c r="AM66" i="3" s="1"/>
  <c r="AL104" i="3"/>
  <c r="AM104" i="3" s="1"/>
  <c r="AL340" i="3"/>
  <c r="AM340" i="3" s="1"/>
  <c r="AL275" i="3"/>
  <c r="AM275" i="3" s="1"/>
  <c r="AL239" i="3"/>
  <c r="AM239" i="3" s="1"/>
  <c r="AL228" i="3"/>
  <c r="AM228" i="3" s="1"/>
  <c r="AL297" i="3"/>
  <c r="AM297" i="3" s="1"/>
  <c r="AL304" i="3"/>
  <c r="AM304" i="3" s="1"/>
  <c r="AL395" i="3"/>
  <c r="AM395" i="3" s="1"/>
  <c r="AL244" i="3"/>
  <c r="AM244" i="3" s="1"/>
  <c r="AL374" i="3"/>
  <c r="AM374" i="3" s="1"/>
  <c r="AL378" i="3"/>
  <c r="AM378" i="3" s="1"/>
  <c r="AL356" i="3"/>
  <c r="AM356" i="3" s="1"/>
  <c r="AL256" i="3"/>
  <c r="AM256" i="3" s="1"/>
  <c r="AL306" i="3"/>
  <c r="AM306" i="3" s="1"/>
  <c r="AL392" i="3"/>
  <c r="AM392" i="3" s="1"/>
  <c r="AL383" i="3"/>
  <c r="AM383" i="3" s="1"/>
  <c r="AL278" i="3"/>
  <c r="AM278" i="3" s="1"/>
  <c r="AL222" i="3"/>
  <c r="AM222" i="3" s="1"/>
  <c r="AL369" i="3"/>
  <c r="AM369" i="3" s="1"/>
  <c r="AL317" i="3"/>
  <c r="AM317" i="3" s="1"/>
  <c r="AL407" i="3"/>
  <c r="AM407" i="3" s="1"/>
  <c r="AL37" i="3"/>
  <c r="AM37" i="3" s="1"/>
  <c r="AL49" i="3"/>
  <c r="AM49" i="3" s="1"/>
  <c r="AL35" i="3"/>
  <c r="AM35" i="3" s="1"/>
  <c r="AL22" i="3"/>
  <c r="AM22" i="3" s="1"/>
  <c r="AL36" i="3"/>
  <c r="AM36" i="3" s="1"/>
  <c r="AL102" i="3"/>
  <c r="AM102" i="3" s="1"/>
  <c r="AL223" i="3"/>
  <c r="AM223" i="3" s="1"/>
  <c r="AL386" i="3"/>
  <c r="AM386" i="3" s="1"/>
  <c r="AL286" i="3"/>
  <c r="AM286" i="3" s="1"/>
  <c r="AL137" i="3"/>
  <c r="AM137" i="3" s="1"/>
  <c r="AL264" i="3"/>
  <c r="AM264" i="3" s="1"/>
  <c r="AL287" i="3"/>
  <c r="AM287" i="3" s="1"/>
  <c r="AL299" i="3"/>
  <c r="AM299" i="3" s="1"/>
  <c r="AL322" i="3"/>
  <c r="AM322" i="3" s="1"/>
  <c r="AL310" i="3"/>
  <c r="AM310" i="3" s="1"/>
  <c r="AL83" i="3"/>
  <c r="AM83" i="3" s="1"/>
  <c r="AL153" i="3"/>
  <c r="AM153" i="3" s="1"/>
  <c r="AL146" i="3"/>
  <c r="AM146" i="3" s="1"/>
  <c r="AL67" i="3"/>
  <c r="AM67" i="3" s="1"/>
  <c r="AL399" i="3"/>
  <c r="AM399" i="3" s="1"/>
  <c r="AL290" i="3"/>
  <c r="AM290" i="3" s="1"/>
  <c r="AL23" i="3"/>
  <c r="AM23" i="3" s="1"/>
  <c r="AL160" i="3"/>
  <c r="AM160" i="3" s="1"/>
  <c r="AL138" i="3"/>
  <c r="AM138" i="3" s="1"/>
  <c r="AL205" i="3"/>
  <c r="AM205" i="3" s="1"/>
  <c r="AL375" i="3"/>
  <c r="AM375" i="3" s="1"/>
  <c r="AL194" i="3"/>
  <c r="AM194" i="3" s="1"/>
  <c r="AL245" i="3"/>
  <c r="AM245" i="3" s="1"/>
  <c r="AL175" i="3"/>
  <c r="AM175" i="3" s="1"/>
  <c r="AL159" i="3"/>
  <c r="AM159" i="3" s="1"/>
  <c r="AL217" i="3"/>
  <c r="AM217" i="3" s="1"/>
  <c r="AL279" i="3"/>
  <c r="AM279" i="3" s="1"/>
  <c r="AL65" i="3"/>
  <c r="AM65" i="3" s="1"/>
  <c r="AL94" i="3"/>
  <c r="AM94" i="3" s="1"/>
  <c r="AL90" i="3"/>
  <c r="AL207" i="3"/>
  <c r="AM207" i="3" s="1"/>
  <c r="AL331" i="3"/>
  <c r="AM331" i="3" s="1"/>
  <c r="AL311" i="3"/>
  <c r="AM311" i="3" s="1"/>
  <c r="AL219" i="3"/>
  <c r="AM219" i="3" s="1"/>
  <c r="AL308" i="3"/>
  <c r="AM308" i="3" s="1"/>
  <c r="AL152" i="3"/>
  <c r="AM152" i="3" s="1"/>
  <c r="AL147" i="3"/>
  <c r="AM147" i="3" s="1"/>
  <c r="AL351" i="3"/>
  <c r="AM351" i="3" s="1"/>
  <c r="AL355" i="3"/>
  <c r="AM355" i="3" s="1"/>
  <c r="AL380" i="3"/>
  <c r="AM380" i="3" s="1"/>
  <c r="AL391" i="3"/>
  <c r="AM391" i="3" s="1"/>
  <c r="AL388" i="3"/>
  <c r="AM388" i="3" s="1"/>
  <c r="AL249" i="3"/>
  <c r="AM249" i="3" s="1"/>
  <c r="AL403" i="3"/>
  <c r="AM403" i="3" s="1"/>
  <c r="AL362" i="3"/>
  <c r="AM362" i="3" s="1"/>
  <c r="AL13" i="3"/>
  <c r="AM13" i="3" s="1"/>
  <c r="AL5" i="3"/>
  <c r="AM5" i="3" s="1"/>
  <c r="AL261" i="3"/>
  <c r="AM261" i="3" s="1"/>
  <c r="AL238" i="3"/>
  <c r="AM238" i="3" s="1"/>
  <c r="AL285" i="3"/>
  <c r="AM285" i="3" s="1"/>
  <c r="AL208" i="3"/>
  <c r="AM208" i="3" s="1"/>
  <c r="AL201" i="3"/>
  <c r="AM201" i="3" s="1"/>
  <c r="AL31" i="3"/>
  <c r="AM31" i="3" s="1"/>
  <c r="AL162" i="3"/>
  <c r="AM162" i="3" s="1"/>
  <c r="AL337" i="3"/>
  <c r="AM337" i="3" s="1"/>
  <c r="AL158" i="3"/>
  <c r="AM158" i="3" s="1"/>
  <c r="AL109" i="3"/>
  <c r="AM109" i="3" s="1"/>
  <c r="AL144" i="3"/>
  <c r="AM144" i="3" s="1"/>
  <c r="AL155" i="3"/>
  <c r="AM155" i="3" s="1"/>
  <c r="AL224" i="3"/>
  <c r="AM224" i="3" s="1"/>
  <c r="AL124" i="3"/>
  <c r="AM124" i="3" s="1"/>
  <c r="AL181" i="3"/>
  <c r="AM181" i="3" s="1"/>
  <c r="AL15" i="3"/>
  <c r="AM15" i="3" s="1"/>
  <c r="AL172" i="3"/>
  <c r="AM172" i="3" s="1"/>
  <c r="AL384" i="3"/>
  <c r="AM384" i="3" s="1"/>
  <c r="AL229" i="3"/>
  <c r="AM229" i="3" s="1"/>
  <c r="AL377" i="3"/>
  <c r="AM377" i="3" s="1"/>
  <c r="AL345" i="3"/>
  <c r="AM345" i="3" s="1"/>
  <c r="AL296" i="3"/>
  <c r="AM296" i="3" s="1"/>
  <c r="AL313" i="3"/>
  <c r="AM313" i="3" s="1"/>
  <c r="AL265" i="3"/>
  <c r="AM265" i="3" s="1"/>
  <c r="AL260" i="3"/>
  <c r="AM260" i="3" s="1"/>
  <c r="AL215" i="3"/>
  <c r="AM215" i="3" s="1"/>
  <c r="AL128" i="3"/>
  <c r="AM128" i="3" s="1"/>
  <c r="AL141" i="3"/>
  <c r="AM141" i="3" s="1"/>
  <c r="AL129" i="3"/>
  <c r="AM129" i="3" s="1"/>
  <c r="AL307" i="3"/>
  <c r="AM307" i="3" s="1"/>
  <c r="AL193" i="3"/>
  <c r="AM193" i="3" s="1"/>
  <c r="AL247" i="3"/>
  <c r="AM247" i="3" s="1"/>
  <c r="AL269" i="3"/>
  <c r="AM269" i="3" s="1"/>
  <c r="AL289" i="3"/>
  <c r="AM289" i="3" s="1"/>
  <c r="AL176" i="3"/>
  <c r="AM176" i="3" s="1"/>
  <c r="AL165" i="3"/>
  <c r="AM165" i="3" s="1"/>
  <c r="AL187" i="3"/>
  <c r="AM187" i="3" s="1"/>
  <c r="AL347" i="3"/>
  <c r="AM347" i="3" s="1"/>
  <c r="AL327" i="3"/>
  <c r="AM327" i="3" s="1"/>
  <c r="AL212" i="3"/>
  <c r="AM212" i="3" s="1"/>
  <c r="AL230" i="3"/>
  <c r="AM230" i="3" s="1"/>
  <c r="AL398" i="3"/>
  <c r="AM398" i="3" s="1"/>
  <c r="AL174" i="3"/>
  <c r="AM174" i="3" s="1"/>
  <c r="AL367" i="3"/>
  <c r="AM367" i="3" s="1"/>
  <c r="AL270" i="3"/>
  <c r="AM270" i="3" s="1"/>
  <c r="AL218" i="3"/>
  <c r="AM218" i="3" s="1"/>
  <c r="AL145" i="3"/>
  <c r="AM145" i="3" s="1"/>
  <c r="AL179" i="3"/>
  <c r="AM179" i="3" s="1"/>
  <c r="AL191" i="3"/>
  <c r="AM191" i="3" s="1"/>
  <c r="AL180" i="3"/>
  <c r="AM180" i="3" s="1"/>
  <c r="AL302" i="3"/>
  <c r="AM302" i="3" s="1"/>
  <c r="AL198" i="3"/>
  <c r="AM198" i="3" s="1"/>
  <c r="AL56" i="3"/>
  <c r="AM56" i="3" s="1"/>
  <c r="AL353" i="3"/>
  <c r="AM353" i="3" s="1"/>
  <c r="AL33" i="3"/>
  <c r="AM33" i="3" s="1"/>
  <c r="AL69" i="3"/>
  <c r="AM69" i="3" s="1"/>
  <c r="AL30" i="3"/>
  <c r="AM30" i="3" s="1"/>
  <c r="AL24" i="3"/>
  <c r="AM24" i="3" s="1"/>
  <c r="AL266" i="3"/>
  <c r="AM266" i="3" s="1"/>
  <c r="AL55" i="3"/>
  <c r="AM55" i="3" s="1"/>
  <c r="AL316" i="3"/>
  <c r="AM316" i="3" s="1"/>
  <c r="AL300" i="3"/>
  <c r="AM300" i="3" s="1"/>
  <c r="AL237" i="3"/>
  <c r="AM237" i="3" s="1"/>
  <c r="AL157" i="3"/>
  <c r="AM157" i="3" s="1"/>
  <c r="AL111" i="3"/>
  <c r="AM111" i="3" s="1"/>
  <c r="AL271" i="3"/>
  <c r="AM271" i="3" s="1"/>
  <c r="AL268" i="3"/>
  <c r="AM268" i="3" s="1"/>
  <c r="AL251" i="3"/>
  <c r="AM251" i="3" s="1"/>
  <c r="AL348" i="3"/>
  <c r="AM348" i="3" s="1"/>
  <c r="AL233" i="3"/>
  <c r="AM233" i="3" s="1"/>
  <c r="AL292" i="3"/>
  <c r="AM292" i="3" s="1"/>
  <c r="AL211" i="3"/>
  <c r="AM211" i="3" s="1"/>
  <c r="AL255" i="3"/>
  <c r="AM255" i="3" s="1"/>
  <c r="AL254" i="3"/>
  <c r="AM254" i="3" s="1"/>
  <c r="AL312" i="3"/>
  <c r="AM312" i="3" s="1"/>
  <c r="AH154" i="3"/>
  <c r="AH206" i="3"/>
  <c r="AH171" i="3"/>
  <c r="AH121" i="3"/>
  <c r="AH70" i="3"/>
  <c r="AH295" i="3"/>
  <c r="AH361" i="3"/>
  <c r="AH335" i="3"/>
  <c r="AH126" i="3"/>
  <c r="AH214" i="3"/>
  <c r="AH123" i="3"/>
  <c r="AH177" i="3"/>
  <c r="AH81" i="3"/>
  <c r="AI81" i="3" s="1"/>
  <c r="AH43" i="3"/>
  <c r="AH50" i="3"/>
  <c r="AI50" i="3" s="1"/>
  <c r="AH185" i="3"/>
  <c r="AH173" i="3"/>
  <c r="AH195" i="3"/>
  <c r="AH272" i="3"/>
  <c r="AI272" i="3" s="1"/>
  <c r="AH242" i="3"/>
  <c r="AH107" i="3"/>
  <c r="AH298" i="3"/>
  <c r="AH390" i="3"/>
  <c r="AH283" i="3"/>
  <c r="AH288" i="3"/>
  <c r="AH396" i="3"/>
  <c r="AH343" i="3"/>
  <c r="AH358" i="3"/>
  <c r="AH200" i="3"/>
  <c r="AH130" i="3"/>
  <c r="AH276" i="3"/>
  <c r="AH379" i="3"/>
  <c r="AH89" i="3"/>
  <c r="AH393" i="3"/>
  <c r="AH341" i="3"/>
  <c r="AH122" i="3"/>
  <c r="AH232" i="3"/>
  <c r="AH210" i="3"/>
  <c r="AH161" i="3"/>
  <c r="AI161" i="3" s="1"/>
  <c r="AH48" i="3"/>
  <c r="AH333" i="3"/>
  <c r="AH132" i="3"/>
  <c r="AH365" i="3"/>
  <c r="AH373" i="3"/>
  <c r="AI373" i="3" s="1"/>
  <c r="AH382" i="3"/>
  <c r="AH404" i="3"/>
  <c r="AH291" i="3"/>
  <c r="AH323" i="3"/>
  <c r="AH213" i="3"/>
  <c r="AH188" i="3"/>
  <c r="AH280" i="3"/>
  <c r="AI280" i="3" s="1"/>
  <c r="AH54" i="3"/>
  <c r="AH125" i="3"/>
  <c r="AH117" i="3"/>
  <c r="AH319" i="3"/>
  <c r="AH225" i="3"/>
  <c r="AI225" i="3" s="1"/>
  <c r="AH273" i="3"/>
  <c r="AI273" i="3" s="1"/>
  <c r="AH342" i="3"/>
  <c r="AH64" i="3"/>
  <c r="AH74" i="3"/>
  <c r="AH78" i="3"/>
  <c r="AH84" i="3"/>
  <c r="AH98" i="3"/>
  <c r="AH231" i="3"/>
  <c r="AH73" i="3"/>
  <c r="AH61" i="3"/>
  <c r="AH99" i="3"/>
  <c r="AH34" i="3"/>
  <c r="AH38" i="3"/>
  <c r="AH44" i="3"/>
  <c r="AH149" i="3"/>
  <c r="AH45" i="3"/>
  <c r="AI45" i="3" s="1"/>
  <c r="AH76" i="3"/>
  <c r="AH52" i="3"/>
  <c r="AH93" i="3"/>
  <c r="AI93" i="3" s="1"/>
  <c r="AH71" i="3"/>
  <c r="AH72" i="3"/>
  <c r="AH39" i="3"/>
  <c r="AH82" i="3"/>
  <c r="AH349" i="3"/>
  <c r="AH192" i="3"/>
  <c r="AH339" i="3"/>
  <c r="AH370" i="3"/>
  <c r="AH366" i="3"/>
  <c r="AH16" i="3"/>
  <c r="AH204" i="3"/>
  <c r="AI204" i="3" s="1"/>
  <c r="AH243" i="3"/>
  <c r="AI243" i="3" s="1"/>
  <c r="AH346" i="3"/>
  <c r="AH387" i="3"/>
  <c r="AH220" i="3"/>
  <c r="AH203" i="3"/>
  <c r="AH151" i="3"/>
  <c r="AH68" i="3"/>
  <c r="AH235" i="3"/>
  <c r="AH118" i="3"/>
  <c r="AH114" i="3"/>
  <c r="AH150" i="3"/>
  <c r="AH60" i="3"/>
  <c r="AH47" i="3"/>
  <c r="AH246" i="3"/>
  <c r="AH236" i="3"/>
  <c r="AH209" i="3"/>
  <c r="AI209" i="3" s="1"/>
  <c r="AH100" i="3"/>
  <c r="AH85" i="3"/>
  <c r="AH79" i="3"/>
  <c r="AH63" i="3"/>
  <c r="AH321" i="3"/>
  <c r="AH113" i="3"/>
  <c r="AH184" i="3"/>
  <c r="AH226" i="3"/>
  <c r="AH119" i="3"/>
  <c r="AH156" i="3"/>
  <c r="AH101" i="3"/>
  <c r="AH58" i="3"/>
  <c r="AH394" i="3"/>
  <c r="AI394" i="3" s="1"/>
  <c r="AH108" i="3"/>
  <c r="AH96" i="3"/>
  <c r="AH87" i="3"/>
  <c r="AH136" i="3"/>
  <c r="AH116" i="3"/>
  <c r="AH406" i="3"/>
  <c r="AH267" i="3"/>
  <c r="AH405" i="3"/>
  <c r="AH336" i="3"/>
  <c r="AH120" i="3"/>
  <c r="AH106" i="3"/>
  <c r="AH338" i="3"/>
  <c r="AH381" i="3"/>
  <c r="AH332" i="3"/>
  <c r="AH163" i="3"/>
  <c r="AH169" i="3"/>
  <c r="AH227" i="3"/>
  <c r="AH139" i="3"/>
  <c r="AH92" i="3"/>
  <c r="AH135" i="3"/>
  <c r="AH57" i="3"/>
  <c r="AH62" i="3"/>
  <c r="AH97" i="3"/>
  <c r="AH2" i="3"/>
  <c r="AH4" i="3"/>
  <c r="AH8" i="3"/>
  <c r="AH18" i="3"/>
  <c r="AH28" i="3"/>
  <c r="AH189" i="3"/>
  <c r="AH259" i="3"/>
  <c r="AH202" i="3"/>
  <c r="AH293" i="3"/>
  <c r="AH3" i="3"/>
  <c r="AH17" i="3"/>
  <c r="AI17" i="3" s="1"/>
  <c r="AH14" i="3"/>
  <c r="AH352" i="3"/>
  <c r="AH27" i="3"/>
  <c r="AI27" i="3" s="1"/>
  <c r="AH40" i="3"/>
  <c r="AH250" i="3"/>
  <c r="AI250" i="3" s="1"/>
  <c r="AH385" i="3"/>
  <c r="AH329" i="3"/>
  <c r="AH196" i="3"/>
  <c r="AI196" i="3" s="1"/>
  <c r="AH178" i="3"/>
  <c r="AH354" i="3"/>
  <c r="AH183" i="3"/>
  <c r="AH263" i="3"/>
  <c r="AH148" i="3"/>
  <c r="AI148" i="3" s="1"/>
  <c r="AH305" i="3"/>
  <c r="AH309" i="3"/>
  <c r="AI309" i="3" s="1"/>
  <c r="AH248" i="3"/>
  <c r="AH294" i="3"/>
  <c r="AH11" i="3"/>
  <c r="AH20" i="3"/>
  <c r="AH41" i="3"/>
  <c r="AH21" i="3"/>
  <c r="AH10" i="3"/>
  <c r="AH91" i="3"/>
  <c r="AH19" i="3"/>
  <c r="AH25" i="3"/>
  <c r="AH110" i="3"/>
  <c r="AH80" i="3"/>
  <c r="AH252" i="3"/>
  <c r="AH284" i="3"/>
  <c r="AH143" i="3"/>
  <c r="AH197" i="3"/>
  <c r="AH112" i="3"/>
  <c r="AH51" i="3"/>
  <c r="AH26" i="3"/>
  <c r="AI26" i="3" s="1"/>
  <c r="AH315" i="3"/>
  <c r="AH324" i="3"/>
  <c r="AH303" i="3"/>
  <c r="AH105" i="3"/>
  <c r="AH103" i="3"/>
  <c r="AI103" i="3" s="1"/>
  <c r="AH170" i="3"/>
  <c r="AH190" i="3"/>
  <c r="AH95" i="3"/>
  <c r="AH241" i="3"/>
  <c r="AH344" i="3"/>
  <c r="AH53" i="3"/>
  <c r="AH42" i="3"/>
  <c r="AH168" i="3"/>
  <c r="AH277" i="3"/>
  <c r="AI277" i="3" s="1"/>
  <c r="AH325" i="3"/>
  <c r="AH257" i="3"/>
  <c r="AH314" i="3"/>
  <c r="AH6" i="3"/>
  <c r="AH12" i="3"/>
  <c r="AH77" i="3"/>
  <c r="AH182" i="3"/>
  <c r="AH166" i="3"/>
  <c r="AH350" i="3"/>
  <c r="AH131" i="3"/>
  <c r="AH75" i="3"/>
  <c r="AH127" i="3"/>
  <c r="AH402" i="3"/>
  <c r="AI402" i="3" s="1"/>
  <c r="AH389" i="3"/>
  <c r="AH372" i="3"/>
  <c r="AH274" i="3"/>
  <c r="AH320" i="3"/>
  <c r="AH328" i="3"/>
  <c r="AH164" i="3"/>
  <c r="AH221" i="3"/>
  <c r="AH408" i="3"/>
  <c r="AH9" i="3"/>
  <c r="AH7" i="3"/>
  <c r="AH368" i="3"/>
  <c r="AH363" i="3"/>
  <c r="AH357" i="3"/>
  <c r="AH397" i="3"/>
  <c r="AH59" i="3"/>
  <c r="AH46" i="3"/>
  <c r="AI46" i="3" s="1"/>
  <c r="AH32" i="3"/>
  <c r="AI32" i="3" s="1"/>
  <c r="AH364" i="3"/>
  <c r="AI364" i="3" s="1"/>
  <c r="AH318" i="3"/>
  <c r="AH186" i="3"/>
  <c r="AH262" i="3"/>
  <c r="AH142" i="3"/>
  <c r="AH86" i="3"/>
  <c r="AI86" i="3" s="1"/>
  <c r="AH301" i="3"/>
  <c r="AH282" i="3"/>
  <c r="AH140" i="3"/>
  <c r="AH133" i="3"/>
  <c r="AH134" i="3"/>
  <c r="AI134" i="3" s="1"/>
  <c r="AH401" i="3"/>
  <c r="AI401" i="3" s="1"/>
  <c r="AH330" i="3"/>
  <c r="AH360" i="3"/>
  <c r="AH400" i="3"/>
  <c r="AH88" i="3"/>
  <c r="AH253" i="3"/>
  <c r="AH281" i="3"/>
  <c r="AH376" i="3"/>
  <c r="AH371" i="3"/>
  <c r="AH334" i="3"/>
  <c r="AH234" i="3"/>
  <c r="AH115" i="3"/>
  <c r="AH199" i="3"/>
  <c r="AH240" i="3"/>
  <c r="AH216" i="3"/>
  <c r="AH167" i="3"/>
  <c r="AH409" i="3"/>
  <c r="AH359" i="3"/>
  <c r="AH326" i="3"/>
  <c r="AH258" i="3"/>
  <c r="AH29" i="3"/>
  <c r="AH66" i="3"/>
  <c r="AH104" i="3"/>
  <c r="AH340" i="3"/>
  <c r="AI340" i="3" s="1"/>
  <c r="AH275" i="3"/>
  <c r="AH239" i="3"/>
  <c r="AH228" i="3"/>
  <c r="AH297" i="3"/>
  <c r="AI297" i="3" s="1"/>
  <c r="AH304" i="3"/>
  <c r="AH395" i="3"/>
  <c r="AH244" i="3"/>
  <c r="AI244" i="3" s="1"/>
  <c r="AH374" i="3"/>
  <c r="AH378" i="3"/>
  <c r="AI378" i="3" s="1"/>
  <c r="AH356" i="3"/>
  <c r="AH256" i="3"/>
  <c r="AH306" i="3"/>
  <c r="AH392" i="3"/>
  <c r="AH383" i="3"/>
  <c r="AH278" i="3"/>
  <c r="AH222" i="3"/>
  <c r="AH369" i="3"/>
  <c r="AH317" i="3"/>
  <c r="AH407" i="3"/>
  <c r="AH37" i="3"/>
  <c r="AH49" i="3"/>
  <c r="AH35" i="3"/>
  <c r="AH22" i="3"/>
  <c r="AH36" i="3"/>
  <c r="AH102" i="3"/>
  <c r="AH223" i="3"/>
  <c r="AH386" i="3"/>
  <c r="AH286" i="3"/>
  <c r="AH137" i="3"/>
  <c r="AH264" i="3"/>
  <c r="AH287" i="3"/>
  <c r="AH299" i="3"/>
  <c r="AH322" i="3"/>
  <c r="AH310" i="3"/>
  <c r="AH83" i="3"/>
  <c r="AH153" i="3"/>
  <c r="AH146" i="3"/>
  <c r="AI146" i="3" s="1"/>
  <c r="AH67" i="3"/>
  <c r="AI67" i="3" s="1"/>
  <c r="AH399" i="3"/>
  <c r="AH290" i="3"/>
  <c r="AH23" i="3"/>
  <c r="AH160" i="3"/>
  <c r="AI160" i="3" s="1"/>
  <c r="AH138" i="3"/>
  <c r="AI138" i="3" s="1"/>
  <c r="AH205" i="3"/>
  <c r="AH375" i="3"/>
  <c r="AH194" i="3"/>
  <c r="AH245" i="3"/>
  <c r="AI245" i="3" s="1"/>
  <c r="AH175" i="3"/>
  <c r="AH159" i="3"/>
  <c r="AH217" i="3"/>
  <c r="AH279" i="3"/>
  <c r="AH65" i="3"/>
  <c r="AH94" i="3"/>
  <c r="AH90" i="3"/>
  <c r="AH207" i="3"/>
  <c r="AH331" i="3"/>
  <c r="AH311" i="3"/>
  <c r="AH219" i="3"/>
  <c r="AH308" i="3"/>
  <c r="AH152" i="3"/>
  <c r="AH147" i="3"/>
  <c r="AH351" i="3"/>
  <c r="AH355" i="3"/>
  <c r="AH380" i="3"/>
  <c r="AH391" i="3"/>
  <c r="AH388" i="3"/>
  <c r="AH249" i="3"/>
  <c r="AH403" i="3"/>
  <c r="AH362" i="3"/>
  <c r="AH13" i="3"/>
  <c r="AH5" i="3"/>
  <c r="AH261" i="3"/>
  <c r="AH238" i="3"/>
  <c r="AH285" i="3"/>
  <c r="AH208" i="3"/>
  <c r="AH201" i="3"/>
  <c r="AH31" i="3"/>
  <c r="AH162" i="3"/>
  <c r="AH337" i="3"/>
  <c r="AH158" i="3"/>
  <c r="AH109" i="3"/>
  <c r="AH144" i="3"/>
  <c r="AH155" i="3"/>
  <c r="AH224" i="3"/>
  <c r="AH124" i="3"/>
  <c r="AH181" i="3"/>
  <c r="AH15" i="3"/>
  <c r="AH172" i="3"/>
  <c r="AH384" i="3"/>
  <c r="AH229" i="3"/>
  <c r="AH377" i="3"/>
  <c r="AH345" i="3"/>
  <c r="AH296" i="3"/>
  <c r="AI296" i="3" s="1"/>
  <c r="AH313" i="3"/>
  <c r="AH265" i="3"/>
  <c r="AH260" i="3"/>
  <c r="AH215" i="3"/>
  <c r="AH128" i="3"/>
  <c r="AH141" i="3"/>
  <c r="AH129" i="3"/>
  <c r="AH307" i="3"/>
  <c r="AH193" i="3"/>
  <c r="AH247" i="3"/>
  <c r="AH269" i="3"/>
  <c r="AH289" i="3"/>
  <c r="AH176" i="3"/>
  <c r="AH165" i="3"/>
  <c r="AH187" i="3"/>
  <c r="AH347" i="3"/>
  <c r="AH327" i="3"/>
  <c r="AH212" i="3"/>
  <c r="AH230" i="3"/>
  <c r="AI230" i="3" s="1"/>
  <c r="AH398" i="3"/>
  <c r="AH174" i="3"/>
  <c r="AH367" i="3"/>
  <c r="AH270" i="3"/>
  <c r="AH218" i="3"/>
  <c r="AH145" i="3"/>
  <c r="AH179" i="3"/>
  <c r="AH191" i="3"/>
  <c r="AH180" i="3"/>
  <c r="AH302" i="3"/>
  <c r="AH198" i="3"/>
  <c r="AH56" i="3"/>
  <c r="AI56" i="3" s="1"/>
  <c r="AH353" i="3"/>
  <c r="AH33" i="3"/>
  <c r="AH69" i="3"/>
  <c r="AH30" i="3"/>
  <c r="AH24" i="3"/>
  <c r="AI24" i="3" s="1"/>
  <c r="AH266" i="3"/>
  <c r="AH55" i="3"/>
  <c r="AH316" i="3"/>
  <c r="AH300" i="3"/>
  <c r="AH237" i="3"/>
  <c r="AH157" i="3"/>
  <c r="AH111" i="3"/>
  <c r="AH271" i="3"/>
  <c r="AH268" i="3"/>
  <c r="AH251" i="3"/>
  <c r="AH348" i="3"/>
  <c r="AH233" i="3"/>
  <c r="AH292" i="3"/>
  <c r="AH211" i="3"/>
  <c r="AH255" i="3"/>
  <c r="AH254" i="3"/>
  <c r="AH312" i="3"/>
  <c r="AC154" i="3"/>
  <c r="AC206" i="3"/>
  <c r="AC171" i="3"/>
  <c r="AC121" i="3"/>
  <c r="AC70" i="3"/>
  <c r="AC295" i="3"/>
  <c r="AC361" i="3"/>
  <c r="AC335" i="3"/>
  <c r="AC126" i="3"/>
  <c r="AC214" i="3"/>
  <c r="AC123" i="3"/>
  <c r="AC177" i="3"/>
  <c r="AC81" i="3"/>
  <c r="AC43" i="3"/>
  <c r="AC50" i="3"/>
  <c r="AC185" i="3"/>
  <c r="AC173" i="3"/>
  <c r="AC195" i="3"/>
  <c r="AC272" i="3"/>
  <c r="AC242" i="3"/>
  <c r="AC107" i="3"/>
  <c r="AC298" i="3"/>
  <c r="AC390" i="3"/>
  <c r="AC283" i="3"/>
  <c r="AC288" i="3"/>
  <c r="AC396" i="3"/>
  <c r="AC343" i="3"/>
  <c r="AC358" i="3"/>
  <c r="AC200" i="3"/>
  <c r="AC130" i="3"/>
  <c r="AC276" i="3"/>
  <c r="AC379" i="3"/>
  <c r="AC89" i="3"/>
  <c r="AC393" i="3"/>
  <c r="AC341" i="3"/>
  <c r="AC122" i="3"/>
  <c r="AC232" i="3"/>
  <c r="AC210" i="3"/>
  <c r="AC161" i="3"/>
  <c r="AC48" i="3"/>
  <c r="AC333" i="3"/>
  <c r="AC132" i="3"/>
  <c r="AC365" i="3"/>
  <c r="AC373" i="3"/>
  <c r="AC382" i="3"/>
  <c r="AC404" i="3"/>
  <c r="AC291" i="3"/>
  <c r="AC323" i="3"/>
  <c r="AC213" i="3"/>
  <c r="AC188" i="3"/>
  <c r="AC280" i="3"/>
  <c r="AC54" i="3"/>
  <c r="AC125" i="3"/>
  <c r="AC117" i="3"/>
  <c r="AC319" i="3"/>
  <c r="AC225" i="3"/>
  <c r="AC273" i="3"/>
  <c r="AC342" i="3"/>
  <c r="AC64" i="3"/>
  <c r="AC74" i="3"/>
  <c r="AC78" i="3"/>
  <c r="AC84" i="3"/>
  <c r="AC98" i="3"/>
  <c r="AC231" i="3"/>
  <c r="AC73" i="3"/>
  <c r="AC61" i="3"/>
  <c r="AC99" i="3"/>
  <c r="AC34" i="3"/>
  <c r="AC38" i="3"/>
  <c r="AC44" i="3"/>
  <c r="AC149" i="3"/>
  <c r="AC45" i="3"/>
  <c r="AC76" i="3"/>
  <c r="AC52" i="3"/>
  <c r="AC93" i="3"/>
  <c r="AC71" i="3"/>
  <c r="AC72" i="3"/>
  <c r="AC39" i="3"/>
  <c r="AC82" i="3"/>
  <c r="AC349" i="3"/>
  <c r="AC192" i="3"/>
  <c r="AC339" i="3"/>
  <c r="AC370" i="3"/>
  <c r="AC366" i="3"/>
  <c r="AC16" i="3"/>
  <c r="AC204" i="3"/>
  <c r="AC243" i="3"/>
  <c r="AC346" i="3"/>
  <c r="AC387" i="3"/>
  <c r="AC220" i="3"/>
  <c r="AC203" i="3"/>
  <c r="AC151" i="3"/>
  <c r="AC68" i="3"/>
  <c r="AC235" i="3"/>
  <c r="AC118" i="3"/>
  <c r="AC114" i="3"/>
  <c r="AC150" i="3"/>
  <c r="AC60" i="3"/>
  <c r="AC47" i="3"/>
  <c r="AC246" i="3"/>
  <c r="AC236" i="3"/>
  <c r="AC209" i="3"/>
  <c r="AC100" i="3"/>
  <c r="AC85" i="3"/>
  <c r="AC79" i="3"/>
  <c r="AC63" i="3"/>
  <c r="AC321" i="3"/>
  <c r="AC113" i="3"/>
  <c r="AC184" i="3"/>
  <c r="AC226" i="3"/>
  <c r="AC119" i="3"/>
  <c r="AC156" i="3"/>
  <c r="AC101" i="3"/>
  <c r="AC58" i="3"/>
  <c r="AC394" i="3"/>
  <c r="AC108" i="3"/>
  <c r="AC96" i="3"/>
  <c r="AC87" i="3"/>
  <c r="AC136" i="3"/>
  <c r="AC116" i="3"/>
  <c r="AC406" i="3"/>
  <c r="AC267" i="3"/>
  <c r="AC405" i="3"/>
  <c r="AC336" i="3"/>
  <c r="AC120" i="3"/>
  <c r="AC106" i="3"/>
  <c r="AC338" i="3"/>
  <c r="AC381" i="3"/>
  <c r="AC332" i="3"/>
  <c r="AC163" i="3"/>
  <c r="AC169" i="3"/>
  <c r="AC227" i="3"/>
  <c r="AC139" i="3"/>
  <c r="AC92" i="3"/>
  <c r="AC135" i="3"/>
  <c r="AC57" i="3"/>
  <c r="AC62" i="3"/>
  <c r="AC97" i="3"/>
  <c r="AC2" i="3"/>
  <c r="AC4" i="3"/>
  <c r="AC8" i="3"/>
  <c r="AC18" i="3"/>
  <c r="AC28" i="3"/>
  <c r="AC189" i="3"/>
  <c r="AC259" i="3"/>
  <c r="AC202" i="3"/>
  <c r="AC293" i="3"/>
  <c r="AC3" i="3"/>
  <c r="AC17" i="3"/>
  <c r="AC14" i="3"/>
  <c r="AC352" i="3"/>
  <c r="AC27" i="3"/>
  <c r="AC40" i="3"/>
  <c r="AC250" i="3"/>
  <c r="AC385" i="3"/>
  <c r="AC329" i="3"/>
  <c r="AC196" i="3"/>
  <c r="AC178" i="3"/>
  <c r="AC354" i="3"/>
  <c r="AC183" i="3"/>
  <c r="AC263" i="3"/>
  <c r="AC148" i="3"/>
  <c r="AC305" i="3"/>
  <c r="AC309" i="3"/>
  <c r="AC248" i="3"/>
  <c r="AC294" i="3"/>
  <c r="AC11" i="3"/>
  <c r="AC20" i="3"/>
  <c r="AC41" i="3"/>
  <c r="AC21" i="3"/>
  <c r="AC10" i="3"/>
  <c r="AC91" i="3"/>
  <c r="AC19" i="3"/>
  <c r="AC25" i="3"/>
  <c r="AC110" i="3"/>
  <c r="AC80" i="3"/>
  <c r="AC252" i="3"/>
  <c r="AC284" i="3"/>
  <c r="AC143" i="3"/>
  <c r="AC197" i="3"/>
  <c r="AC112" i="3"/>
  <c r="AC51" i="3"/>
  <c r="AC26" i="3"/>
  <c r="AC315" i="3"/>
  <c r="AC324" i="3"/>
  <c r="AC303" i="3"/>
  <c r="AC105" i="3"/>
  <c r="AC103" i="3"/>
  <c r="AC170" i="3"/>
  <c r="AC190" i="3"/>
  <c r="AC95" i="3"/>
  <c r="AC241" i="3"/>
  <c r="AC344" i="3"/>
  <c r="AC53" i="3"/>
  <c r="AC42" i="3"/>
  <c r="AC168" i="3"/>
  <c r="AC277" i="3"/>
  <c r="AC325" i="3"/>
  <c r="AC257" i="3"/>
  <c r="AC314" i="3"/>
  <c r="AC6" i="3"/>
  <c r="AC12" i="3"/>
  <c r="AC77" i="3"/>
  <c r="AC182" i="3"/>
  <c r="AC166" i="3"/>
  <c r="AC350" i="3"/>
  <c r="AC131" i="3"/>
  <c r="AC75" i="3"/>
  <c r="AC127" i="3"/>
  <c r="AC402" i="3"/>
  <c r="AC389" i="3"/>
  <c r="AC372" i="3"/>
  <c r="AC274" i="3"/>
  <c r="AC320" i="3"/>
  <c r="AC328" i="3"/>
  <c r="AC164" i="3"/>
  <c r="AC221" i="3"/>
  <c r="AC408" i="3"/>
  <c r="AC9" i="3"/>
  <c r="AC7" i="3"/>
  <c r="AC368" i="3"/>
  <c r="AC363" i="3"/>
  <c r="AC357" i="3"/>
  <c r="AC397" i="3"/>
  <c r="AC59" i="3"/>
  <c r="AC46" i="3"/>
  <c r="AC32" i="3"/>
  <c r="AC364" i="3"/>
  <c r="AC318" i="3"/>
  <c r="AC186" i="3"/>
  <c r="AC262" i="3"/>
  <c r="AC142" i="3"/>
  <c r="AC86" i="3"/>
  <c r="AC301" i="3"/>
  <c r="AC282" i="3"/>
  <c r="AC140" i="3"/>
  <c r="AC133" i="3"/>
  <c r="AC134" i="3"/>
  <c r="AC401" i="3"/>
  <c r="AC330" i="3"/>
  <c r="AC360" i="3"/>
  <c r="AC400" i="3"/>
  <c r="AC88" i="3"/>
  <c r="AC253" i="3"/>
  <c r="AC281" i="3"/>
  <c r="AC376" i="3"/>
  <c r="AC371" i="3"/>
  <c r="AC334" i="3"/>
  <c r="AC234" i="3"/>
  <c r="AC115" i="3"/>
  <c r="AC199" i="3"/>
  <c r="AC240" i="3"/>
  <c r="AC216" i="3"/>
  <c r="AC167" i="3"/>
  <c r="AC409" i="3"/>
  <c r="AC359" i="3"/>
  <c r="AC326" i="3"/>
  <c r="AC258" i="3"/>
  <c r="AC29" i="3"/>
  <c r="AC66" i="3"/>
  <c r="AC104" i="3"/>
  <c r="AC340" i="3"/>
  <c r="AC275" i="3"/>
  <c r="AC239" i="3"/>
  <c r="AC228" i="3"/>
  <c r="AC297" i="3"/>
  <c r="AC304" i="3"/>
  <c r="AC395" i="3"/>
  <c r="AC244" i="3"/>
  <c r="AC374" i="3"/>
  <c r="AC378" i="3"/>
  <c r="AC356" i="3"/>
  <c r="AC256" i="3"/>
  <c r="AC306" i="3"/>
  <c r="AC392" i="3"/>
  <c r="AC383" i="3"/>
  <c r="AC278" i="3"/>
  <c r="AC222" i="3"/>
  <c r="AC369" i="3"/>
  <c r="AC317" i="3"/>
  <c r="AC407" i="3"/>
  <c r="AC37" i="3"/>
  <c r="AC49" i="3"/>
  <c r="AC35" i="3"/>
  <c r="AC22" i="3"/>
  <c r="AC36" i="3"/>
  <c r="AC102" i="3"/>
  <c r="AC223" i="3"/>
  <c r="AC386" i="3"/>
  <c r="AC286" i="3"/>
  <c r="AC137" i="3"/>
  <c r="AC264" i="3"/>
  <c r="AC287" i="3"/>
  <c r="AC299" i="3"/>
  <c r="AC322" i="3"/>
  <c r="AC310" i="3"/>
  <c r="AC83" i="3"/>
  <c r="AC153" i="3"/>
  <c r="AC146" i="3"/>
  <c r="AC67" i="3"/>
  <c r="AC399" i="3"/>
  <c r="AC290" i="3"/>
  <c r="AC23" i="3"/>
  <c r="AC160" i="3"/>
  <c r="AC138" i="3"/>
  <c r="AC205" i="3"/>
  <c r="AC375" i="3"/>
  <c r="AC194" i="3"/>
  <c r="AC245" i="3"/>
  <c r="AC175" i="3"/>
  <c r="AC159" i="3"/>
  <c r="AC217" i="3"/>
  <c r="AC279" i="3"/>
  <c r="AC65" i="3"/>
  <c r="AC94" i="3"/>
  <c r="AC90" i="3"/>
  <c r="AC207" i="3"/>
  <c r="AC331" i="3"/>
  <c r="AC311" i="3"/>
  <c r="AC219" i="3"/>
  <c r="AC308" i="3"/>
  <c r="AC152" i="3"/>
  <c r="AC147" i="3"/>
  <c r="AC351" i="3"/>
  <c r="AC355" i="3"/>
  <c r="AC380" i="3"/>
  <c r="AC391" i="3"/>
  <c r="AC388" i="3"/>
  <c r="AC249" i="3"/>
  <c r="AC403" i="3"/>
  <c r="AC362" i="3"/>
  <c r="AC13" i="3"/>
  <c r="AC5" i="3"/>
  <c r="AC261" i="3"/>
  <c r="AC238" i="3"/>
  <c r="AC285" i="3"/>
  <c r="AC208" i="3"/>
  <c r="AC201" i="3"/>
  <c r="AC31" i="3"/>
  <c r="AC162" i="3"/>
  <c r="AC337" i="3"/>
  <c r="AC158" i="3"/>
  <c r="AC109" i="3"/>
  <c r="AC144" i="3"/>
  <c r="AC155" i="3"/>
  <c r="AC224" i="3"/>
  <c r="AC124" i="3"/>
  <c r="AC181" i="3"/>
  <c r="AC15" i="3"/>
  <c r="AC172" i="3"/>
  <c r="AC384" i="3"/>
  <c r="AC229" i="3"/>
  <c r="AC377" i="3"/>
  <c r="AC345" i="3"/>
  <c r="AC296" i="3"/>
  <c r="AC313" i="3"/>
  <c r="AC265" i="3"/>
  <c r="AC260" i="3"/>
  <c r="AC215" i="3"/>
  <c r="AC128" i="3"/>
  <c r="AC141" i="3"/>
  <c r="AC129" i="3"/>
  <c r="AC307" i="3"/>
  <c r="AC193" i="3"/>
  <c r="AC247" i="3"/>
  <c r="AC269" i="3"/>
  <c r="AC289" i="3"/>
  <c r="AC176" i="3"/>
  <c r="AC165" i="3"/>
  <c r="AC187" i="3"/>
  <c r="AC347" i="3"/>
  <c r="AC327" i="3"/>
  <c r="AC212" i="3"/>
  <c r="AC230" i="3"/>
  <c r="AC398" i="3"/>
  <c r="AC174" i="3"/>
  <c r="AC367" i="3"/>
  <c r="AC270" i="3"/>
  <c r="AC218" i="3"/>
  <c r="AC145" i="3"/>
  <c r="AC179" i="3"/>
  <c r="AC191" i="3"/>
  <c r="AC180" i="3"/>
  <c r="AC302" i="3"/>
  <c r="AC198" i="3"/>
  <c r="AC56" i="3"/>
  <c r="AC353" i="3"/>
  <c r="AC33" i="3"/>
  <c r="AC69" i="3"/>
  <c r="AC30" i="3"/>
  <c r="AC24" i="3"/>
  <c r="AC266" i="3"/>
  <c r="AC55" i="3"/>
  <c r="AC316" i="3"/>
  <c r="AC300" i="3"/>
  <c r="AC237" i="3"/>
  <c r="AC157" i="3"/>
  <c r="AC111" i="3"/>
  <c r="AC271" i="3"/>
  <c r="AC268" i="3"/>
  <c r="AC251" i="3"/>
  <c r="AC348" i="3"/>
  <c r="AC233" i="3"/>
  <c r="AC292" i="3"/>
  <c r="AC211" i="3"/>
  <c r="AC255" i="3"/>
  <c r="AC254" i="3"/>
  <c r="AC312" i="3"/>
  <c r="W154" i="3"/>
  <c r="AA154" i="3" s="1"/>
  <c r="W206" i="3"/>
  <c r="AA206" i="3" s="1"/>
  <c r="W171" i="3"/>
  <c r="AA171" i="3" s="1"/>
  <c r="W121" i="3"/>
  <c r="AA121" i="3" s="1"/>
  <c r="W70" i="3"/>
  <c r="AA70" i="3" s="1"/>
  <c r="W295" i="3"/>
  <c r="AA295" i="3" s="1"/>
  <c r="W361" i="3"/>
  <c r="AA361" i="3" s="1"/>
  <c r="W335" i="3"/>
  <c r="AA335" i="3" s="1"/>
  <c r="W126" i="3"/>
  <c r="AA126" i="3" s="1"/>
  <c r="W214" i="3"/>
  <c r="AA214" i="3" s="1"/>
  <c r="W123" i="3"/>
  <c r="AA123" i="3" s="1"/>
  <c r="W177" i="3"/>
  <c r="AA177" i="3" s="1"/>
  <c r="W81" i="3"/>
  <c r="AA81" i="3" s="1"/>
  <c r="W43" i="3"/>
  <c r="AA43" i="3" s="1"/>
  <c r="W50" i="3"/>
  <c r="AA50" i="3" s="1"/>
  <c r="W185" i="3"/>
  <c r="AA185" i="3" s="1"/>
  <c r="W173" i="3"/>
  <c r="AA173" i="3" s="1"/>
  <c r="W195" i="3"/>
  <c r="AA195" i="3" s="1"/>
  <c r="W272" i="3"/>
  <c r="AA272" i="3" s="1"/>
  <c r="W242" i="3"/>
  <c r="AA242" i="3" s="1"/>
  <c r="W107" i="3"/>
  <c r="AA107" i="3" s="1"/>
  <c r="W298" i="3"/>
  <c r="AA298" i="3" s="1"/>
  <c r="W390" i="3"/>
  <c r="AA390" i="3" s="1"/>
  <c r="W283" i="3"/>
  <c r="AA283" i="3" s="1"/>
  <c r="W288" i="3"/>
  <c r="AA288" i="3" s="1"/>
  <c r="W396" i="3"/>
  <c r="AA396" i="3" s="1"/>
  <c r="W343" i="3"/>
  <c r="AA343" i="3" s="1"/>
  <c r="W358" i="3"/>
  <c r="AA358" i="3" s="1"/>
  <c r="W200" i="3"/>
  <c r="AA200" i="3" s="1"/>
  <c r="W130" i="3"/>
  <c r="AA130" i="3" s="1"/>
  <c r="W276" i="3"/>
  <c r="AA276" i="3" s="1"/>
  <c r="W379" i="3"/>
  <c r="AA379" i="3" s="1"/>
  <c r="W89" i="3"/>
  <c r="AA89" i="3" s="1"/>
  <c r="W393" i="3"/>
  <c r="AA393" i="3" s="1"/>
  <c r="W341" i="3"/>
  <c r="AA341" i="3" s="1"/>
  <c r="W122" i="3"/>
  <c r="AA122" i="3" s="1"/>
  <c r="W232" i="3"/>
  <c r="AA232" i="3" s="1"/>
  <c r="W210" i="3"/>
  <c r="AA210" i="3" s="1"/>
  <c r="W161" i="3"/>
  <c r="AA161" i="3" s="1"/>
  <c r="W48" i="3"/>
  <c r="AA48" i="3" s="1"/>
  <c r="W333" i="3"/>
  <c r="AA333" i="3" s="1"/>
  <c r="W132" i="3"/>
  <c r="AA132" i="3" s="1"/>
  <c r="W365" i="3"/>
  <c r="AA365" i="3" s="1"/>
  <c r="W373" i="3"/>
  <c r="AA373" i="3" s="1"/>
  <c r="W382" i="3"/>
  <c r="AA382" i="3" s="1"/>
  <c r="W404" i="3"/>
  <c r="AA404" i="3" s="1"/>
  <c r="W291" i="3"/>
  <c r="AA291" i="3" s="1"/>
  <c r="W323" i="3"/>
  <c r="AA323" i="3" s="1"/>
  <c r="W213" i="3"/>
  <c r="AA213" i="3" s="1"/>
  <c r="W188" i="3"/>
  <c r="AA188" i="3" s="1"/>
  <c r="W280" i="3"/>
  <c r="AA280" i="3" s="1"/>
  <c r="W54" i="3"/>
  <c r="AA54" i="3" s="1"/>
  <c r="W125" i="3"/>
  <c r="AA125" i="3" s="1"/>
  <c r="W117" i="3"/>
  <c r="AA117" i="3" s="1"/>
  <c r="W319" i="3"/>
  <c r="AA319" i="3" s="1"/>
  <c r="W225" i="3"/>
  <c r="AA225" i="3" s="1"/>
  <c r="W273" i="3"/>
  <c r="AA273" i="3" s="1"/>
  <c r="W342" i="3"/>
  <c r="AA342" i="3" s="1"/>
  <c r="W64" i="3"/>
  <c r="AA64" i="3" s="1"/>
  <c r="W74" i="3"/>
  <c r="AA74" i="3" s="1"/>
  <c r="W78" i="3"/>
  <c r="AA78" i="3" s="1"/>
  <c r="W84" i="3"/>
  <c r="AA84" i="3" s="1"/>
  <c r="W98" i="3"/>
  <c r="AA98" i="3" s="1"/>
  <c r="W231" i="3"/>
  <c r="AA231" i="3" s="1"/>
  <c r="W73" i="3"/>
  <c r="AA73" i="3" s="1"/>
  <c r="W61" i="3"/>
  <c r="AA61" i="3" s="1"/>
  <c r="W99" i="3"/>
  <c r="AA99" i="3" s="1"/>
  <c r="W34" i="3"/>
  <c r="AA34" i="3" s="1"/>
  <c r="W38" i="3"/>
  <c r="AA38" i="3" s="1"/>
  <c r="W44" i="3"/>
  <c r="AA44" i="3" s="1"/>
  <c r="W149" i="3"/>
  <c r="AA149" i="3" s="1"/>
  <c r="W45" i="3"/>
  <c r="AA45" i="3" s="1"/>
  <c r="W76" i="3"/>
  <c r="AA76" i="3" s="1"/>
  <c r="W52" i="3"/>
  <c r="AA52" i="3" s="1"/>
  <c r="W93" i="3"/>
  <c r="AA93" i="3" s="1"/>
  <c r="W71" i="3"/>
  <c r="W72" i="3"/>
  <c r="W39" i="3"/>
  <c r="W82" i="3"/>
  <c r="AA82" i="3" s="1"/>
  <c r="W349" i="3"/>
  <c r="AA349" i="3" s="1"/>
  <c r="W192" i="3"/>
  <c r="AA192" i="3" s="1"/>
  <c r="W339" i="3"/>
  <c r="AA339" i="3" s="1"/>
  <c r="W370" i="3"/>
  <c r="AA370" i="3" s="1"/>
  <c r="W366" i="3"/>
  <c r="AA366" i="3" s="1"/>
  <c r="W16" i="3"/>
  <c r="AA16" i="3" s="1"/>
  <c r="W204" i="3"/>
  <c r="AA204" i="3" s="1"/>
  <c r="W243" i="3"/>
  <c r="AA243" i="3" s="1"/>
  <c r="W346" i="3"/>
  <c r="AA346" i="3" s="1"/>
  <c r="W387" i="3"/>
  <c r="AA387" i="3" s="1"/>
  <c r="W220" i="3"/>
  <c r="AA220" i="3" s="1"/>
  <c r="W203" i="3"/>
  <c r="AA203" i="3" s="1"/>
  <c r="W151" i="3"/>
  <c r="AA151" i="3" s="1"/>
  <c r="W68" i="3"/>
  <c r="AA68" i="3" s="1"/>
  <c r="W235" i="3"/>
  <c r="AA235" i="3" s="1"/>
  <c r="W118" i="3"/>
  <c r="AA118" i="3" s="1"/>
  <c r="W114" i="3"/>
  <c r="AA114" i="3" s="1"/>
  <c r="W150" i="3"/>
  <c r="AA150" i="3" s="1"/>
  <c r="W60" i="3"/>
  <c r="AA60" i="3" s="1"/>
  <c r="W47" i="3"/>
  <c r="AA47" i="3" s="1"/>
  <c r="W246" i="3"/>
  <c r="AA246" i="3" s="1"/>
  <c r="W236" i="3"/>
  <c r="AA236" i="3" s="1"/>
  <c r="W209" i="3"/>
  <c r="AA209" i="3" s="1"/>
  <c r="W100" i="3"/>
  <c r="AA100" i="3" s="1"/>
  <c r="W85" i="3"/>
  <c r="AA85" i="3" s="1"/>
  <c r="W79" i="3"/>
  <c r="AA79" i="3" s="1"/>
  <c r="W63" i="3"/>
  <c r="AA63" i="3" s="1"/>
  <c r="W321" i="3"/>
  <c r="AA321" i="3" s="1"/>
  <c r="W113" i="3"/>
  <c r="AA113" i="3" s="1"/>
  <c r="W184" i="3"/>
  <c r="AA184" i="3" s="1"/>
  <c r="W226" i="3"/>
  <c r="AA226" i="3" s="1"/>
  <c r="W119" i="3"/>
  <c r="AA119" i="3" s="1"/>
  <c r="W156" i="3"/>
  <c r="AA156" i="3" s="1"/>
  <c r="W101" i="3"/>
  <c r="AA101" i="3" s="1"/>
  <c r="W58" i="3"/>
  <c r="AA58" i="3" s="1"/>
  <c r="W394" i="3"/>
  <c r="AA394" i="3" s="1"/>
  <c r="W108" i="3"/>
  <c r="AA108" i="3" s="1"/>
  <c r="W96" i="3"/>
  <c r="AA96" i="3" s="1"/>
  <c r="W87" i="3"/>
  <c r="AA87" i="3" s="1"/>
  <c r="W136" i="3"/>
  <c r="AA136" i="3" s="1"/>
  <c r="W116" i="3"/>
  <c r="AA116" i="3" s="1"/>
  <c r="W406" i="3"/>
  <c r="AA406" i="3" s="1"/>
  <c r="W267" i="3"/>
  <c r="AA267" i="3" s="1"/>
  <c r="W405" i="3"/>
  <c r="AA405" i="3" s="1"/>
  <c r="W336" i="3"/>
  <c r="AA336" i="3" s="1"/>
  <c r="W120" i="3"/>
  <c r="AA120" i="3" s="1"/>
  <c r="W106" i="3"/>
  <c r="AA106" i="3" s="1"/>
  <c r="W338" i="3"/>
  <c r="AA338" i="3" s="1"/>
  <c r="W381" i="3"/>
  <c r="AA381" i="3" s="1"/>
  <c r="W332" i="3"/>
  <c r="AA332" i="3" s="1"/>
  <c r="W163" i="3"/>
  <c r="AA163" i="3" s="1"/>
  <c r="W169" i="3"/>
  <c r="AA169" i="3" s="1"/>
  <c r="W227" i="3"/>
  <c r="AA227" i="3" s="1"/>
  <c r="W139" i="3"/>
  <c r="AA139" i="3" s="1"/>
  <c r="W92" i="3"/>
  <c r="AA92" i="3" s="1"/>
  <c r="W135" i="3"/>
  <c r="AA135" i="3" s="1"/>
  <c r="W57" i="3"/>
  <c r="AA57" i="3" s="1"/>
  <c r="W62" i="3"/>
  <c r="AA62" i="3" s="1"/>
  <c r="W97" i="3"/>
  <c r="AA97" i="3" s="1"/>
  <c r="W2" i="3"/>
  <c r="AA2" i="3" s="1"/>
  <c r="W4" i="3"/>
  <c r="W8" i="3"/>
  <c r="AA8" i="3" s="1"/>
  <c r="W18" i="3"/>
  <c r="AA18" i="3" s="1"/>
  <c r="W28" i="3"/>
  <c r="AA28" i="3" s="1"/>
  <c r="W189" i="3"/>
  <c r="AA189" i="3" s="1"/>
  <c r="W259" i="3"/>
  <c r="W202" i="3"/>
  <c r="AA202" i="3" s="1"/>
  <c r="W293" i="3"/>
  <c r="AA293" i="3" s="1"/>
  <c r="W3" i="3"/>
  <c r="AA3" i="3" s="1"/>
  <c r="W17" i="3"/>
  <c r="AA17" i="3" s="1"/>
  <c r="W14" i="3"/>
  <c r="AA14" i="3" s="1"/>
  <c r="W352" i="3"/>
  <c r="AA352" i="3" s="1"/>
  <c r="W27" i="3"/>
  <c r="AA27" i="3" s="1"/>
  <c r="W40" i="3"/>
  <c r="AA40" i="3" s="1"/>
  <c r="W250" i="3"/>
  <c r="AA250" i="3" s="1"/>
  <c r="W385" i="3"/>
  <c r="AA385" i="3" s="1"/>
  <c r="W329" i="3"/>
  <c r="AA329" i="3" s="1"/>
  <c r="W196" i="3"/>
  <c r="AA196" i="3" s="1"/>
  <c r="W178" i="3"/>
  <c r="AA178" i="3" s="1"/>
  <c r="W354" i="3"/>
  <c r="AA354" i="3" s="1"/>
  <c r="W183" i="3"/>
  <c r="AA183" i="3" s="1"/>
  <c r="W263" i="3"/>
  <c r="AA263" i="3" s="1"/>
  <c r="W148" i="3"/>
  <c r="AA148" i="3" s="1"/>
  <c r="W305" i="3"/>
  <c r="AA305" i="3" s="1"/>
  <c r="W309" i="3"/>
  <c r="AA309" i="3" s="1"/>
  <c r="W248" i="3"/>
  <c r="AA248" i="3" s="1"/>
  <c r="W294" i="3"/>
  <c r="AA294" i="3" s="1"/>
  <c r="W11" i="3"/>
  <c r="W20" i="3"/>
  <c r="W41" i="3"/>
  <c r="AA41" i="3" s="1"/>
  <c r="W21" i="3"/>
  <c r="AA21" i="3" s="1"/>
  <c r="W10" i="3"/>
  <c r="AA10" i="3" s="1"/>
  <c r="W91" i="3"/>
  <c r="AA91" i="3" s="1"/>
  <c r="W19" i="3"/>
  <c r="AA19" i="3" s="1"/>
  <c r="W25" i="3"/>
  <c r="AA25" i="3" s="1"/>
  <c r="W110" i="3"/>
  <c r="AA110" i="3" s="1"/>
  <c r="W80" i="3"/>
  <c r="AA80" i="3" s="1"/>
  <c r="W252" i="3"/>
  <c r="AA252" i="3" s="1"/>
  <c r="W284" i="3"/>
  <c r="AA284" i="3" s="1"/>
  <c r="W143" i="3"/>
  <c r="AA143" i="3" s="1"/>
  <c r="W197" i="3"/>
  <c r="AA197" i="3" s="1"/>
  <c r="W112" i="3"/>
  <c r="AA112" i="3" s="1"/>
  <c r="W51" i="3"/>
  <c r="W26" i="3"/>
  <c r="AA26" i="3" s="1"/>
  <c r="W315" i="3"/>
  <c r="AA315" i="3" s="1"/>
  <c r="W324" i="3"/>
  <c r="AA324" i="3" s="1"/>
  <c r="W303" i="3"/>
  <c r="AA303" i="3" s="1"/>
  <c r="W105" i="3"/>
  <c r="AA105" i="3" s="1"/>
  <c r="W103" i="3"/>
  <c r="AA103" i="3" s="1"/>
  <c r="W170" i="3"/>
  <c r="AA170" i="3" s="1"/>
  <c r="W190" i="3"/>
  <c r="AA190" i="3" s="1"/>
  <c r="W95" i="3"/>
  <c r="AA95" i="3" s="1"/>
  <c r="W241" i="3"/>
  <c r="AA241" i="3" s="1"/>
  <c r="W344" i="3"/>
  <c r="AA344" i="3" s="1"/>
  <c r="W53" i="3"/>
  <c r="AA53" i="3" s="1"/>
  <c r="W42" i="3"/>
  <c r="AA42" i="3" s="1"/>
  <c r="W168" i="3"/>
  <c r="AA168" i="3" s="1"/>
  <c r="W277" i="3"/>
  <c r="AA277" i="3" s="1"/>
  <c r="W325" i="3"/>
  <c r="AA325" i="3" s="1"/>
  <c r="W257" i="3"/>
  <c r="AA257" i="3" s="1"/>
  <c r="W314" i="3"/>
  <c r="AA314" i="3" s="1"/>
  <c r="W6" i="3"/>
  <c r="AA6" i="3" s="1"/>
  <c r="W12" i="3"/>
  <c r="AA12" i="3" s="1"/>
  <c r="W77" i="3"/>
  <c r="AA77" i="3" s="1"/>
  <c r="W182" i="3"/>
  <c r="W166" i="3"/>
  <c r="AA166" i="3" s="1"/>
  <c r="W350" i="3"/>
  <c r="AA350" i="3" s="1"/>
  <c r="W131" i="3"/>
  <c r="AA131" i="3" s="1"/>
  <c r="W75" i="3"/>
  <c r="AA75" i="3" s="1"/>
  <c r="W127" i="3"/>
  <c r="AA127" i="3" s="1"/>
  <c r="W402" i="3"/>
  <c r="AA402" i="3" s="1"/>
  <c r="W389" i="3"/>
  <c r="AA389" i="3" s="1"/>
  <c r="W372" i="3"/>
  <c r="AA372" i="3" s="1"/>
  <c r="W274" i="3"/>
  <c r="AA274" i="3" s="1"/>
  <c r="W320" i="3"/>
  <c r="AA320" i="3" s="1"/>
  <c r="W328" i="3"/>
  <c r="AA328" i="3" s="1"/>
  <c r="W164" i="3"/>
  <c r="AA164" i="3" s="1"/>
  <c r="W221" i="3"/>
  <c r="AA221" i="3" s="1"/>
  <c r="W408" i="3"/>
  <c r="AA408" i="3" s="1"/>
  <c r="W9" i="3"/>
  <c r="AA9" i="3" s="1"/>
  <c r="W7" i="3"/>
  <c r="AA7" i="3" s="1"/>
  <c r="W368" i="3"/>
  <c r="AA368" i="3" s="1"/>
  <c r="W363" i="3"/>
  <c r="AA363" i="3" s="1"/>
  <c r="W357" i="3"/>
  <c r="AA357" i="3" s="1"/>
  <c r="W397" i="3"/>
  <c r="AA397" i="3" s="1"/>
  <c r="W59" i="3"/>
  <c r="AA59" i="3" s="1"/>
  <c r="W46" i="3"/>
  <c r="AA46" i="3" s="1"/>
  <c r="W32" i="3"/>
  <c r="AA32" i="3" s="1"/>
  <c r="W364" i="3"/>
  <c r="AA364" i="3" s="1"/>
  <c r="W318" i="3"/>
  <c r="AA318" i="3" s="1"/>
  <c r="W186" i="3"/>
  <c r="AA186" i="3" s="1"/>
  <c r="W262" i="3"/>
  <c r="AA262" i="3" s="1"/>
  <c r="W142" i="3"/>
  <c r="AA142" i="3" s="1"/>
  <c r="W86" i="3"/>
  <c r="AA86" i="3" s="1"/>
  <c r="W301" i="3"/>
  <c r="AA301" i="3" s="1"/>
  <c r="W282" i="3"/>
  <c r="AA282" i="3" s="1"/>
  <c r="W140" i="3"/>
  <c r="AA140" i="3" s="1"/>
  <c r="W133" i="3"/>
  <c r="AA133" i="3" s="1"/>
  <c r="W134" i="3"/>
  <c r="AA134" i="3" s="1"/>
  <c r="W401" i="3"/>
  <c r="AA401" i="3" s="1"/>
  <c r="W330" i="3"/>
  <c r="AA330" i="3" s="1"/>
  <c r="W360" i="3"/>
  <c r="AA360" i="3" s="1"/>
  <c r="W400" i="3"/>
  <c r="AA400" i="3" s="1"/>
  <c r="W88" i="3"/>
  <c r="AA88" i="3" s="1"/>
  <c r="W253" i="3"/>
  <c r="AA253" i="3" s="1"/>
  <c r="W281" i="3"/>
  <c r="AA281" i="3" s="1"/>
  <c r="W376" i="3"/>
  <c r="AA376" i="3" s="1"/>
  <c r="W371" i="3"/>
  <c r="AA371" i="3" s="1"/>
  <c r="W334" i="3"/>
  <c r="AA334" i="3" s="1"/>
  <c r="W234" i="3"/>
  <c r="AA234" i="3" s="1"/>
  <c r="W115" i="3"/>
  <c r="AA115" i="3" s="1"/>
  <c r="W199" i="3"/>
  <c r="AA199" i="3" s="1"/>
  <c r="W240" i="3"/>
  <c r="AA240" i="3" s="1"/>
  <c r="W216" i="3"/>
  <c r="AA216" i="3" s="1"/>
  <c r="W167" i="3"/>
  <c r="AA167" i="3" s="1"/>
  <c r="W409" i="3"/>
  <c r="AA409" i="3" s="1"/>
  <c r="W359" i="3"/>
  <c r="AA359" i="3" s="1"/>
  <c r="W326" i="3"/>
  <c r="AA326" i="3" s="1"/>
  <c r="W258" i="3"/>
  <c r="AA258" i="3" s="1"/>
  <c r="W29" i="3"/>
  <c r="AA29" i="3" s="1"/>
  <c r="W66" i="3"/>
  <c r="AA66" i="3" s="1"/>
  <c r="W104" i="3"/>
  <c r="AA104" i="3" s="1"/>
  <c r="W340" i="3"/>
  <c r="AA340" i="3" s="1"/>
  <c r="W275" i="3"/>
  <c r="AA275" i="3" s="1"/>
  <c r="W239" i="3"/>
  <c r="AA239" i="3" s="1"/>
  <c r="W228" i="3"/>
  <c r="AA228" i="3" s="1"/>
  <c r="W297" i="3"/>
  <c r="AA297" i="3" s="1"/>
  <c r="W304" i="3"/>
  <c r="AA304" i="3" s="1"/>
  <c r="W395" i="3"/>
  <c r="AA395" i="3" s="1"/>
  <c r="W244" i="3"/>
  <c r="AA244" i="3" s="1"/>
  <c r="W374" i="3"/>
  <c r="AA374" i="3" s="1"/>
  <c r="W378" i="3"/>
  <c r="AA378" i="3" s="1"/>
  <c r="W356" i="3"/>
  <c r="AA356" i="3" s="1"/>
  <c r="W256" i="3"/>
  <c r="AA256" i="3" s="1"/>
  <c r="W306" i="3"/>
  <c r="AA306" i="3" s="1"/>
  <c r="W392" i="3"/>
  <c r="AA392" i="3" s="1"/>
  <c r="W383" i="3"/>
  <c r="AA383" i="3" s="1"/>
  <c r="W278" i="3"/>
  <c r="AA278" i="3" s="1"/>
  <c r="W222" i="3"/>
  <c r="AA222" i="3" s="1"/>
  <c r="W369" i="3"/>
  <c r="AA369" i="3" s="1"/>
  <c r="W317" i="3"/>
  <c r="AA317" i="3" s="1"/>
  <c r="W407" i="3"/>
  <c r="AA407" i="3" s="1"/>
  <c r="W37" i="3"/>
  <c r="AA37" i="3" s="1"/>
  <c r="W49" i="3"/>
  <c r="AA49" i="3" s="1"/>
  <c r="W35" i="3"/>
  <c r="AA35" i="3" s="1"/>
  <c r="W22" i="3"/>
  <c r="AA22" i="3" s="1"/>
  <c r="W36" i="3"/>
  <c r="AA36" i="3" s="1"/>
  <c r="W102" i="3"/>
  <c r="AA102" i="3" s="1"/>
  <c r="W223" i="3"/>
  <c r="AA223" i="3" s="1"/>
  <c r="W386" i="3"/>
  <c r="AA386" i="3" s="1"/>
  <c r="W286" i="3"/>
  <c r="AA286" i="3" s="1"/>
  <c r="W137" i="3"/>
  <c r="AA137" i="3" s="1"/>
  <c r="W264" i="3"/>
  <c r="AA264" i="3" s="1"/>
  <c r="W287" i="3"/>
  <c r="AA287" i="3" s="1"/>
  <c r="W299" i="3"/>
  <c r="AA299" i="3" s="1"/>
  <c r="W322" i="3"/>
  <c r="AA322" i="3" s="1"/>
  <c r="W310" i="3"/>
  <c r="AA310" i="3" s="1"/>
  <c r="W83" i="3"/>
  <c r="AA83" i="3" s="1"/>
  <c r="W153" i="3"/>
  <c r="AA153" i="3" s="1"/>
  <c r="W146" i="3"/>
  <c r="AA146" i="3" s="1"/>
  <c r="W67" i="3"/>
  <c r="AA67" i="3" s="1"/>
  <c r="W399" i="3"/>
  <c r="AA399" i="3" s="1"/>
  <c r="W290" i="3"/>
  <c r="AA290" i="3" s="1"/>
  <c r="W23" i="3"/>
  <c r="AA23" i="3" s="1"/>
  <c r="W160" i="3"/>
  <c r="AA160" i="3" s="1"/>
  <c r="W138" i="3"/>
  <c r="AA138" i="3" s="1"/>
  <c r="W205" i="3"/>
  <c r="AA205" i="3" s="1"/>
  <c r="W375" i="3"/>
  <c r="AA375" i="3" s="1"/>
  <c r="W194" i="3"/>
  <c r="AA194" i="3" s="1"/>
  <c r="W245" i="3"/>
  <c r="AA245" i="3" s="1"/>
  <c r="W175" i="3"/>
  <c r="AA175" i="3" s="1"/>
  <c r="W159" i="3"/>
  <c r="AA159" i="3" s="1"/>
  <c r="W217" i="3"/>
  <c r="AA217" i="3" s="1"/>
  <c r="W279" i="3"/>
  <c r="AA279" i="3" s="1"/>
  <c r="W65" i="3"/>
  <c r="AA65" i="3" s="1"/>
  <c r="W94" i="3"/>
  <c r="AA94" i="3" s="1"/>
  <c r="W90" i="3"/>
  <c r="W207" i="3"/>
  <c r="AA207" i="3" s="1"/>
  <c r="W331" i="3"/>
  <c r="AA331" i="3" s="1"/>
  <c r="W311" i="3"/>
  <c r="AA311" i="3" s="1"/>
  <c r="W219" i="3"/>
  <c r="AA219" i="3" s="1"/>
  <c r="W308" i="3"/>
  <c r="AA308" i="3" s="1"/>
  <c r="W152" i="3"/>
  <c r="AA152" i="3" s="1"/>
  <c r="W147" i="3"/>
  <c r="AA147" i="3" s="1"/>
  <c r="W351" i="3"/>
  <c r="AA351" i="3" s="1"/>
  <c r="W355" i="3"/>
  <c r="AA355" i="3" s="1"/>
  <c r="W380" i="3"/>
  <c r="AA380" i="3" s="1"/>
  <c r="W391" i="3"/>
  <c r="AA391" i="3" s="1"/>
  <c r="W388" i="3"/>
  <c r="AA388" i="3" s="1"/>
  <c r="W249" i="3"/>
  <c r="AA249" i="3" s="1"/>
  <c r="W403" i="3"/>
  <c r="AA403" i="3" s="1"/>
  <c r="W362" i="3"/>
  <c r="AA362" i="3" s="1"/>
  <c r="W13" i="3"/>
  <c r="AA13" i="3" s="1"/>
  <c r="W5" i="3"/>
  <c r="AA5" i="3" s="1"/>
  <c r="W261" i="3"/>
  <c r="AA261" i="3" s="1"/>
  <c r="W238" i="3"/>
  <c r="AA238" i="3" s="1"/>
  <c r="W285" i="3"/>
  <c r="AA285" i="3" s="1"/>
  <c r="W208" i="3"/>
  <c r="AA208" i="3" s="1"/>
  <c r="W201" i="3"/>
  <c r="AA201" i="3" s="1"/>
  <c r="W31" i="3"/>
  <c r="AA31" i="3" s="1"/>
  <c r="W162" i="3"/>
  <c r="AA162" i="3" s="1"/>
  <c r="W337" i="3"/>
  <c r="AA337" i="3" s="1"/>
  <c r="W158" i="3"/>
  <c r="AA158" i="3" s="1"/>
  <c r="W109" i="3"/>
  <c r="AA109" i="3" s="1"/>
  <c r="W144" i="3"/>
  <c r="AA144" i="3" s="1"/>
  <c r="W155" i="3"/>
  <c r="AA155" i="3" s="1"/>
  <c r="W224" i="3"/>
  <c r="AA224" i="3" s="1"/>
  <c r="W124" i="3"/>
  <c r="AA124" i="3" s="1"/>
  <c r="W181" i="3"/>
  <c r="AA181" i="3" s="1"/>
  <c r="W15" i="3"/>
  <c r="AA15" i="3" s="1"/>
  <c r="W172" i="3"/>
  <c r="AA172" i="3" s="1"/>
  <c r="W384" i="3"/>
  <c r="AA384" i="3" s="1"/>
  <c r="W229" i="3"/>
  <c r="AA229" i="3" s="1"/>
  <c r="W377" i="3"/>
  <c r="AA377" i="3" s="1"/>
  <c r="W345" i="3"/>
  <c r="AA345" i="3" s="1"/>
  <c r="W296" i="3"/>
  <c r="AA296" i="3" s="1"/>
  <c r="W313" i="3"/>
  <c r="AA313" i="3" s="1"/>
  <c r="W265" i="3"/>
  <c r="AA265" i="3" s="1"/>
  <c r="W260" i="3"/>
  <c r="AA260" i="3" s="1"/>
  <c r="W215" i="3"/>
  <c r="AA215" i="3" s="1"/>
  <c r="W128" i="3"/>
  <c r="AA128" i="3" s="1"/>
  <c r="W141" i="3"/>
  <c r="AA141" i="3" s="1"/>
  <c r="W129" i="3"/>
  <c r="AA129" i="3" s="1"/>
  <c r="W307" i="3"/>
  <c r="AA307" i="3" s="1"/>
  <c r="W193" i="3"/>
  <c r="AA193" i="3" s="1"/>
  <c r="W247" i="3"/>
  <c r="AA247" i="3" s="1"/>
  <c r="W269" i="3"/>
  <c r="AA269" i="3" s="1"/>
  <c r="W289" i="3"/>
  <c r="AA289" i="3" s="1"/>
  <c r="W176" i="3"/>
  <c r="AA176" i="3" s="1"/>
  <c r="W165" i="3"/>
  <c r="AA165" i="3" s="1"/>
  <c r="W187" i="3"/>
  <c r="AA187" i="3" s="1"/>
  <c r="W347" i="3"/>
  <c r="AA347" i="3" s="1"/>
  <c r="W327" i="3"/>
  <c r="AA327" i="3" s="1"/>
  <c r="W212" i="3"/>
  <c r="AA212" i="3" s="1"/>
  <c r="W230" i="3"/>
  <c r="AA230" i="3" s="1"/>
  <c r="W398" i="3"/>
  <c r="AA398" i="3" s="1"/>
  <c r="W174" i="3"/>
  <c r="AA174" i="3" s="1"/>
  <c r="W367" i="3"/>
  <c r="AA367" i="3" s="1"/>
  <c r="W270" i="3"/>
  <c r="AA270" i="3" s="1"/>
  <c r="W218" i="3"/>
  <c r="AA218" i="3" s="1"/>
  <c r="W145" i="3"/>
  <c r="AA145" i="3" s="1"/>
  <c r="W179" i="3"/>
  <c r="AA179" i="3" s="1"/>
  <c r="W191" i="3"/>
  <c r="AA191" i="3" s="1"/>
  <c r="W180" i="3"/>
  <c r="AA180" i="3" s="1"/>
  <c r="W302" i="3"/>
  <c r="AA302" i="3" s="1"/>
  <c r="W198" i="3"/>
  <c r="AA198" i="3" s="1"/>
  <c r="W56" i="3"/>
  <c r="AA56" i="3" s="1"/>
  <c r="W353" i="3"/>
  <c r="AA353" i="3" s="1"/>
  <c r="W33" i="3"/>
  <c r="AA33" i="3" s="1"/>
  <c r="W69" i="3"/>
  <c r="AA69" i="3" s="1"/>
  <c r="W30" i="3"/>
  <c r="AA30" i="3" s="1"/>
  <c r="W24" i="3"/>
  <c r="AA24" i="3" s="1"/>
  <c r="W266" i="3"/>
  <c r="AA266" i="3" s="1"/>
  <c r="W55" i="3"/>
  <c r="AA55" i="3" s="1"/>
  <c r="W316" i="3"/>
  <c r="AA316" i="3" s="1"/>
  <c r="W300" i="3"/>
  <c r="AA300" i="3" s="1"/>
  <c r="W237" i="3"/>
  <c r="AA237" i="3" s="1"/>
  <c r="W157" i="3"/>
  <c r="AA157" i="3" s="1"/>
  <c r="W111" i="3"/>
  <c r="AA111" i="3" s="1"/>
  <c r="W271" i="3"/>
  <c r="AA271" i="3" s="1"/>
  <c r="W268" i="3"/>
  <c r="AA268" i="3" s="1"/>
  <c r="W251" i="3"/>
  <c r="AA251" i="3" s="1"/>
  <c r="W348" i="3"/>
  <c r="AA348" i="3" s="1"/>
  <c r="W233" i="3"/>
  <c r="AA233" i="3" s="1"/>
  <c r="W292" i="3"/>
  <c r="AA292" i="3" s="1"/>
  <c r="W211" i="3"/>
  <c r="AA211" i="3" s="1"/>
  <c r="W255" i="3"/>
  <c r="AA255" i="3" s="1"/>
  <c r="W254" i="3"/>
  <c r="AA254" i="3" s="1"/>
  <c r="W312" i="3"/>
  <c r="AA312" i="3" s="1"/>
  <c r="V154" i="3"/>
  <c r="V206" i="3"/>
  <c r="V171" i="3"/>
  <c r="V121" i="3"/>
  <c r="V70" i="3"/>
  <c r="V295" i="3"/>
  <c r="V361" i="3"/>
  <c r="V335" i="3"/>
  <c r="V126" i="3"/>
  <c r="V214" i="3"/>
  <c r="V123" i="3"/>
  <c r="V177" i="3"/>
  <c r="V81" i="3"/>
  <c r="V43" i="3"/>
  <c r="V50" i="3"/>
  <c r="V185" i="3"/>
  <c r="V173" i="3"/>
  <c r="V195" i="3"/>
  <c r="V272" i="3"/>
  <c r="V242" i="3"/>
  <c r="V107" i="3"/>
  <c r="V298" i="3"/>
  <c r="V390" i="3"/>
  <c r="V283" i="3"/>
  <c r="V288" i="3"/>
  <c r="V396" i="3"/>
  <c r="V343" i="3"/>
  <c r="V358" i="3"/>
  <c r="V200" i="3"/>
  <c r="V130" i="3"/>
  <c r="V276" i="3"/>
  <c r="V379" i="3"/>
  <c r="V89" i="3"/>
  <c r="V393" i="3"/>
  <c r="V341" i="3"/>
  <c r="V122" i="3"/>
  <c r="V232" i="3"/>
  <c r="V210" i="3"/>
  <c r="V161" i="3"/>
  <c r="V48" i="3"/>
  <c r="V333" i="3"/>
  <c r="V132" i="3"/>
  <c r="V365" i="3"/>
  <c r="V373" i="3"/>
  <c r="V382" i="3"/>
  <c r="V404" i="3"/>
  <c r="V291" i="3"/>
  <c r="V323" i="3"/>
  <c r="V213" i="3"/>
  <c r="V188" i="3"/>
  <c r="V280" i="3"/>
  <c r="V54" i="3"/>
  <c r="V125" i="3"/>
  <c r="V117" i="3"/>
  <c r="V319" i="3"/>
  <c r="V225" i="3"/>
  <c r="V273" i="3"/>
  <c r="V342" i="3"/>
  <c r="V64" i="3"/>
  <c r="V74" i="3"/>
  <c r="V78" i="3"/>
  <c r="V84" i="3"/>
  <c r="V98" i="3"/>
  <c r="V231" i="3"/>
  <c r="V73" i="3"/>
  <c r="V61" i="3"/>
  <c r="V99" i="3"/>
  <c r="V34" i="3"/>
  <c r="V38" i="3"/>
  <c r="V44" i="3"/>
  <c r="V149" i="3"/>
  <c r="V45" i="3"/>
  <c r="V76" i="3"/>
  <c r="V52" i="3"/>
  <c r="V93" i="3"/>
  <c r="V71" i="3"/>
  <c r="V72" i="3"/>
  <c r="V39" i="3"/>
  <c r="V82" i="3"/>
  <c r="V349" i="3"/>
  <c r="V192" i="3"/>
  <c r="V339" i="3"/>
  <c r="V370" i="3"/>
  <c r="V366" i="3"/>
  <c r="V16" i="3"/>
  <c r="V204" i="3"/>
  <c r="V243" i="3"/>
  <c r="V346" i="3"/>
  <c r="V387" i="3"/>
  <c r="V220" i="3"/>
  <c r="V203" i="3"/>
  <c r="V151" i="3"/>
  <c r="V68" i="3"/>
  <c r="V235" i="3"/>
  <c r="V118" i="3"/>
  <c r="V114" i="3"/>
  <c r="V150" i="3"/>
  <c r="V60" i="3"/>
  <c r="V47" i="3"/>
  <c r="V246" i="3"/>
  <c r="V236" i="3"/>
  <c r="V209" i="3"/>
  <c r="V100" i="3"/>
  <c r="V85" i="3"/>
  <c r="V79" i="3"/>
  <c r="V63" i="3"/>
  <c r="V321" i="3"/>
  <c r="V113" i="3"/>
  <c r="V184" i="3"/>
  <c r="V226" i="3"/>
  <c r="V119" i="3"/>
  <c r="V156" i="3"/>
  <c r="V101" i="3"/>
  <c r="V58" i="3"/>
  <c r="V394" i="3"/>
  <c r="V108" i="3"/>
  <c r="V96" i="3"/>
  <c r="V87" i="3"/>
  <c r="V136" i="3"/>
  <c r="V116" i="3"/>
  <c r="V406" i="3"/>
  <c r="V267" i="3"/>
  <c r="V405" i="3"/>
  <c r="V336" i="3"/>
  <c r="V120" i="3"/>
  <c r="V106" i="3"/>
  <c r="V338" i="3"/>
  <c r="V381" i="3"/>
  <c r="V332" i="3"/>
  <c r="V163" i="3"/>
  <c r="V169" i="3"/>
  <c r="V227" i="3"/>
  <c r="V139" i="3"/>
  <c r="V92" i="3"/>
  <c r="V135" i="3"/>
  <c r="V57" i="3"/>
  <c r="V62" i="3"/>
  <c r="V97" i="3"/>
  <c r="V2" i="3"/>
  <c r="V4" i="3"/>
  <c r="V8" i="3"/>
  <c r="V18" i="3"/>
  <c r="V28" i="3"/>
  <c r="V189" i="3"/>
  <c r="V259" i="3"/>
  <c r="V202" i="3"/>
  <c r="V293" i="3"/>
  <c r="V3" i="3"/>
  <c r="V17" i="3"/>
  <c r="V14" i="3"/>
  <c r="V352" i="3"/>
  <c r="V27" i="3"/>
  <c r="V40" i="3"/>
  <c r="V250" i="3"/>
  <c r="V385" i="3"/>
  <c r="V329" i="3"/>
  <c r="V196" i="3"/>
  <c r="V178" i="3"/>
  <c r="V354" i="3"/>
  <c r="V183" i="3"/>
  <c r="V263" i="3"/>
  <c r="V148" i="3"/>
  <c r="V305" i="3"/>
  <c r="V309" i="3"/>
  <c r="V248" i="3"/>
  <c r="V294" i="3"/>
  <c r="V11" i="3"/>
  <c r="V20" i="3"/>
  <c r="V41" i="3"/>
  <c r="V21" i="3"/>
  <c r="V10" i="3"/>
  <c r="V91" i="3"/>
  <c r="V19" i="3"/>
  <c r="V25" i="3"/>
  <c r="V110" i="3"/>
  <c r="V80" i="3"/>
  <c r="V252" i="3"/>
  <c r="V284" i="3"/>
  <c r="V143" i="3"/>
  <c r="V197" i="3"/>
  <c r="V112" i="3"/>
  <c r="V51" i="3"/>
  <c r="V26" i="3"/>
  <c r="V315" i="3"/>
  <c r="V324" i="3"/>
  <c r="V303" i="3"/>
  <c r="V105" i="3"/>
  <c r="V103" i="3"/>
  <c r="V170" i="3"/>
  <c r="V190" i="3"/>
  <c r="V95" i="3"/>
  <c r="V241" i="3"/>
  <c r="V344" i="3"/>
  <c r="V53" i="3"/>
  <c r="V42" i="3"/>
  <c r="V168" i="3"/>
  <c r="V277" i="3"/>
  <c r="V325" i="3"/>
  <c r="V257" i="3"/>
  <c r="V314" i="3"/>
  <c r="V6" i="3"/>
  <c r="V12" i="3"/>
  <c r="V77" i="3"/>
  <c r="V182" i="3"/>
  <c r="V166" i="3"/>
  <c r="V350" i="3"/>
  <c r="V131" i="3"/>
  <c r="V75" i="3"/>
  <c r="V127" i="3"/>
  <c r="V402" i="3"/>
  <c r="V389" i="3"/>
  <c r="V372" i="3"/>
  <c r="V274" i="3"/>
  <c r="V320" i="3"/>
  <c r="V328" i="3"/>
  <c r="V164" i="3"/>
  <c r="V221" i="3"/>
  <c r="V408" i="3"/>
  <c r="V9" i="3"/>
  <c r="V7" i="3"/>
  <c r="V368" i="3"/>
  <c r="V363" i="3"/>
  <c r="V357" i="3"/>
  <c r="V397" i="3"/>
  <c r="V59" i="3"/>
  <c r="V46" i="3"/>
  <c r="V32" i="3"/>
  <c r="V364" i="3"/>
  <c r="V318" i="3"/>
  <c r="V186" i="3"/>
  <c r="V262" i="3"/>
  <c r="V142" i="3"/>
  <c r="V86" i="3"/>
  <c r="V301" i="3"/>
  <c r="V282" i="3"/>
  <c r="V140" i="3"/>
  <c r="V133" i="3"/>
  <c r="V134" i="3"/>
  <c r="V401" i="3"/>
  <c r="V330" i="3"/>
  <c r="V360" i="3"/>
  <c r="V400" i="3"/>
  <c r="V88" i="3"/>
  <c r="V253" i="3"/>
  <c r="V281" i="3"/>
  <c r="V376" i="3"/>
  <c r="V371" i="3"/>
  <c r="V334" i="3"/>
  <c r="V234" i="3"/>
  <c r="V115" i="3"/>
  <c r="V199" i="3"/>
  <c r="V240" i="3"/>
  <c r="V216" i="3"/>
  <c r="V167" i="3"/>
  <c r="V409" i="3"/>
  <c r="V359" i="3"/>
  <c r="V326" i="3"/>
  <c r="V258" i="3"/>
  <c r="V29" i="3"/>
  <c r="V66" i="3"/>
  <c r="V104" i="3"/>
  <c r="V340" i="3"/>
  <c r="V275" i="3"/>
  <c r="V239" i="3"/>
  <c r="V228" i="3"/>
  <c r="V297" i="3"/>
  <c r="V304" i="3"/>
  <c r="V395" i="3"/>
  <c r="V244" i="3"/>
  <c r="V374" i="3"/>
  <c r="V378" i="3"/>
  <c r="V356" i="3"/>
  <c r="V256" i="3"/>
  <c r="V306" i="3"/>
  <c r="V392" i="3"/>
  <c r="V383" i="3"/>
  <c r="V278" i="3"/>
  <c r="V222" i="3"/>
  <c r="V369" i="3"/>
  <c r="V317" i="3"/>
  <c r="V407" i="3"/>
  <c r="V37" i="3"/>
  <c r="V49" i="3"/>
  <c r="V35" i="3"/>
  <c r="V22" i="3"/>
  <c r="V36" i="3"/>
  <c r="V102" i="3"/>
  <c r="V223" i="3"/>
  <c r="V386" i="3"/>
  <c r="V286" i="3"/>
  <c r="V137" i="3"/>
  <c r="V264" i="3"/>
  <c r="V287" i="3"/>
  <c r="V299" i="3"/>
  <c r="V322" i="3"/>
  <c r="V310" i="3"/>
  <c r="V83" i="3"/>
  <c r="V153" i="3"/>
  <c r="V146" i="3"/>
  <c r="V67" i="3"/>
  <c r="V399" i="3"/>
  <c r="V290" i="3"/>
  <c r="V23" i="3"/>
  <c r="V160" i="3"/>
  <c r="V138" i="3"/>
  <c r="V205" i="3"/>
  <c r="V375" i="3"/>
  <c r="V194" i="3"/>
  <c r="V245" i="3"/>
  <c r="V175" i="3"/>
  <c r="V159" i="3"/>
  <c r="V217" i="3"/>
  <c r="V279" i="3"/>
  <c r="V65" i="3"/>
  <c r="V94" i="3"/>
  <c r="V90" i="3"/>
  <c r="V207" i="3"/>
  <c r="V331" i="3"/>
  <c r="V311" i="3"/>
  <c r="V219" i="3"/>
  <c r="V308" i="3"/>
  <c r="V152" i="3"/>
  <c r="V147" i="3"/>
  <c r="V351" i="3"/>
  <c r="V355" i="3"/>
  <c r="V380" i="3"/>
  <c r="V391" i="3"/>
  <c r="V388" i="3"/>
  <c r="V249" i="3"/>
  <c r="V403" i="3"/>
  <c r="V362" i="3"/>
  <c r="V13" i="3"/>
  <c r="V5" i="3"/>
  <c r="V261" i="3"/>
  <c r="V238" i="3"/>
  <c r="V285" i="3"/>
  <c r="V208" i="3"/>
  <c r="V201" i="3"/>
  <c r="V31" i="3"/>
  <c r="V162" i="3"/>
  <c r="V337" i="3"/>
  <c r="V158" i="3"/>
  <c r="V109" i="3"/>
  <c r="V144" i="3"/>
  <c r="V155" i="3"/>
  <c r="V224" i="3"/>
  <c r="V124" i="3"/>
  <c r="V181" i="3"/>
  <c r="V15" i="3"/>
  <c r="V172" i="3"/>
  <c r="V384" i="3"/>
  <c r="V229" i="3"/>
  <c r="V377" i="3"/>
  <c r="V345" i="3"/>
  <c r="V296" i="3"/>
  <c r="V313" i="3"/>
  <c r="V265" i="3"/>
  <c r="V260" i="3"/>
  <c r="V215" i="3"/>
  <c r="V128" i="3"/>
  <c r="V141" i="3"/>
  <c r="V129" i="3"/>
  <c r="V307" i="3"/>
  <c r="V193" i="3"/>
  <c r="V247" i="3"/>
  <c r="V269" i="3"/>
  <c r="V289" i="3"/>
  <c r="V176" i="3"/>
  <c r="V165" i="3"/>
  <c r="V187" i="3"/>
  <c r="V347" i="3"/>
  <c r="V327" i="3"/>
  <c r="V212" i="3"/>
  <c r="V230" i="3"/>
  <c r="V398" i="3"/>
  <c r="V174" i="3"/>
  <c r="V367" i="3"/>
  <c r="V270" i="3"/>
  <c r="V218" i="3"/>
  <c r="V145" i="3"/>
  <c r="V179" i="3"/>
  <c r="V191" i="3"/>
  <c r="V180" i="3"/>
  <c r="V302" i="3"/>
  <c r="V198" i="3"/>
  <c r="V56" i="3"/>
  <c r="V353" i="3"/>
  <c r="V33" i="3"/>
  <c r="V69" i="3"/>
  <c r="V30" i="3"/>
  <c r="V24" i="3"/>
  <c r="V266" i="3"/>
  <c r="V55" i="3"/>
  <c r="V316" i="3"/>
  <c r="V300" i="3"/>
  <c r="V237" i="3"/>
  <c r="V157" i="3"/>
  <c r="V111" i="3"/>
  <c r="V271" i="3"/>
  <c r="V268" i="3"/>
  <c r="V251" i="3"/>
  <c r="V348" i="3"/>
  <c r="V233" i="3"/>
  <c r="V292" i="3"/>
  <c r="V211" i="3"/>
  <c r="V255" i="3"/>
  <c r="V254" i="3"/>
  <c r="V312" i="3"/>
  <c r="U154" i="3"/>
  <c r="U206" i="3"/>
  <c r="U171" i="3"/>
  <c r="U121" i="3"/>
  <c r="U70" i="3"/>
  <c r="U295" i="3"/>
  <c r="U361" i="3"/>
  <c r="U335" i="3"/>
  <c r="U126" i="3"/>
  <c r="U214" i="3"/>
  <c r="U123" i="3"/>
  <c r="U177" i="3"/>
  <c r="U81" i="3"/>
  <c r="U43" i="3"/>
  <c r="U50" i="3"/>
  <c r="U185" i="3"/>
  <c r="U173" i="3"/>
  <c r="U195" i="3"/>
  <c r="U272" i="3"/>
  <c r="U242" i="3"/>
  <c r="U107" i="3"/>
  <c r="U298" i="3"/>
  <c r="U390" i="3"/>
  <c r="U283" i="3"/>
  <c r="U288" i="3"/>
  <c r="U396" i="3"/>
  <c r="U343" i="3"/>
  <c r="U358" i="3"/>
  <c r="U200" i="3"/>
  <c r="U130" i="3"/>
  <c r="U276" i="3"/>
  <c r="U379" i="3"/>
  <c r="U89" i="3"/>
  <c r="U393" i="3"/>
  <c r="U341" i="3"/>
  <c r="U122" i="3"/>
  <c r="U232" i="3"/>
  <c r="U210" i="3"/>
  <c r="U161" i="3"/>
  <c r="U48" i="3"/>
  <c r="U333" i="3"/>
  <c r="U132" i="3"/>
  <c r="U365" i="3"/>
  <c r="U373" i="3"/>
  <c r="U382" i="3"/>
  <c r="U404" i="3"/>
  <c r="U291" i="3"/>
  <c r="U323" i="3"/>
  <c r="U213" i="3"/>
  <c r="U188" i="3"/>
  <c r="U280" i="3"/>
  <c r="U54" i="3"/>
  <c r="U125" i="3"/>
  <c r="U117" i="3"/>
  <c r="U319" i="3"/>
  <c r="U225" i="3"/>
  <c r="U273" i="3"/>
  <c r="U342" i="3"/>
  <c r="U64" i="3"/>
  <c r="U74" i="3"/>
  <c r="U78" i="3"/>
  <c r="U84" i="3"/>
  <c r="U98" i="3"/>
  <c r="U231" i="3"/>
  <c r="U73" i="3"/>
  <c r="U61" i="3"/>
  <c r="U99" i="3"/>
  <c r="U34" i="3"/>
  <c r="U38" i="3"/>
  <c r="U44" i="3"/>
  <c r="U149" i="3"/>
  <c r="U45" i="3"/>
  <c r="U76" i="3"/>
  <c r="U52" i="3"/>
  <c r="U93" i="3"/>
  <c r="U71" i="3"/>
  <c r="U72" i="3"/>
  <c r="U39" i="3"/>
  <c r="U82" i="3"/>
  <c r="U349" i="3"/>
  <c r="U192" i="3"/>
  <c r="U339" i="3"/>
  <c r="U370" i="3"/>
  <c r="U366" i="3"/>
  <c r="U16" i="3"/>
  <c r="U204" i="3"/>
  <c r="U243" i="3"/>
  <c r="U346" i="3"/>
  <c r="U387" i="3"/>
  <c r="U220" i="3"/>
  <c r="U203" i="3"/>
  <c r="U151" i="3"/>
  <c r="U68" i="3"/>
  <c r="U235" i="3"/>
  <c r="U118" i="3"/>
  <c r="U114" i="3"/>
  <c r="U150" i="3"/>
  <c r="U60" i="3"/>
  <c r="U47" i="3"/>
  <c r="U246" i="3"/>
  <c r="U236" i="3"/>
  <c r="U209" i="3"/>
  <c r="U100" i="3"/>
  <c r="U85" i="3"/>
  <c r="U79" i="3"/>
  <c r="U63" i="3"/>
  <c r="U321" i="3"/>
  <c r="U113" i="3"/>
  <c r="U184" i="3"/>
  <c r="U226" i="3"/>
  <c r="U119" i="3"/>
  <c r="U156" i="3"/>
  <c r="U101" i="3"/>
  <c r="U58" i="3"/>
  <c r="U394" i="3"/>
  <c r="U108" i="3"/>
  <c r="U96" i="3"/>
  <c r="U87" i="3"/>
  <c r="U136" i="3"/>
  <c r="U116" i="3"/>
  <c r="U406" i="3"/>
  <c r="U267" i="3"/>
  <c r="U405" i="3"/>
  <c r="U336" i="3"/>
  <c r="U120" i="3"/>
  <c r="U106" i="3"/>
  <c r="U338" i="3"/>
  <c r="U381" i="3"/>
  <c r="U332" i="3"/>
  <c r="U163" i="3"/>
  <c r="U169" i="3"/>
  <c r="U227" i="3"/>
  <c r="U139" i="3"/>
  <c r="U92" i="3"/>
  <c r="U135" i="3"/>
  <c r="U57" i="3"/>
  <c r="U62" i="3"/>
  <c r="U97" i="3"/>
  <c r="U2" i="3"/>
  <c r="U4" i="3"/>
  <c r="U8" i="3"/>
  <c r="U18" i="3"/>
  <c r="U28" i="3"/>
  <c r="U189" i="3"/>
  <c r="U259" i="3"/>
  <c r="U202" i="3"/>
  <c r="U293" i="3"/>
  <c r="U3" i="3"/>
  <c r="U17" i="3"/>
  <c r="U14" i="3"/>
  <c r="U352" i="3"/>
  <c r="U27" i="3"/>
  <c r="U40" i="3"/>
  <c r="U250" i="3"/>
  <c r="U385" i="3"/>
  <c r="U329" i="3"/>
  <c r="U196" i="3"/>
  <c r="U178" i="3"/>
  <c r="U354" i="3"/>
  <c r="U183" i="3"/>
  <c r="U263" i="3"/>
  <c r="U148" i="3"/>
  <c r="U305" i="3"/>
  <c r="U309" i="3"/>
  <c r="U248" i="3"/>
  <c r="U294" i="3"/>
  <c r="U11" i="3"/>
  <c r="U20" i="3"/>
  <c r="U41" i="3"/>
  <c r="U21" i="3"/>
  <c r="U10" i="3"/>
  <c r="U91" i="3"/>
  <c r="U19" i="3"/>
  <c r="U25" i="3"/>
  <c r="U110" i="3"/>
  <c r="U80" i="3"/>
  <c r="U252" i="3"/>
  <c r="U284" i="3"/>
  <c r="U143" i="3"/>
  <c r="U197" i="3"/>
  <c r="U112" i="3"/>
  <c r="U51" i="3"/>
  <c r="U26" i="3"/>
  <c r="U315" i="3"/>
  <c r="U324" i="3"/>
  <c r="U303" i="3"/>
  <c r="U105" i="3"/>
  <c r="U103" i="3"/>
  <c r="U170" i="3"/>
  <c r="U190" i="3"/>
  <c r="U95" i="3"/>
  <c r="U241" i="3"/>
  <c r="U344" i="3"/>
  <c r="U53" i="3"/>
  <c r="U42" i="3"/>
  <c r="U168" i="3"/>
  <c r="U277" i="3"/>
  <c r="U325" i="3"/>
  <c r="U257" i="3"/>
  <c r="U314" i="3"/>
  <c r="U6" i="3"/>
  <c r="U12" i="3"/>
  <c r="U77" i="3"/>
  <c r="U182" i="3"/>
  <c r="U166" i="3"/>
  <c r="U350" i="3"/>
  <c r="U131" i="3"/>
  <c r="U75" i="3"/>
  <c r="U127" i="3"/>
  <c r="U402" i="3"/>
  <c r="U389" i="3"/>
  <c r="U372" i="3"/>
  <c r="U274" i="3"/>
  <c r="U320" i="3"/>
  <c r="U328" i="3"/>
  <c r="U164" i="3"/>
  <c r="U221" i="3"/>
  <c r="U408" i="3"/>
  <c r="U9" i="3"/>
  <c r="U7" i="3"/>
  <c r="U368" i="3"/>
  <c r="U363" i="3"/>
  <c r="U357" i="3"/>
  <c r="U397" i="3"/>
  <c r="U59" i="3"/>
  <c r="U46" i="3"/>
  <c r="U32" i="3"/>
  <c r="U364" i="3"/>
  <c r="U318" i="3"/>
  <c r="U186" i="3"/>
  <c r="U262" i="3"/>
  <c r="U142" i="3"/>
  <c r="U86" i="3"/>
  <c r="U301" i="3"/>
  <c r="U282" i="3"/>
  <c r="U140" i="3"/>
  <c r="U133" i="3"/>
  <c r="U134" i="3"/>
  <c r="U401" i="3"/>
  <c r="U330" i="3"/>
  <c r="U360" i="3"/>
  <c r="U400" i="3"/>
  <c r="U88" i="3"/>
  <c r="U253" i="3"/>
  <c r="U281" i="3"/>
  <c r="U376" i="3"/>
  <c r="U371" i="3"/>
  <c r="U334" i="3"/>
  <c r="U234" i="3"/>
  <c r="U115" i="3"/>
  <c r="U199" i="3"/>
  <c r="U240" i="3"/>
  <c r="U216" i="3"/>
  <c r="U167" i="3"/>
  <c r="U409" i="3"/>
  <c r="U359" i="3"/>
  <c r="U326" i="3"/>
  <c r="U258" i="3"/>
  <c r="U29" i="3"/>
  <c r="U66" i="3"/>
  <c r="U104" i="3"/>
  <c r="U340" i="3"/>
  <c r="U275" i="3"/>
  <c r="U239" i="3"/>
  <c r="U228" i="3"/>
  <c r="U297" i="3"/>
  <c r="U304" i="3"/>
  <c r="U395" i="3"/>
  <c r="U244" i="3"/>
  <c r="U374" i="3"/>
  <c r="U378" i="3"/>
  <c r="U356" i="3"/>
  <c r="U256" i="3"/>
  <c r="U306" i="3"/>
  <c r="U392" i="3"/>
  <c r="U383" i="3"/>
  <c r="U278" i="3"/>
  <c r="U222" i="3"/>
  <c r="U369" i="3"/>
  <c r="U317" i="3"/>
  <c r="U407" i="3"/>
  <c r="U37" i="3"/>
  <c r="U49" i="3"/>
  <c r="U35" i="3"/>
  <c r="U22" i="3"/>
  <c r="U36" i="3"/>
  <c r="U102" i="3"/>
  <c r="U223" i="3"/>
  <c r="U386" i="3"/>
  <c r="U286" i="3"/>
  <c r="U137" i="3"/>
  <c r="U264" i="3"/>
  <c r="U287" i="3"/>
  <c r="U299" i="3"/>
  <c r="U322" i="3"/>
  <c r="U310" i="3"/>
  <c r="U83" i="3"/>
  <c r="U153" i="3"/>
  <c r="U146" i="3"/>
  <c r="U67" i="3"/>
  <c r="U399" i="3"/>
  <c r="U290" i="3"/>
  <c r="U23" i="3"/>
  <c r="U160" i="3"/>
  <c r="U138" i="3"/>
  <c r="U205" i="3"/>
  <c r="U375" i="3"/>
  <c r="U194" i="3"/>
  <c r="U245" i="3"/>
  <c r="U175" i="3"/>
  <c r="U159" i="3"/>
  <c r="U217" i="3"/>
  <c r="U279" i="3"/>
  <c r="U65" i="3"/>
  <c r="U94" i="3"/>
  <c r="U90" i="3"/>
  <c r="U207" i="3"/>
  <c r="U331" i="3"/>
  <c r="U311" i="3"/>
  <c r="U219" i="3"/>
  <c r="U308" i="3"/>
  <c r="U152" i="3"/>
  <c r="U147" i="3"/>
  <c r="U351" i="3"/>
  <c r="U355" i="3"/>
  <c r="U380" i="3"/>
  <c r="U391" i="3"/>
  <c r="U388" i="3"/>
  <c r="U249" i="3"/>
  <c r="U403" i="3"/>
  <c r="U362" i="3"/>
  <c r="U13" i="3"/>
  <c r="U5" i="3"/>
  <c r="U261" i="3"/>
  <c r="U238" i="3"/>
  <c r="U285" i="3"/>
  <c r="U208" i="3"/>
  <c r="U201" i="3"/>
  <c r="U31" i="3"/>
  <c r="U162" i="3"/>
  <c r="U337" i="3"/>
  <c r="U158" i="3"/>
  <c r="U109" i="3"/>
  <c r="U144" i="3"/>
  <c r="U155" i="3"/>
  <c r="U224" i="3"/>
  <c r="U124" i="3"/>
  <c r="U181" i="3"/>
  <c r="U15" i="3"/>
  <c r="U172" i="3"/>
  <c r="U384" i="3"/>
  <c r="U229" i="3"/>
  <c r="U377" i="3"/>
  <c r="U345" i="3"/>
  <c r="U296" i="3"/>
  <c r="U313" i="3"/>
  <c r="U265" i="3"/>
  <c r="U260" i="3"/>
  <c r="U215" i="3"/>
  <c r="U128" i="3"/>
  <c r="U141" i="3"/>
  <c r="U129" i="3"/>
  <c r="U307" i="3"/>
  <c r="U193" i="3"/>
  <c r="U247" i="3"/>
  <c r="U269" i="3"/>
  <c r="U289" i="3"/>
  <c r="U176" i="3"/>
  <c r="U165" i="3"/>
  <c r="U187" i="3"/>
  <c r="U347" i="3"/>
  <c r="U327" i="3"/>
  <c r="U212" i="3"/>
  <c r="U230" i="3"/>
  <c r="U398" i="3"/>
  <c r="U174" i="3"/>
  <c r="U367" i="3"/>
  <c r="U270" i="3"/>
  <c r="U218" i="3"/>
  <c r="U145" i="3"/>
  <c r="U179" i="3"/>
  <c r="U191" i="3"/>
  <c r="U180" i="3"/>
  <c r="U302" i="3"/>
  <c r="U198" i="3"/>
  <c r="U56" i="3"/>
  <c r="U353" i="3"/>
  <c r="U33" i="3"/>
  <c r="U69" i="3"/>
  <c r="U30" i="3"/>
  <c r="U24" i="3"/>
  <c r="U266" i="3"/>
  <c r="U55" i="3"/>
  <c r="U316" i="3"/>
  <c r="U300" i="3"/>
  <c r="U237" i="3"/>
  <c r="U157" i="3"/>
  <c r="U111" i="3"/>
  <c r="U271" i="3"/>
  <c r="U268" i="3"/>
  <c r="U251" i="3"/>
  <c r="U348" i="3"/>
  <c r="U233" i="3"/>
  <c r="U292" i="3"/>
  <c r="U211" i="3"/>
  <c r="U255" i="3"/>
  <c r="U254" i="3"/>
  <c r="U312" i="3"/>
  <c r="D154" i="3"/>
  <c r="D206" i="3"/>
  <c r="D171" i="3"/>
  <c r="D121" i="3"/>
  <c r="D70" i="3"/>
  <c r="D295" i="3"/>
  <c r="D361" i="3"/>
  <c r="D335" i="3"/>
  <c r="D126" i="3"/>
  <c r="D214" i="3"/>
  <c r="D123" i="3"/>
  <c r="D177" i="3"/>
  <c r="D81" i="3"/>
  <c r="D43" i="3"/>
  <c r="D50" i="3"/>
  <c r="D185" i="3"/>
  <c r="D173" i="3"/>
  <c r="D195" i="3"/>
  <c r="D272" i="3"/>
  <c r="D242" i="3"/>
  <c r="D107" i="3"/>
  <c r="D298" i="3"/>
  <c r="D390" i="3"/>
  <c r="D283" i="3"/>
  <c r="D288" i="3"/>
  <c r="D396" i="3"/>
  <c r="D343" i="3"/>
  <c r="D358" i="3"/>
  <c r="D200" i="3"/>
  <c r="D130" i="3"/>
  <c r="D276" i="3"/>
  <c r="D379" i="3"/>
  <c r="D89" i="3"/>
  <c r="D393" i="3"/>
  <c r="D341" i="3"/>
  <c r="D122" i="3"/>
  <c r="D232" i="3"/>
  <c r="D210" i="3"/>
  <c r="D161" i="3"/>
  <c r="D48" i="3"/>
  <c r="D333" i="3"/>
  <c r="D132" i="3"/>
  <c r="D365" i="3"/>
  <c r="D373" i="3"/>
  <c r="D382" i="3"/>
  <c r="D404" i="3"/>
  <c r="D291" i="3"/>
  <c r="D323" i="3"/>
  <c r="D213" i="3"/>
  <c r="D188" i="3"/>
  <c r="D280" i="3"/>
  <c r="D54" i="3"/>
  <c r="D125" i="3"/>
  <c r="D117" i="3"/>
  <c r="D319" i="3"/>
  <c r="D225" i="3"/>
  <c r="D273" i="3"/>
  <c r="D342" i="3"/>
  <c r="D64" i="3"/>
  <c r="D74" i="3"/>
  <c r="D78" i="3"/>
  <c r="D84" i="3"/>
  <c r="D98" i="3"/>
  <c r="D231" i="3"/>
  <c r="D73" i="3"/>
  <c r="D61" i="3"/>
  <c r="D99" i="3"/>
  <c r="D34" i="3"/>
  <c r="D38" i="3"/>
  <c r="D44" i="3"/>
  <c r="D149" i="3"/>
  <c r="D45" i="3"/>
  <c r="D76" i="3"/>
  <c r="D52" i="3"/>
  <c r="D93" i="3"/>
  <c r="D71" i="3"/>
  <c r="D72" i="3"/>
  <c r="D39" i="3"/>
  <c r="D82" i="3"/>
  <c r="D349" i="3"/>
  <c r="D192" i="3"/>
  <c r="D339" i="3"/>
  <c r="D370" i="3"/>
  <c r="D366" i="3"/>
  <c r="D16" i="3"/>
  <c r="D204" i="3"/>
  <c r="D243" i="3"/>
  <c r="D346" i="3"/>
  <c r="D387" i="3"/>
  <c r="D220" i="3"/>
  <c r="D203" i="3"/>
  <c r="D151" i="3"/>
  <c r="D68" i="3"/>
  <c r="D235" i="3"/>
  <c r="D118" i="3"/>
  <c r="D114" i="3"/>
  <c r="D150" i="3"/>
  <c r="D60" i="3"/>
  <c r="D47" i="3"/>
  <c r="D246" i="3"/>
  <c r="D236" i="3"/>
  <c r="D209" i="3"/>
  <c r="D100" i="3"/>
  <c r="D85" i="3"/>
  <c r="D79" i="3"/>
  <c r="D63" i="3"/>
  <c r="D321" i="3"/>
  <c r="D113" i="3"/>
  <c r="D184" i="3"/>
  <c r="D226" i="3"/>
  <c r="D119" i="3"/>
  <c r="D156" i="3"/>
  <c r="D101" i="3"/>
  <c r="D58" i="3"/>
  <c r="D394" i="3"/>
  <c r="D108" i="3"/>
  <c r="D96" i="3"/>
  <c r="D87" i="3"/>
  <c r="D136" i="3"/>
  <c r="D116" i="3"/>
  <c r="D406" i="3"/>
  <c r="D267" i="3"/>
  <c r="D405" i="3"/>
  <c r="D336" i="3"/>
  <c r="D120" i="3"/>
  <c r="D106" i="3"/>
  <c r="D338" i="3"/>
  <c r="D381" i="3"/>
  <c r="D332" i="3"/>
  <c r="D163" i="3"/>
  <c r="D169" i="3"/>
  <c r="D227" i="3"/>
  <c r="D139" i="3"/>
  <c r="D92" i="3"/>
  <c r="D135" i="3"/>
  <c r="D57" i="3"/>
  <c r="D62" i="3"/>
  <c r="D97" i="3"/>
  <c r="D2" i="3"/>
  <c r="D4" i="3"/>
  <c r="D8" i="3"/>
  <c r="D18" i="3"/>
  <c r="D28" i="3"/>
  <c r="D189" i="3"/>
  <c r="D259" i="3"/>
  <c r="D202" i="3"/>
  <c r="D293" i="3"/>
  <c r="D3" i="3"/>
  <c r="D17" i="3"/>
  <c r="D14" i="3"/>
  <c r="D352" i="3"/>
  <c r="D27" i="3"/>
  <c r="D40" i="3"/>
  <c r="D250" i="3"/>
  <c r="D385" i="3"/>
  <c r="D329" i="3"/>
  <c r="D196" i="3"/>
  <c r="D178" i="3"/>
  <c r="D354" i="3"/>
  <c r="D183" i="3"/>
  <c r="D263" i="3"/>
  <c r="D148" i="3"/>
  <c r="D305" i="3"/>
  <c r="D309" i="3"/>
  <c r="D248" i="3"/>
  <c r="D294" i="3"/>
  <c r="D11" i="3"/>
  <c r="D20" i="3"/>
  <c r="D41" i="3"/>
  <c r="D21" i="3"/>
  <c r="D10" i="3"/>
  <c r="D91" i="3"/>
  <c r="D19" i="3"/>
  <c r="D25" i="3"/>
  <c r="D110" i="3"/>
  <c r="D80" i="3"/>
  <c r="D252" i="3"/>
  <c r="D284" i="3"/>
  <c r="D143" i="3"/>
  <c r="D197" i="3"/>
  <c r="D112" i="3"/>
  <c r="D51" i="3"/>
  <c r="D26" i="3"/>
  <c r="D315" i="3"/>
  <c r="D324" i="3"/>
  <c r="D303" i="3"/>
  <c r="D105" i="3"/>
  <c r="D103" i="3"/>
  <c r="D170" i="3"/>
  <c r="D190" i="3"/>
  <c r="D95" i="3"/>
  <c r="D241" i="3"/>
  <c r="D344" i="3"/>
  <c r="D53" i="3"/>
  <c r="D42" i="3"/>
  <c r="D168" i="3"/>
  <c r="D277" i="3"/>
  <c r="D325" i="3"/>
  <c r="D257" i="3"/>
  <c r="D314" i="3"/>
  <c r="D6" i="3"/>
  <c r="D12" i="3"/>
  <c r="D77" i="3"/>
  <c r="D182" i="3"/>
  <c r="D166" i="3"/>
  <c r="D350" i="3"/>
  <c r="D131" i="3"/>
  <c r="D75" i="3"/>
  <c r="D127" i="3"/>
  <c r="D402" i="3"/>
  <c r="D389" i="3"/>
  <c r="D372" i="3"/>
  <c r="D274" i="3"/>
  <c r="D320" i="3"/>
  <c r="D328" i="3"/>
  <c r="D164" i="3"/>
  <c r="D221" i="3"/>
  <c r="D408" i="3"/>
  <c r="D9" i="3"/>
  <c r="D7" i="3"/>
  <c r="D368" i="3"/>
  <c r="D363" i="3"/>
  <c r="D357" i="3"/>
  <c r="D397" i="3"/>
  <c r="D59" i="3"/>
  <c r="D46" i="3"/>
  <c r="D32" i="3"/>
  <c r="D364" i="3"/>
  <c r="D318" i="3"/>
  <c r="D186" i="3"/>
  <c r="D262" i="3"/>
  <c r="D142" i="3"/>
  <c r="D86" i="3"/>
  <c r="D301" i="3"/>
  <c r="D282" i="3"/>
  <c r="D140" i="3"/>
  <c r="D133" i="3"/>
  <c r="D134" i="3"/>
  <c r="D401" i="3"/>
  <c r="D330" i="3"/>
  <c r="D360" i="3"/>
  <c r="D400" i="3"/>
  <c r="D88" i="3"/>
  <c r="D253" i="3"/>
  <c r="D281" i="3"/>
  <c r="D376" i="3"/>
  <c r="D371" i="3"/>
  <c r="D334" i="3"/>
  <c r="D234" i="3"/>
  <c r="D115" i="3"/>
  <c r="D199" i="3"/>
  <c r="D240" i="3"/>
  <c r="D216" i="3"/>
  <c r="D167" i="3"/>
  <c r="D409" i="3"/>
  <c r="D359" i="3"/>
  <c r="D326" i="3"/>
  <c r="D258" i="3"/>
  <c r="D29" i="3"/>
  <c r="D66" i="3"/>
  <c r="D104" i="3"/>
  <c r="D340" i="3"/>
  <c r="D275" i="3"/>
  <c r="D239" i="3"/>
  <c r="D228" i="3"/>
  <c r="D297" i="3"/>
  <c r="D304" i="3"/>
  <c r="D395" i="3"/>
  <c r="D244" i="3"/>
  <c r="D374" i="3"/>
  <c r="D378" i="3"/>
  <c r="D356" i="3"/>
  <c r="D256" i="3"/>
  <c r="D306" i="3"/>
  <c r="D392" i="3"/>
  <c r="D383" i="3"/>
  <c r="D278" i="3"/>
  <c r="D222" i="3"/>
  <c r="D369" i="3"/>
  <c r="D317" i="3"/>
  <c r="D407" i="3"/>
  <c r="D37" i="3"/>
  <c r="D49" i="3"/>
  <c r="D35" i="3"/>
  <c r="D22" i="3"/>
  <c r="D36" i="3"/>
  <c r="D102" i="3"/>
  <c r="D223" i="3"/>
  <c r="D386" i="3"/>
  <c r="D286" i="3"/>
  <c r="D137" i="3"/>
  <c r="D264" i="3"/>
  <c r="D287" i="3"/>
  <c r="D299" i="3"/>
  <c r="D322" i="3"/>
  <c r="D310" i="3"/>
  <c r="D83" i="3"/>
  <c r="D153" i="3"/>
  <c r="D146" i="3"/>
  <c r="D67" i="3"/>
  <c r="D399" i="3"/>
  <c r="D290" i="3"/>
  <c r="D23" i="3"/>
  <c r="D160" i="3"/>
  <c r="D138" i="3"/>
  <c r="D205" i="3"/>
  <c r="D375" i="3"/>
  <c r="D194" i="3"/>
  <c r="D245" i="3"/>
  <c r="D175" i="3"/>
  <c r="D159" i="3"/>
  <c r="D217" i="3"/>
  <c r="D279" i="3"/>
  <c r="D65" i="3"/>
  <c r="D94" i="3"/>
  <c r="D90" i="3"/>
  <c r="D207" i="3"/>
  <c r="D331" i="3"/>
  <c r="D311" i="3"/>
  <c r="D219" i="3"/>
  <c r="D308" i="3"/>
  <c r="D152" i="3"/>
  <c r="D147" i="3"/>
  <c r="D351" i="3"/>
  <c r="D355" i="3"/>
  <c r="D380" i="3"/>
  <c r="D391" i="3"/>
  <c r="D388" i="3"/>
  <c r="D249" i="3"/>
  <c r="D403" i="3"/>
  <c r="D362" i="3"/>
  <c r="D13" i="3"/>
  <c r="D5" i="3"/>
  <c r="D261" i="3"/>
  <c r="D238" i="3"/>
  <c r="D285" i="3"/>
  <c r="D208" i="3"/>
  <c r="D201" i="3"/>
  <c r="D31" i="3"/>
  <c r="D162" i="3"/>
  <c r="D337" i="3"/>
  <c r="D158" i="3"/>
  <c r="D109" i="3"/>
  <c r="D144" i="3"/>
  <c r="D155" i="3"/>
  <c r="D224" i="3"/>
  <c r="D124" i="3"/>
  <c r="D181" i="3"/>
  <c r="D15" i="3"/>
  <c r="D172" i="3"/>
  <c r="D384" i="3"/>
  <c r="D229" i="3"/>
  <c r="D377" i="3"/>
  <c r="D345" i="3"/>
  <c r="D296" i="3"/>
  <c r="D313" i="3"/>
  <c r="D265" i="3"/>
  <c r="D260" i="3"/>
  <c r="D215" i="3"/>
  <c r="D128" i="3"/>
  <c r="D141" i="3"/>
  <c r="D129" i="3"/>
  <c r="D307" i="3"/>
  <c r="D193" i="3"/>
  <c r="D247" i="3"/>
  <c r="D269" i="3"/>
  <c r="D289" i="3"/>
  <c r="D176" i="3"/>
  <c r="D165" i="3"/>
  <c r="D187" i="3"/>
  <c r="D347" i="3"/>
  <c r="D327" i="3"/>
  <c r="D212" i="3"/>
  <c r="D230" i="3"/>
  <c r="D398" i="3"/>
  <c r="D174" i="3"/>
  <c r="D367" i="3"/>
  <c r="D270" i="3"/>
  <c r="D218" i="3"/>
  <c r="D145" i="3"/>
  <c r="D179" i="3"/>
  <c r="D191" i="3"/>
  <c r="D180" i="3"/>
  <c r="D302" i="3"/>
  <c r="D198" i="3"/>
  <c r="D56" i="3"/>
  <c r="D353" i="3"/>
  <c r="D33" i="3"/>
  <c r="D69" i="3"/>
  <c r="D30" i="3"/>
  <c r="D24" i="3"/>
  <c r="D266" i="3"/>
  <c r="D55" i="3"/>
  <c r="D316" i="3"/>
  <c r="D300" i="3"/>
  <c r="D237" i="3"/>
  <c r="D157" i="3"/>
  <c r="D111" i="3"/>
  <c r="D271" i="3"/>
  <c r="D268" i="3"/>
  <c r="D251" i="3"/>
  <c r="D348" i="3"/>
  <c r="D233" i="3"/>
  <c r="D292" i="3"/>
  <c r="D211" i="3"/>
  <c r="D255" i="3"/>
  <c r="D254" i="3"/>
  <c r="D312" i="3"/>
  <c r="M12" i="6" l="1"/>
  <c r="M13" i="6"/>
  <c r="M10" i="6"/>
  <c r="I11" i="6"/>
  <c r="I22" i="6"/>
  <c r="I19" i="6"/>
  <c r="I10" i="6"/>
  <c r="M11" i="6"/>
  <c r="M22" i="6"/>
  <c r="M8" i="6"/>
  <c r="H23" i="6"/>
  <c r="H15" i="6"/>
  <c r="H12" i="6"/>
  <c r="H11" i="6"/>
  <c r="H22" i="6"/>
  <c r="H20" i="6"/>
  <c r="H5" i="6"/>
  <c r="I14" i="6"/>
  <c r="M14" i="6"/>
  <c r="H13" i="6"/>
  <c r="H7" i="6"/>
  <c r="I20" i="6"/>
  <c r="J20" i="6" s="1"/>
  <c r="I6" i="6"/>
  <c r="I4" i="6"/>
  <c r="I3" i="6"/>
  <c r="I7" i="6"/>
  <c r="I2" i="6"/>
  <c r="I13" i="6"/>
  <c r="I5" i="6"/>
  <c r="I16" i="6"/>
  <c r="M23" i="6"/>
  <c r="M9" i="6"/>
  <c r="H6" i="6"/>
  <c r="H17" i="6"/>
  <c r="J17" i="6" s="1"/>
  <c r="H10" i="6"/>
  <c r="H3" i="6"/>
  <c r="H21" i="6"/>
  <c r="H18" i="6"/>
  <c r="H16" i="6"/>
  <c r="J16" i="6" s="1"/>
  <c r="H9" i="6"/>
  <c r="H2" i="6"/>
  <c r="J2" i="6" s="1"/>
  <c r="I15" i="6"/>
  <c r="I12" i="6"/>
  <c r="M19" i="6"/>
  <c r="M5" i="6"/>
  <c r="M18" i="6"/>
  <c r="M4" i="6"/>
  <c r="H19" i="6"/>
  <c r="J19" i="6" s="1"/>
  <c r="H8" i="6"/>
  <c r="J8" i="6" s="1"/>
  <c r="M21" i="6"/>
  <c r="H14" i="6"/>
  <c r="I21" i="6"/>
  <c r="I18" i="6"/>
  <c r="J18" i="6" s="1"/>
  <c r="I9" i="6"/>
  <c r="M7" i="6"/>
  <c r="I23" i="6"/>
  <c r="I17" i="6"/>
  <c r="I8" i="6"/>
  <c r="M16" i="6"/>
  <c r="M2" i="6"/>
  <c r="H4" i="6"/>
  <c r="G27" i="5"/>
  <c r="AK24" i="3"/>
  <c r="AK81" i="3"/>
  <c r="AK272" i="3"/>
  <c r="G17" i="6"/>
  <c r="N3" i="6"/>
  <c r="C7" i="6" a="1"/>
  <c r="C7" i="6" s="1"/>
  <c r="Q15" i="6"/>
  <c r="G23" i="6"/>
  <c r="Q19" i="6"/>
  <c r="Q6" i="6"/>
  <c r="Q20" i="6"/>
  <c r="N17" i="6"/>
  <c r="AK27" i="3"/>
  <c r="Q2" i="6"/>
  <c r="P9" i="6"/>
  <c r="Q11" i="6"/>
  <c r="Q18" i="6"/>
  <c r="Q5" i="6"/>
  <c r="C20" i="6" a="1"/>
  <c r="C20" i="6" s="1"/>
  <c r="Q23" i="6"/>
  <c r="AK280" i="3"/>
  <c r="Q13" i="6"/>
  <c r="Q4" i="6"/>
  <c r="Q21" i="6"/>
  <c r="N10" i="6"/>
  <c r="Q10" i="6"/>
  <c r="G8" i="6"/>
  <c r="AM246" i="3"/>
  <c r="R13" i="6"/>
  <c r="C8" i="6" a="1"/>
  <c r="C8" i="6" s="1"/>
  <c r="N9" i="6"/>
  <c r="R10" i="6"/>
  <c r="C14" i="6" a="1"/>
  <c r="C14" i="6" s="1"/>
  <c r="C17" i="6" a="1"/>
  <c r="C17" i="6" s="1"/>
  <c r="C19" i="6" a="1"/>
  <c r="C19" i="6" s="1"/>
  <c r="Q22" i="6"/>
  <c r="AA39" i="3"/>
  <c r="AA182" i="3"/>
  <c r="P18" i="6"/>
  <c r="P15" i="6"/>
  <c r="AA90" i="3"/>
  <c r="N12" i="6"/>
  <c r="P3" i="6"/>
  <c r="R9" i="6"/>
  <c r="C22" i="6" a="1"/>
  <c r="C22" i="6" s="1"/>
  <c r="N23" i="6"/>
  <c r="C23" i="6" a="1"/>
  <c r="C23" i="6" s="1"/>
  <c r="C18" i="6" a="1"/>
  <c r="C18" i="6" s="1"/>
  <c r="C9" i="6" a="1"/>
  <c r="C9" i="6" s="1"/>
  <c r="C2" i="6" a="1"/>
  <c r="C2" i="6" s="1"/>
  <c r="C5" i="6" a="1"/>
  <c r="C5" i="6" s="1"/>
  <c r="C10" i="6" a="1"/>
  <c r="C10" i="6" s="1"/>
  <c r="AA72" i="3"/>
  <c r="N16" i="6"/>
  <c r="Q8" i="6"/>
  <c r="N5" i="6"/>
  <c r="R6" i="6"/>
  <c r="N8" i="6"/>
  <c r="C13" i="6" a="1"/>
  <c r="C13" i="6" s="1"/>
  <c r="N14" i="6"/>
  <c r="R15" i="6"/>
  <c r="AA71" i="3"/>
  <c r="N15" i="6"/>
  <c r="AF185" i="3"/>
  <c r="P17" i="6"/>
  <c r="C4" i="6" a="1"/>
  <c r="C4" i="6" s="1"/>
  <c r="P23" i="6"/>
  <c r="C11" i="6" a="1"/>
  <c r="C11" i="6" s="1"/>
  <c r="P21" i="6"/>
  <c r="AM8" i="3"/>
  <c r="R7" i="6"/>
  <c r="Q9" i="6"/>
  <c r="P12" i="6"/>
  <c r="R18" i="6"/>
  <c r="AA259" i="3"/>
  <c r="N2" i="6"/>
  <c r="C16" i="6" a="1"/>
  <c r="C16" i="6" s="1"/>
  <c r="Q17" i="6"/>
  <c r="AF51" i="3"/>
  <c r="P11" i="6"/>
  <c r="R8" i="6"/>
  <c r="Q14" i="6"/>
  <c r="R20" i="6"/>
  <c r="R23" i="6"/>
  <c r="Q16" i="6"/>
  <c r="R11" i="6"/>
  <c r="R14" i="6"/>
  <c r="C21" i="6" a="1"/>
  <c r="C21" i="6" s="1"/>
  <c r="C3" i="6" a="1"/>
  <c r="C3" i="6" s="1"/>
  <c r="N4" i="6"/>
  <c r="C15" i="6" a="1"/>
  <c r="C15" i="6" s="1"/>
  <c r="P19" i="6"/>
  <c r="AM20" i="3"/>
  <c r="R21" i="6"/>
  <c r="AF41" i="3"/>
  <c r="P22" i="6"/>
  <c r="AF8" i="3"/>
  <c r="P7" i="6"/>
  <c r="P5" i="6"/>
  <c r="P8" i="6"/>
  <c r="P14" i="6"/>
  <c r="Q12" i="6"/>
  <c r="P2" i="6"/>
  <c r="AF11" i="3"/>
  <c r="P20" i="6"/>
  <c r="AM90" i="3"/>
  <c r="R12" i="6"/>
  <c r="N22" i="6"/>
  <c r="C12" i="6" a="1"/>
  <c r="C12" i="6" s="1"/>
  <c r="AA4" i="3"/>
  <c r="N6" i="6"/>
  <c r="AK364" i="3"/>
  <c r="AK209" i="3"/>
  <c r="AM202" i="3"/>
  <c r="R3" i="6"/>
  <c r="AM87" i="3"/>
  <c r="R4" i="6"/>
  <c r="AK340" i="3"/>
  <c r="AF54" i="3"/>
  <c r="P16" i="6"/>
  <c r="P10" i="6"/>
  <c r="R22" i="6"/>
  <c r="P6" i="6"/>
  <c r="R17" i="6"/>
  <c r="R5" i="6"/>
  <c r="N13" i="6"/>
  <c r="N19" i="6"/>
  <c r="Q3" i="6"/>
  <c r="R2" i="6"/>
  <c r="C6" i="6" a="1"/>
  <c r="C6" i="6" s="1"/>
  <c r="P13" i="6"/>
  <c r="AA51" i="3"/>
  <c r="N11" i="6"/>
  <c r="AA20" i="3"/>
  <c r="N21" i="6"/>
  <c r="AA11" i="3"/>
  <c r="N20" i="6"/>
  <c r="Q7" i="6"/>
  <c r="AK244" i="3"/>
  <c r="AK32" i="3"/>
  <c r="AK196" i="3"/>
  <c r="AK394" i="3"/>
  <c r="AK243" i="3"/>
  <c r="P4" i="6"/>
  <c r="N18" i="6"/>
  <c r="R19" i="6"/>
  <c r="AK296" i="3"/>
  <c r="AK93" i="3"/>
  <c r="G2" i="6"/>
  <c r="N7" i="6"/>
  <c r="G15" i="6"/>
  <c r="AK204" i="3"/>
  <c r="AK45" i="3"/>
  <c r="AK373" i="3"/>
  <c r="AK401" i="3"/>
  <c r="AK277" i="3"/>
  <c r="AK26" i="3"/>
  <c r="R16" i="6"/>
  <c r="G9" i="6"/>
  <c r="J5" i="6"/>
  <c r="G10" i="6"/>
  <c r="G20" i="6"/>
  <c r="G19" i="6"/>
  <c r="G22" i="6"/>
  <c r="G6" i="6"/>
  <c r="G3" i="6"/>
  <c r="G11" i="6"/>
  <c r="G12" i="6"/>
  <c r="G18" i="6"/>
  <c r="G7" i="6"/>
  <c r="J4" i="6"/>
  <c r="G21" i="6"/>
  <c r="G5" i="6"/>
  <c r="G13" i="6"/>
  <c r="G4" i="6"/>
  <c r="G14" i="6"/>
  <c r="J12" i="6"/>
  <c r="AK46" i="3"/>
  <c r="AK245" i="3"/>
  <c r="AK50" i="3"/>
  <c r="AK134" i="3"/>
  <c r="AK250" i="3"/>
  <c r="AK273" i="3"/>
  <c r="AK138" i="3"/>
  <c r="AK161" i="3"/>
  <c r="AK67" i="3"/>
  <c r="AK103" i="3"/>
  <c r="AK146" i="3"/>
  <c r="AK378" i="3"/>
  <c r="AK297" i="3"/>
  <c r="AK402" i="3"/>
  <c r="AK225" i="3"/>
  <c r="AK230" i="3"/>
  <c r="AK160" i="3"/>
  <c r="AK309" i="3"/>
  <c r="AK86" i="3"/>
  <c r="AK17" i="3"/>
  <c r="AK56" i="3"/>
  <c r="AK148" i="3"/>
  <c r="H297" i="3"/>
  <c r="I297" i="3" s="1"/>
  <c r="H24" i="3"/>
  <c r="I24" i="3" s="1"/>
  <c r="H26" i="3"/>
  <c r="I26" i="3" s="1"/>
  <c r="H209" i="3"/>
  <c r="I209" i="3" s="1"/>
  <c r="H103" i="3"/>
  <c r="I103" i="3" s="1"/>
  <c r="H163" i="3"/>
  <c r="I163" i="3" s="1"/>
  <c r="H196" i="3"/>
  <c r="I196" i="3" s="1"/>
  <c r="H273" i="3"/>
  <c r="I273" i="3" s="1"/>
  <c r="H204" i="3"/>
  <c r="I204" i="3" s="1"/>
  <c r="H138" i="3"/>
  <c r="I138" i="3" s="1"/>
  <c r="H245" i="3"/>
  <c r="I245" i="3" s="1"/>
  <c r="H243" i="3"/>
  <c r="I243" i="3" s="1"/>
  <c r="AI292" i="3"/>
  <c r="AK292" i="3" s="1"/>
  <c r="H292" i="3"/>
  <c r="I292" i="3" s="1"/>
  <c r="AI331" i="3"/>
  <c r="AK331" i="3" s="1"/>
  <c r="H331" i="3"/>
  <c r="I331" i="3" s="1"/>
  <c r="AI290" i="3"/>
  <c r="AK290" i="3" s="1"/>
  <c r="H290" i="3"/>
  <c r="I290" i="3" s="1"/>
  <c r="AI137" i="3"/>
  <c r="AK137" i="3" s="1"/>
  <c r="H137" i="3"/>
  <c r="I137" i="3" s="1"/>
  <c r="AI281" i="3"/>
  <c r="AK281" i="3" s="1"/>
  <c r="H281" i="3"/>
  <c r="I281" i="3" s="1"/>
  <c r="AI19" i="3"/>
  <c r="AK19" i="3" s="1"/>
  <c r="H19" i="3"/>
  <c r="I19" i="3" s="1"/>
  <c r="AI62" i="3"/>
  <c r="AK62" i="3" s="1"/>
  <c r="H62" i="3"/>
  <c r="I62" i="3" s="1"/>
  <c r="AI336" i="3"/>
  <c r="AK336" i="3" s="1"/>
  <c r="H336" i="3"/>
  <c r="I336" i="3" s="1"/>
  <c r="AI114" i="3"/>
  <c r="AK114" i="3" s="1"/>
  <c r="H114" i="3"/>
  <c r="I114" i="3" s="1"/>
  <c r="AI76" i="3"/>
  <c r="AK76" i="3" s="1"/>
  <c r="H76" i="3"/>
  <c r="I76" i="3" s="1"/>
  <c r="AI74" i="3"/>
  <c r="AK74" i="3" s="1"/>
  <c r="H74" i="3"/>
  <c r="I74" i="3" s="1"/>
  <c r="AI382" i="3"/>
  <c r="AK382" i="3" s="1"/>
  <c r="H382" i="3"/>
  <c r="I382" i="3" s="1"/>
  <c r="AI123" i="3"/>
  <c r="AK123" i="3" s="1"/>
  <c r="H123" i="3"/>
  <c r="I123" i="3" s="1"/>
  <c r="AI218" i="3"/>
  <c r="AK218" i="3" s="1"/>
  <c r="H218" i="3"/>
  <c r="I218" i="3" s="1"/>
  <c r="AI187" i="3"/>
  <c r="AK187" i="3" s="1"/>
  <c r="H187" i="3"/>
  <c r="I187" i="3" s="1"/>
  <c r="AI15" i="3"/>
  <c r="AK15" i="3" s="1"/>
  <c r="H15" i="3"/>
  <c r="I15" i="3" s="1"/>
  <c r="AI351" i="3"/>
  <c r="AK351" i="3" s="1"/>
  <c r="H351" i="3"/>
  <c r="I351" i="3" s="1"/>
  <c r="AI207" i="3"/>
  <c r="AK207" i="3" s="1"/>
  <c r="H207" i="3"/>
  <c r="I207" i="3" s="1"/>
  <c r="AI399" i="3"/>
  <c r="AK399" i="3" s="1"/>
  <c r="H399" i="3"/>
  <c r="I399" i="3" s="1"/>
  <c r="AI222" i="3"/>
  <c r="AK222" i="3" s="1"/>
  <c r="H222" i="3"/>
  <c r="I222" i="3" s="1"/>
  <c r="AI356" i="3"/>
  <c r="AK356" i="3" s="1"/>
  <c r="H356" i="3"/>
  <c r="I356" i="3" s="1"/>
  <c r="AI326" i="3"/>
  <c r="AK326" i="3" s="1"/>
  <c r="H326" i="3"/>
  <c r="I326" i="3" s="1"/>
  <c r="AI199" i="3"/>
  <c r="AK199" i="3" s="1"/>
  <c r="H199" i="3"/>
  <c r="I199" i="3" s="1"/>
  <c r="AI400" i="3"/>
  <c r="AK400" i="3" s="1"/>
  <c r="H400" i="3"/>
  <c r="I400" i="3" s="1"/>
  <c r="AI318" i="3"/>
  <c r="AK318" i="3" s="1"/>
  <c r="H318" i="3"/>
  <c r="I318" i="3" s="1"/>
  <c r="AI274" i="3"/>
  <c r="AK274" i="3" s="1"/>
  <c r="H274" i="3"/>
  <c r="I274" i="3" s="1"/>
  <c r="AI350" i="3"/>
  <c r="AK350" i="3" s="1"/>
  <c r="H350" i="3"/>
  <c r="I350" i="3" s="1"/>
  <c r="AI42" i="3"/>
  <c r="AK42" i="3" s="1"/>
  <c r="H42" i="3"/>
  <c r="I42" i="3" s="1"/>
  <c r="AI91" i="3"/>
  <c r="AK91" i="3" s="1"/>
  <c r="H91" i="3"/>
  <c r="I91" i="3" s="1"/>
  <c r="AI21" i="3"/>
  <c r="AK21" i="3" s="1"/>
  <c r="H21" i="3"/>
  <c r="I21" i="3" s="1"/>
  <c r="AI202" i="3"/>
  <c r="AK202" i="3" s="1"/>
  <c r="H202" i="3"/>
  <c r="I202" i="3" s="1"/>
  <c r="AI57" i="3"/>
  <c r="AK57" i="3" s="1"/>
  <c r="H57" i="3"/>
  <c r="I57" i="3" s="1"/>
  <c r="H378" i="3"/>
  <c r="I378" i="3" s="1"/>
  <c r="AI237" i="3"/>
  <c r="AK237" i="3" s="1"/>
  <c r="H237" i="3"/>
  <c r="I237" i="3" s="1"/>
  <c r="AI180" i="3"/>
  <c r="AK180" i="3" s="1"/>
  <c r="H180" i="3"/>
  <c r="I180" i="3" s="1"/>
  <c r="AI260" i="3"/>
  <c r="AK260" i="3" s="1"/>
  <c r="H260" i="3"/>
  <c r="I260" i="3" s="1"/>
  <c r="AI172" i="3"/>
  <c r="AK172" i="3" s="1"/>
  <c r="H172" i="3"/>
  <c r="I172" i="3" s="1"/>
  <c r="AI256" i="3"/>
  <c r="AK256" i="3" s="1"/>
  <c r="H256" i="3"/>
  <c r="I256" i="3" s="1"/>
  <c r="AI88" i="3"/>
  <c r="AK88" i="3" s="1"/>
  <c r="H88" i="3"/>
  <c r="I88" i="3" s="1"/>
  <c r="AI186" i="3"/>
  <c r="AK186" i="3" s="1"/>
  <c r="H186" i="3"/>
  <c r="I186" i="3" s="1"/>
  <c r="AI131" i="3"/>
  <c r="AK131" i="3" s="1"/>
  <c r="H131" i="3"/>
  <c r="I131" i="3" s="1"/>
  <c r="AI293" i="3"/>
  <c r="AK293" i="3" s="1"/>
  <c r="H293" i="3"/>
  <c r="I293" i="3" s="1"/>
  <c r="AI136" i="3"/>
  <c r="AK136" i="3" s="1"/>
  <c r="H136" i="3"/>
  <c r="I136" i="3" s="1"/>
  <c r="AI366" i="3"/>
  <c r="AK366" i="3" s="1"/>
  <c r="H366" i="3"/>
  <c r="I366" i="3" s="1"/>
  <c r="AI323" i="3"/>
  <c r="AK323" i="3" s="1"/>
  <c r="H323" i="3"/>
  <c r="I323" i="3" s="1"/>
  <c r="AI232" i="3"/>
  <c r="AK232" i="3" s="1"/>
  <c r="H232" i="3"/>
  <c r="I232" i="3" s="1"/>
  <c r="AI288" i="3"/>
  <c r="AK288" i="3" s="1"/>
  <c r="H288" i="3"/>
  <c r="I288" i="3" s="1"/>
  <c r="AI233" i="3"/>
  <c r="AK233" i="3" s="1"/>
  <c r="H233" i="3"/>
  <c r="I233" i="3" s="1"/>
  <c r="AI268" i="3"/>
  <c r="AK268" i="3" s="1"/>
  <c r="H268" i="3"/>
  <c r="I268" i="3" s="1"/>
  <c r="AI270" i="3"/>
  <c r="AK270" i="3" s="1"/>
  <c r="H270" i="3"/>
  <c r="I270" i="3" s="1"/>
  <c r="AI398" i="3"/>
  <c r="AK398" i="3" s="1"/>
  <c r="H398" i="3"/>
  <c r="I398" i="3" s="1"/>
  <c r="AI165" i="3"/>
  <c r="AK165" i="3" s="1"/>
  <c r="H165" i="3"/>
  <c r="I165" i="3" s="1"/>
  <c r="AI181" i="3"/>
  <c r="AK181" i="3" s="1"/>
  <c r="H181" i="3"/>
  <c r="I181" i="3" s="1"/>
  <c r="AI249" i="3"/>
  <c r="AK249" i="3" s="1"/>
  <c r="H249" i="3"/>
  <c r="I249" i="3" s="1"/>
  <c r="AI147" i="3"/>
  <c r="AK147" i="3" s="1"/>
  <c r="H147" i="3"/>
  <c r="I147" i="3" s="1"/>
  <c r="AI90" i="3"/>
  <c r="H90" i="3"/>
  <c r="I90" i="3" s="1"/>
  <c r="AI278" i="3"/>
  <c r="AK278" i="3" s="1"/>
  <c r="H278" i="3"/>
  <c r="I278" i="3" s="1"/>
  <c r="AI395" i="3"/>
  <c r="AK395" i="3" s="1"/>
  <c r="H395" i="3"/>
  <c r="I395" i="3" s="1"/>
  <c r="AI115" i="3"/>
  <c r="AK115" i="3" s="1"/>
  <c r="H115" i="3"/>
  <c r="I115" i="3" s="1"/>
  <c r="AI360" i="3"/>
  <c r="AK360" i="3" s="1"/>
  <c r="H360" i="3"/>
  <c r="I360" i="3" s="1"/>
  <c r="AI397" i="3"/>
  <c r="AK397" i="3" s="1"/>
  <c r="H397" i="3"/>
  <c r="I397" i="3" s="1"/>
  <c r="AI372" i="3"/>
  <c r="AK372" i="3" s="1"/>
  <c r="H372" i="3"/>
  <c r="I372" i="3" s="1"/>
  <c r="AI53" i="3"/>
  <c r="AK53" i="3" s="1"/>
  <c r="H53" i="3"/>
  <c r="I53" i="3" s="1"/>
  <c r="AI105" i="3"/>
  <c r="AK105" i="3" s="1"/>
  <c r="H105" i="3"/>
  <c r="I105" i="3" s="1"/>
  <c r="AI51" i="3"/>
  <c r="H51" i="3"/>
  <c r="I51" i="3" s="1"/>
  <c r="AI41" i="3"/>
  <c r="AK41" i="3" s="1"/>
  <c r="H41" i="3"/>
  <c r="I41" i="3" s="1"/>
  <c r="AI263" i="3"/>
  <c r="AK263" i="3" s="1"/>
  <c r="H263" i="3"/>
  <c r="I263" i="3" s="1"/>
  <c r="AI259" i="3"/>
  <c r="H259" i="3"/>
  <c r="I259" i="3" s="1"/>
  <c r="AI135" i="3"/>
  <c r="AK135" i="3" s="1"/>
  <c r="H135" i="3"/>
  <c r="I135" i="3" s="1"/>
  <c r="AI120" i="3"/>
  <c r="AK120" i="3" s="1"/>
  <c r="H120" i="3"/>
  <c r="I120" i="3" s="1"/>
  <c r="AI267" i="3"/>
  <c r="AK267" i="3" s="1"/>
  <c r="H267" i="3"/>
  <c r="I267" i="3" s="1"/>
  <c r="AI96" i="3"/>
  <c r="AK96" i="3" s="1"/>
  <c r="H96" i="3"/>
  <c r="I96" i="3" s="1"/>
  <c r="AI156" i="3"/>
  <c r="AK156" i="3" s="1"/>
  <c r="H156" i="3"/>
  <c r="I156" i="3" s="1"/>
  <c r="AI63" i="3"/>
  <c r="AK63" i="3" s="1"/>
  <c r="H63" i="3"/>
  <c r="I63" i="3" s="1"/>
  <c r="AI235" i="3"/>
  <c r="AK235" i="3" s="1"/>
  <c r="H235" i="3"/>
  <c r="I235" i="3" s="1"/>
  <c r="AI339" i="3"/>
  <c r="AK339" i="3" s="1"/>
  <c r="H339" i="3"/>
  <c r="I339" i="3" s="1"/>
  <c r="AI117" i="3"/>
  <c r="AK117" i="3" s="1"/>
  <c r="H117" i="3"/>
  <c r="I117" i="3" s="1"/>
  <c r="AI365" i="3"/>
  <c r="AK365" i="3" s="1"/>
  <c r="H365" i="3"/>
  <c r="I365" i="3" s="1"/>
  <c r="AI122" i="3"/>
  <c r="AK122" i="3" s="1"/>
  <c r="H122" i="3"/>
  <c r="I122" i="3" s="1"/>
  <c r="AI390" i="3"/>
  <c r="AK390" i="3" s="1"/>
  <c r="H390" i="3"/>
  <c r="I390" i="3" s="1"/>
  <c r="AI300" i="3"/>
  <c r="AK300" i="3" s="1"/>
  <c r="H300" i="3"/>
  <c r="I300" i="3" s="1"/>
  <c r="AI174" i="3"/>
  <c r="AK174" i="3" s="1"/>
  <c r="H174" i="3"/>
  <c r="I174" i="3" s="1"/>
  <c r="AI212" i="3"/>
  <c r="AK212" i="3" s="1"/>
  <c r="H212" i="3"/>
  <c r="I212" i="3" s="1"/>
  <c r="AI269" i="3"/>
  <c r="AK269" i="3" s="1"/>
  <c r="H269" i="3"/>
  <c r="I269" i="3" s="1"/>
  <c r="AI144" i="3"/>
  <c r="AK144" i="3" s="1"/>
  <c r="H144" i="3"/>
  <c r="I144" i="3" s="1"/>
  <c r="AI65" i="3"/>
  <c r="AK65" i="3" s="1"/>
  <c r="H65" i="3"/>
  <c r="I65" i="3" s="1"/>
  <c r="AI374" i="3"/>
  <c r="AK374" i="3" s="1"/>
  <c r="H374" i="3"/>
  <c r="I374" i="3" s="1"/>
  <c r="AI167" i="3"/>
  <c r="AK167" i="3" s="1"/>
  <c r="H167" i="3"/>
  <c r="I167" i="3" s="1"/>
  <c r="AI164" i="3"/>
  <c r="AK164" i="3" s="1"/>
  <c r="H164" i="3"/>
  <c r="I164" i="3" s="1"/>
  <c r="AI6" i="3"/>
  <c r="AK6" i="3" s="1"/>
  <c r="H6" i="3"/>
  <c r="I6" i="3" s="1"/>
  <c r="AI241" i="3"/>
  <c r="AK241" i="3" s="1"/>
  <c r="H241" i="3"/>
  <c r="I241" i="3" s="1"/>
  <c r="AI284" i="3"/>
  <c r="AK284" i="3" s="1"/>
  <c r="H284" i="3"/>
  <c r="I284" i="3" s="1"/>
  <c r="AI294" i="3"/>
  <c r="AK294" i="3" s="1"/>
  <c r="H294" i="3"/>
  <c r="I294" i="3" s="1"/>
  <c r="AI14" i="3"/>
  <c r="AK14" i="3" s="1"/>
  <c r="H14" i="3"/>
  <c r="I14" i="3" s="1"/>
  <c r="AI189" i="3"/>
  <c r="AK189" i="3" s="1"/>
  <c r="H189" i="3"/>
  <c r="I189" i="3" s="1"/>
  <c r="AI139" i="3"/>
  <c r="AK139" i="3" s="1"/>
  <c r="H139" i="3"/>
  <c r="I139" i="3" s="1"/>
  <c r="AI381" i="3"/>
  <c r="AK381" i="3" s="1"/>
  <c r="H381" i="3"/>
  <c r="I381" i="3" s="1"/>
  <c r="AI184" i="3"/>
  <c r="AK184" i="3" s="1"/>
  <c r="H184" i="3"/>
  <c r="I184" i="3" s="1"/>
  <c r="AI68" i="3"/>
  <c r="AK68" i="3" s="1"/>
  <c r="H68" i="3"/>
  <c r="I68" i="3" s="1"/>
  <c r="AI346" i="3"/>
  <c r="AK346" i="3" s="1"/>
  <c r="H346" i="3"/>
  <c r="I346" i="3" s="1"/>
  <c r="AI349" i="3"/>
  <c r="AK349" i="3" s="1"/>
  <c r="H349" i="3"/>
  <c r="I349" i="3" s="1"/>
  <c r="AI44" i="3"/>
  <c r="AK44" i="3" s="1"/>
  <c r="H44" i="3"/>
  <c r="I44" i="3" s="1"/>
  <c r="AI61" i="3"/>
  <c r="AK61" i="3" s="1"/>
  <c r="H61" i="3"/>
  <c r="I61" i="3" s="1"/>
  <c r="AI333" i="3"/>
  <c r="AK333" i="3" s="1"/>
  <c r="H333" i="3"/>
  <c r="I333" i="3" s="1"/>
  <c r="AI358" i="3"/>
  <c r="AK358" i="3" s="1"/>
  <c r="H358" i="3"/>
  <c r="I358" i="3" s="1"/>
  <c r="AI214" i="3"/>
  <c r="AK214" i="3" s="1"/>
  <c r="H214" i="3"/>
  <c r="I214" i="3" s="1"/>
  <c r="H56" i="3"/>
  <c r="I56" i="3" s="1"/>
  <c r="AI271" i="3"/>
  <c r="AK271" i="3" s="1"/>
  <c r="H271" i="3"/>
  <c r="I271" i="3" s="1"/>
  <c r="AI367" i="3"/>
  <c r="AK367" i="3" s="1"/>
  <c r="H367" i="3"/>
  <c r="I367" i="3" s="1"/>
  <c r="AI124" i="3"/>
  <c r="AK124" i="3" s="1"/>
  <c r="H124" i="3"/>
  <c r="I124" i="3" s="1"/>
  <c r="AI330" i="3"/>
  <c r="AK330" i="3" s="1"/>
  <c r="H330" i="3"/>
  <c r="I330" i="3" s="1"/>
  <c r="AI408" i="3"/>
  <c r="AK408" i="3" s="1"/>
  <c r="H408" i="3"/>
  <c r="I408" i="3" s="1"/>
  <c r="AI303" i="3"/>
  <c r="AK303" i="3" s="1"/>
  <c r="H303" i="3"/>
  <c r="I303" i="3" s="1"/>
  <c r="AI183" i="3"/>
  <c r="AK183" i="3" s="1"/>
  <c r="H183" i="3"/>
  <c r="I183" i="3" s="1"/>
  <c r="AI352" i="3"/>
  <c r="AK352" i="3" s="1"/>
  <c r="H352" i="3"/>
  <c r="I352" i="3" s="1"/>
  <c r="AI108" i="3"/>
  <c r="AK108" i="3" s="1"/>
  <c r="H108" i="3"/>
  <c r="I108" i="3" s="1"/>
  <c r="AI119" i="3"/>
  <c r="AK119" i="3" s="1"/>
  <c r="H119" i="3"/>
  <c r="I119" i="3" s="1"/>
  <c r="AI387" i="3"/>
  <c r="AK387" i="3" s="1"/>
  <c r="H387" i="3"/>
  <c r="I387" i="3" s="1"/>
  <c r="AI341" i="3"/>
  <c r="AK341" i="3" s="1"/>
  <c r="H341" i="3"/>
  <c r="I341" i="3" s="1"/>
  <c r="AI298" i="3"/>
  <c r="AK298" i="3" s="1"/>
  <c r="H298" i="3"/>
  <c r="I298" i="3" s="1"/>
  <c r="AI121" i="3"/>
  <c r="AK121" i="3" s="1"/>
  <c r="H121" i="3"/>
  <c r="I121" i="3" s="1"/>
  <c r="AI265" i="3"/>
  <c r="AK265" i="3" s="1"/>
  <c r="H265" i="3"/>
  <c r="I265" i="3" s="1"/>
  <c r="AI224" i="3"/>
  <c r="AK224" i="3" s="1"/>
  <c r="H224" i="3"/>
  <c r="I224" i="3" s="1"/>
  <c r="AI285" i="3"/>
  <c r="AK285" i="3" s="1"/>
  <c r="H285" i="3"/>
  <c r="I285" i="3" s="1"/>
  <c r="AI308" i="3"/>
  <c r="AK308" i="3" s="1"/>
  <c r="H308" i="3"/>
  <c r="I308" i="3" s="1"/>
  <c r="AI221" i="3"/>
  <c r="AK221" i="3" s="1"/>
  <c r="H221" i="3"/>
  <c r="I221" i="3" s="1"/>
  <c r="AI197" i="3"/>
  <c r="AK197" i="3" s="1"/>
  <c r="H197" i="3"/>
  <c r="I197" i="3" s="1"/>
  <c r="AI11" i="3"/>
  <c r="H11" i="3"/>
  <c r="I11" i="3" s="1"/>
  <c r="AI354" i="3"/>
  <c r="AK354" i="3" s="1"/>
  <c r="H354" i="3"/>
  <c r="I354" i="3" s="1"/>
  <c r="H340" i="3"/>
  <c r="I340" i="3" s="1"/>
  <c r="AI266" i="3"/>
  <c r="AK266" i="3" s="1"/>
  <c r="H266" i="3"/>
  <c r="I266" i="3" s="1"/>
  <c r="AI313" i="3"/>
  <c r="AK313" i="3" s="1"/>
  <c r="H313" i="3"/>
  <c r="I313" i="3" s="1"/>
  <c r="AI155" i="3"/>
  <c r="AK155" i="3" s="1"/>
  <c r="H155" i="3"/>
  <c r="I155" i="3" s="1"/>
  <c r="AI94" i="3"/>
  <c r="AK94" i="3" s="1"/>
  <c r="H94" i="3"/>
  <c r="I94" i="3" s="1"/>
  <c r="AI304" i="3"/>
  <c r="AK304" i="3" s="1"/>
  <c r="H304" i="3"/>
  <c r="I304" i="3" s="1"/>
  <c r="AI344" i="3"/>
  <c r="AK344" i="3" s="1"/>
  <c r="H344" i="3"/>
  <c r="I344" i="3" s="1"/>
  <c r="AI226" i="3"/>
  <c r="AK226" i="3" s="1"/>
  <c r="H226" i="3"/>
  <c r="I226" i="3" s="1"/>
  <c r="AI99" i="3"/>
  <c r="AK99" i="3" s="1"/>
  <c r="H99" i="3"/>
  <c r="I99" i="3" s="1"/>
  <c r="AI64" i="3"/>
  <c r="AK64" i="3" s="1"/>
  <c r="H64" i="3"/>
  <c r="I64" i="3" s="1"/>
  <c r="AI54" i="3"/>
  <c r="H54" i="3"/>
  <c r="I54" i="3" s="1"/>
  <c r="AI132" i="3"/>
  <c r="AK132" i="3" s="1"/>
  <c r="H132" i="3"/>
  <c r="I132" i="3" s="1"/>
  <c r="AI206" i="3"/>
  <c r="AK206" i="3" s="1"/>
  <c r="H206" i="3"/>
  <c r="I206" i="3" s="1"/>
  <c r="AI163" i="3"/>
  <c r="AK163" i="3" s="1"/>
  <c r="H160" i="3"/>
  <c r="I160" i="3" s="1"/>
  <c r="H309" i="3"/>
  <c r="I309" i="3" s="1"/>
  <c r="AI312" i="3"/>
  <c r="AK312" i="3" s="1"/>
  <c r="H312" i="3"/>
  <c r="I312" i="3" s="1"/>
  <c r="AI353" i="3"/>
  <c r="AK353" i="3" s="1"/>
  <c r="H353" i="3"/>
  <c r="I353" i="3" s="1"/>
  <c r="AI176" i="3"/>
  <c r="AK176" i="3" s="1"/>
  <c r="H176" i="3"/>
  <c r="I176" i="3" s="1"/>
  <c r="AI152" i="3"/>
  <c r="AK152" i="3" s="1"/>
  <c r="H152" i="3"/>
  <c r="I152" i="3" s="1"/>
  <c r="AI234" i="3"/>
  <c r="AK234" i="3" s="1"/>
  <c r="H234" i="3"/>
  <c r="I234" i="3" s="1"/>
  <c r="AI389" i="3"/>
  <c r="AK389" i="3" s="1"/>
  <c r="H389" i="3"/>
  <c r="I389" i="3" s="1"/>
  <c r="AI112" i="3"/>
  <c r="AK112" i="3" s="1"/>
  <c r="H112" i="3"/>
  <c r="I112" i="3" s="1"/>
  <c r="AI20" i="3"/>
  <c r="H20" i="3"/>
  <c r="I20" i="3" s="1"/>
  <c r="AI406" i="3"/>
  <c r="AK406" i="3" s="1"/>
  <c r="H406" i="3"/>
  <c r="I406" i="3" s="1"/>
  <c r="AI79" i="3"/>
  <c r="AK79" i="3" s="1"/>
  <c r="H79" i="3"/>
  <c r="I79" i="3" s="1"/>
  <c r="AI125" i="3"/>
  <c r="AK125" i="3" s="1"/>
  <c r="H125" i="3"/>
  <c r="I125" i="3" s="1"/>
  <c r="H55" i="3"/>
  <c r="I55" i="3" s="1"/>
  <c r="AI55" i="3"/>
  <c r="AK55" i="3" s="1"/>
  <c r="AI362" i="3"/>
  <c r="AK362" i="3" s="1"/>
  <c r="H362" i="3"/>
  <c r="I362" i="3" s="1"/>
  <c r="AI102" i="3"/>
  <c r="AK102" i="3" s="1"/>
  <c r="H102" i="3"/>
  <c r="I102" i="3" s="1"/>
  <c r="AI407" i="3"/>
  <c r="AK407" i="3" s="1"/>
  <c r="H407" i="3"/>
  <c r="I407" i="3" s="1"/>
  <c r="AI324" i="3"/>
  <c r="AK324" i="3" s="1"/>
  <c r="H324" i="3"/>
  <c r="I324" i="3" s="1"/>
  <c r="AI85" i="3"/>
  <c r="AK85" i="3" s="1"/>
  <c r="H85" i="3"/>
  <c r="I85" i="3" s="1"/>
  <c r="AI107" i="3"/>
  <c r="AK107" i="3" s="1"/>
  <c r="H107" i="3"/>
  <c r="I107" i="3" s="1"/>
  <c r="AI171" i="3"/>
  <c r="AK171" i="3" s="1"/>
  <c r="H171" i="3"/>
  <c r="I171" i="3" s="1"/>
  <c r="AI289" i="3"/>
  <c r="AK289" i="3" s="1"/>
  <c r="H289" i="3"/>
  <c r="I289" i="3" s="1"/>
  <c r="AI403" i="3"/>
  <c r="AK403" i="3" s="1"/>
  <c r="H403" i="3"/>
  <c r="I403" i="3" s="1"/>
  <c r="AI409" i="3"/>
  <c r="AK409" i="3" s="1"/>
  <c r="H409" i="3"/>
  <c r="I409" i="3" s="1"/>
  <c r="AI12" i="3"/>
  <c r="AK12" i="3" s="1"/>
  <c r="H12" i="3"/>
  <c r="I12" i="3" s="1"/>
  <c r="AI315" i="3"/>
  <c r="AK315" i="3" s="1"/>
  <c r="H315" i="3"/>
  <c r="I315" i="3" s="1"/>
  <c r="AI143" i="3"/>
  <c r="AK143" i="3" s="1"/>
  <c r="H143" i="3"/>
  <c r="I143" i="3" s="1"/>
  <c r="AI92" i="3"/>
  <c r="AK92" i="3" s="1"/>
  <c r="H92" i="3"/>
  <c r="I92" i="3" s="1"/>
  <c r="AI332" i="3"/>
  <c r="AK332" i="3" s="1"/>
  <c r="H332" i="3"/>
  <c r="I332" i="3" s="1"/>
  <c r="AI100" i="3"/>
  <c r="AK100" i="3" s="1"/>
  <c r="H100" i="3"/>
  <c r="I100" i="3" s="1"/>
  <c r="AI192" i="3"/>
  <c r="AK192" i="3" s="1"/>
  <c r="H192" i="3"/>
  <c r="I192" i="3" s="1"/>
  <c r="AI149" i="3"/>
  <c r="AK149" i="3" s="1"/>
  <c r="H149" i="3"/>
  <c r="I149" i="3" s="1"/>
  <c r="AI242" i="3"/>
  <c r="AK242" i="3" s="1"/>
  <c r="H242" i="3"/>
  <c r="I242" i="3" s="1"/>
  <c r="AI255" i="3"/>
  <c r="AK255" i="3" s="1"/>
  <c r="H255" i="3"/>
  <c r="I255" i="3" s="1"/>
  <c r="AI316" i="3"/>
  <c r="AK316" i="3" s="1"/>
  <c r="H316" i="3"/>
  <c r="I316" i="3" s="1"/>
  <c r="AI30" i="3"/>
  <c r="AK30" i="3" s="1"/>
  <c r="H30" i="3"/>
  <c r="I30" i="3" s="1"/>
  <c r="AI191" i="3"/>
  <c r="AK191" i="3" s="1"/>
  <c r="H191" i="3"/>
  <c r="I191" i="3" s="1"/>
  <c r="AI347" i="3"/>
  <c r="AK347" i="3" s="1"/>
  <c r="H347" i="3"/>
  <c r="I347" i="3" s="1"/>
  <c r="AI193" i="3"/>
  <c r="AK193" i="3" s="1"/>
  <c r="H193" i="3"/>
  <c r="I193" i="3" s="1"/>
  <c r="AI384" i="3"/>
  <c r="AK384" i="3" s="1"/>
  <c r="H384" i="3"/>
  <c r="I384" i="3" s="1"/>
  <c r="AI158" i="3"/>
  <c r="AK158" i="3" s="1"/>
  <c r="H158" i="3"/>
  <c r="I158" i="3" s="1"/>
  <c r="AI201" i="3"/>
  <c r="AK201" i="3" s="1"/>
  <c r="H201" i="3"/>
  <c r="I201" i="3" s="1"/>
  <c r="AI261" i="3"/>
  <c r="AK261" i="3" s="1"/>
  <c r="H261" i="3"/>
  <c r="I261" i="3" s="1"/>
  <c r="AI217" i="3"/>
  <c r="AK217" i="3" s="1"/>
  <c r="H217" i="3"/>
  <c r="I217" i="3" s="1"/>
  <c r="AI310" i="3"/>
  <c r="AK310" i="3" s="1"/>
  <c r="H310" i="3"/>
  <c r="I310" i="3" s="1"/>
  <c r="AI239" i="3"/>
  <c r="AK239" i="3" s="1"/>
  <c r="H239" i="3"/>
  <c r="I239" i="3" s="1"/>
  <c r="AI258" i="3"/>
  <c r="AK258" i="3" s="1"/>
  <c r="H258" i="3"/>
  <c r="I258" i="3" s="1"/>
  <c r="AI240" i="3"/>
  <c r="AK240" i="3" s="1"/>
  <c r="H240" i="3"/>
  <c r="I240" i="3" s="1"/>
  <c r="AI301" i="3"/>
  <c r="AK301" i="3" s="1"/>
  <c r="H301" i="3"/>
  <c r="I301" i="3" s="1"/>
  <c r="AI59" i="3"/>
  <c r="AK59" i="3" s="1"/>
  <c r="H59" i="3"/>
  <c r="I59" i="3" s="1"/>
  <c r="AI357" i="3"/>
  <c r="AK357" i="3" s="1"/>
  <c r="H357" i="3"/>
  <c r="I357" i="3" s="1"/>
  <c r="AI257" i="3"/>
  <c r="AK257" i="3" s="1"/>
  <c r="H257" i="3"/>
  <c r="I257" i="3" s="1"/>
  <c r="AI190" i="3"/>
  <c r="AK190" i="3" s="1"/>
  <c r="H190" i="3"/>
  <c r="I190" i="3" s="1"/>
  <c r="AI385" i="3"/>
  <c r="AK385" i="3" s="1"/>
  <c r="H385" i="3"/>
  <c r="I385" i="3" s="1"/>
  <c r="AI3" i="3"/>
  <c r="AK3" i="3" s="1"/>
  <c r="H3" i="3"/>
  <c r="I3" i="3" s="1"/>
  <c r="AI18" i="3"/>
  <c r="AK18" i="3" s="1"/>
  <c r="H18" i="3"/>
  <c r="I18" i="3" s="1"/>
  <c r="AI106" i="3"/>
  <c r="AK106" i="3" s="1"/>
  <c r="H106" i="3"/>
  <c r="I106" i="3" s="1"/>
  <c r="AI321" i="3"/>
  <c r="AK321" i="3" s="1"/>
  <c r="H321" i="3"/>
  <c r="I321" i="3" s="1"/>
  <c r="AI246" i="3"/>
  <c r="AK246" i="3" s="1"/>
  <c r="H246" i="3"/>
  <c r="I246" i="3" s="1"/>
  <c r="AI82" i="3"/>
  <c r="AK82" i="3" s="1"/>
  <c r="H82" i="3"/>
  <c r="I82" i="3" s="1"/>
  <c r="AI34" i="3"/>
  <c r="AK34" i="3" s="1"/>
  <c r="H34" i="3"/>
  <c r="I34" i="3" s="1"/>
  <c r="AI48" i="3"/>
  <c r="AK48" i="3" s="1"/>
  <c r="H48" i="3"/>
  <c r="I48" i="3" s="1"/>
  <c r="AI393" i="3"/>
  <c r="AK393" i="3" s="1"/>
  <c r="H393" i="3"/>
  <c r="I393" i="3" s="1"/>
  <c r="AI173" i="3"/>
  <c r="AK173" i="3" s="1"/>
  <c r="H173" i="3"/>
  <c r="I173" i="3" s="1"/>
  <c r="AI335" i="3"/>
  <c r="AK335" i="3" s="1"/>
  <c r="H335" i="3"/>
  <c r="I335" i="3" s="1"/>
  <c r="H146" i="3"/>
  <c r="I146" i="3" s="1"/>
  <c r="H230" i="3"/>
  <c r="I230" i="3" s="1"/>
  <c r="AI211" i="3"/>
  <c r="AK211" i="3" s="1"/>
  <c r="H211" i="3"/>
  <c r="I211" i="3" s="1"/>
  <c r="AI345" i="3"/>
  <c r="AK345" i="3" s="1"/>
  <c r="H345" i="3"/>
  <c r="I345" i="3" s="1"/>
  <c r="AI205" i="3"/>
  <c r="AK205" i="3" s="1"/>
  <c r="H205" i="3"/>
  <c r="I205" i="3" s="1"/>
  <c r="AI363" i="3"/>
  <c r="AK363" i="3" s="1"/>
  <c r="H363" i="3"/>
  <c r="I363" i="3" s="1"/>
  <c r="AI170" i="3"/>
  <c r="AK170" i="3" s="1"/>
  <c r="H170" i="3"/>
  <c r="I170" i="3" s="1"/>
  <c r="AI305" i="3"/>
  <c r="AK305" i="3" s="1"/>
  <c r="H305" i="3"/>
  <c r="I305" i="3" s="1"/>
  <c r="AI188" i="3"/>
  <c r="AK188" i="3" s="1"/>
  <c r="H188" i="3"/>
  <c r="I188" i="3" s="1"/>
  <c r="H296" i="3"/>
  <c r="I296" i="3" s="1"/>
  <c r="H250" i="3"/>
  <c r="I250" i="3" s="1"/>
  <c r="AI179" i="3"/>
  <c r="AK179" i="3" s="1"/>
  <c r="H179" i="3"/>
  <c r="I179" i="3" s="1"/>
  <c r="AI307" i="3"/>
  <c r="AK307" i="3" s="1"/>
  <c r="H307" i="3"/>
  <c r="I307" i="3" s="1"/>
  <c r="AI5" i="3"/>
  <c r="AK5" i="3" s="1"/>
  <c r="H5" i="3"/>
  <c r="I5" i="3" s="1"/>
  <c r="AI322" i="3"/>
  <c r="AK322" i="3" s="1"/>
  <c r="H322" i="3"/>
  <c r="I322" i="3" s="1"/>
  <c r="AI328" i="3"/>
  <c r="AK328" i="3" s="1"/>
  <c r="H328" i="3"/>
  <c r="I328" i="3" s="1"/>
  <c r="AI325" i="3"/>
  <c r="AK325" i="3" s="1"/>
  <c r="H325" i="3"/>
  <c r="I325" i="3" s="1"/>
  <c r="AI227" i="3"/>
  <c r="AK227" i="3" s="1"/>
  <c r="H227" i="3"/>
  <c r="I227" i="3" s="1"/>
  <c r="AI361" i="3"/>
  <c r="AK361" i="3" s="1"/>
  <c r="H361" i="3"/>
  <c r="I361" i="3" s="1"/>
  <c r="AI251" i="3"/>
  <c r="AK251" i="3" s="1"/>
  <c r="H251" i="3"/>
  <c r="I251" i="3" s="1"/>
  <c r="AI141" i="3"/>
  <c r="AK141" i="3" s="1"/>
  <c r="H141" i="3"/>
  <c r="I141" i="3" s="1"/>
  <c r="AI377" i="3"/>
  <c r="AK377" i="3" s="1"/>
  <c r="H377" i="3"/>
  <c r="I377" i="3" s="1"/>
  <c r="AI31" i="3"/>
  <c r="AK31" i="3" s="1"/>
  <c r="H31" i="3"/>
  <c r="I31" i="3" s="1"/>
  <c r="AI391" i="3"/>
  <c r="AK391" i="3" s="1"/>
  <c r="H391" i="3"/>
  <c r="I391" i="3" s="1"/>
  <c r="AI287" i="3"/>
  <c r="AK287" i="3" s="1"/>
  <c r="H287" i="3"/>
  <c r="I287" i="3" s="1"/>
  <c r="AI386" i="3"/>
  <c r="AK386" i="3" s="1"/>
  <c r="H386" i="3"/>
  <c r="I386" i="3" s="1"/>
  <c r="AI35" i="3"/>
  <c r="AK35" i="3" s="1"/>
  <c r="H35" i="3"/>
  <c r="I35" i="3" s="1"/>
  <c r="AI383" i="3"/>
  <c r="AK383" i="3" s="1"/>
  <c r="H383" i="3"/>
  <c r="I383" i="3" s="1"/>
  <c r="AI104" i="3"/>
  <c r="AK104" i="3" s="1"/>
  <c r="H104" i="3"/>
  <c r="I104" i="3" s="1"/>
  <c r="AI359" i="3"/>
  <c r="AK359" i="3" s="1"/>
  <c r="H359" i="3"/>
  <c r="I359" i="3" s="1"/>
  <c r="AI334" i="3"/>
  <c r="AK334" i="3" s="1"/>
  <c r="H334" i="3"/>
  <c r="I334" i="3" s="1"/>
  <c r="AI142" i="3"/>
  <c r="AK142" i="3" s="1"/>
  <c r="H142" i="3"/>
  <c r="I142" i="3" s="1"/>
  <c r="H134" i="3"/>
  <c r="I134" i="3" s="1"/>
  <c r="H225" i="3"/>
  <c r="I225" i="3" s="1"/>
  <c r="AI348" i="3"/>
  <c r="AK348" i="3" s="1"/>
  <c r="H348" i="3"/>
  <c r="I348" i="3" s="1"/>
  <c r="AI337" i="3"/>
  <c r="AK337" i="3" s="1"/>
  <c r="H337" i="3"/>
  <c r="I337" i="3" s="1"/>
  <c r="AI153" i="3"/>
  <c r="AK153" i="3" s="1"/>
  <c r="H153" i="3"/>
  <c r="I153" i="3" s="1"/>
  <c r="AI36" i="3"/>
  <c r="AK36" i="3" s="1"/>
  <c r="H36" i="3"/>
  <c r="I36" i="3" s="1"/>
  <c r="AI369" i="3"/>
  <c r="AK369" i="3" s="1"/>
  <c r="H369" i="3"/>
  <c r="I369" i="3" s="1"/>
  <c r="AI39" i="3"/>
  <c r="H39" i="3"/>
  <c r="I39" i="3" s="1"/>
  <c r="AI185" i="3"/>
  <c r="H185" i="3"/>
  <c r="I185" i="3" s="1"/>
  <c r="AI33" i="3"/>
  <c r="AK33" i="3" s="1"/>
  <c r="H33" i="3"/>
  <c r="I33" i="3" s="1"/>
  <c r="AI129" i="3"/>
  <c r="AK129" i="3" s="1"/>
  <c r="H129" i="3"/>
  <c r="I129" i="3" s="1"/>
  <c r="AI162" i="3"/>
  <c r="AK162" i="3" s="1"/>
  <c r="H162" i="3"/>
  <c r="I162" i="3" s="1"/>
  <c r="AI13" i="3"/>
  <c r="AK13" i="3" s="1"/>
  <c r="H13" i="3"/>
  <c r="I13" i="3" s="1"/>
  <c r="AI388" i="3"/>
  <c r="AK388" i="3" s="1"/>
  <c r="H388" i="3"/>
  <c r="I388" i="3" s="1"/>
  <c r="AI111" i="3"/>
  <c r="AK111" i="3" s="1"/>
  <c r="H111" i="3"/>
  <c r="I111" i="3" s="1"/>
  <c r="AI198" i="3"/>
  <c r="AK198" i="3" s="1"/>
  <c r="H198" i="3"/>
  <c r="I198" i="3" s="1"/>
  <c r="AI128" i="3"/>
  <c r="AK128" i="3" s="1"/>
  <c r="H128" i="3"/>
  <c r="I128" i="3" s="1"/>
  <c r="AI229" i="3"/>
  <c r="AK229" i="3" s="1"/>
  <c r="H229" i="3"/>
  <c r="I229" i="3" s="1"/>
  <c r="AI380" i="3"/>
  <c r="AK380" i="3" s="1"/>
  <c r="H380" i="3"/>
  <c r="I380" i="3" s="1"/>
  <c r="AI219" i="3"/>
  <c r="AK219" i="3" s="1"/>
  <c r="H219" i="3"/>
  <c r="I219" i="3" s="1"/>
  <c r="AI194" i="3"/>
  <c r="AK194" i="3" s="1"/>
  <c r="H194" i="3"/>
  <c r="I194" i="3" s="1"/>
  <c r="AI264" i="3"/>
  <c r="AK264" i="3" s="1"/>
  <c r="H264" i="3"/>
  <c r="I264" i="3" s="1"/>
  <c r="AI223" i="3"/>
  <c r="AK223" i="3" s="1"/>
  <c r="H223" i="3"/>
  <c r="I223" i="3" s="1"/>
  <c r="AI49" i="3"/>
  <c r="AK49" i="3" s="1"/>
  <c r="H49" i="3"/>
  <c r="I49" i="3" s="1"/>
  <c r="H364" i="3"/>
  <c r="I364" i="3" s="1"/>
  <c r="H280" i="3"/>
  <c r="I280" i="3" s="1"/>
  <c r="AI69" i="3"/>
  <c r="AK69" i="3" s="1"/>
  <c r="H69" i="3"/>
  <c r="I69" i="3" s="1"/>
  <c r="AI159" i="3"/>
  <c r="AK159" i="3" s="1"/>
  <c r="H159" i="3"/>
  <c r="I159" i="3" s="1"/>
  <c r="AI275" i="3"/>
  <c r="AK275" i="3" s="1"/>
  <c r="H275" i="3"/>
  <c r="I275" i="3" s="1"/>
  <c r="AI166" i="3"/>
  <c r="AK166" i="3" s="1"/>
  <c r="H166" i="3"/>
  <c r="I166" i="3" s="1"/>
  <c r="AI8" i="3"/>
  <c r="H8" i="3"/>
  <c r="I8" i="3" s="1"/>
  <c r="AI47" i="3"/>
  <c r="AK47" i="3" s="1"/>
  <c r="H47" i="3"/>
  <c r="I47" i="3" s="1"/>
  <c r="AI89" i="3"/>
  <c r="AK89" i="3" s="1"/>
  <c r="H89" i="3"/>
  <c r="I89" i="3" s="1"/>
  <c r="AI157" i="3"/>
  <c r="AK157" i="3" s="1"/>
  <c r="H157" i="3"/>
  <c r="I157" i="3" s="1"/>
  <c r="AI302" i="3"/>
  <c r="AK302" i="3" s="1"/>
  <c r="H302" i="3"/>
  <c r="I302" i="3" s="1"/>
  <c r="AI215" i="3"/>
  <c r="AK215" i="3" s="1"/>
  <c r="H215" i="3"/>
  <c r="I215" i="3" s="1"/>
  <c r="AI208" i="3"/>
  <c r="AK208" i="3" s="1"/>
  <c r="H208" i="3"/>
  <c r="I208" i="3" s="1"/>
  <c r="AI355" i="3"/>
  <c r="AK355" i="3" s="1"/>
  <c r="H355" i="3"/>
  <c r="I355" i="3" s="1"/>
  <c r="AI311" i="3"/>
  <c r="AK311" i="3" s="1"/>
  <c r="H311" i="3"/>
  <c r="I311" i="3" s="1"/>
  <c r="AI375" i="3"/>
  <c r="AK375" i="3" s="1"/>
  <c r="H375" i="3"/>
  <c r="I375" i="3" s="1"/>
  <c r="AI23" i="3"/>
  <c r="AK23" i="3" s="1"/>
  <c r="H23" i="3"/>
  <c r="I23" i="3" s="1"/>
  <c r="AI37" i="3"/>
  <c r="AK37" i="3" s="1"/>
  <c r="H37" i="3"/>
  <c r="I37" i="3" s="1"/>
  <c r="AI306" i="3"/>
  <c r="AK306" i="3" s="1"/>
  <c r="H306" i="3"/>
  <c r="I306" i="3" s="1"/>
  <c r="AI29" i="3"/>
  <c r="AK29" i="3" s="1"/>
  <c r="H29" i="3"/>
  <c r="I29" i="3" s="1"/>
  <c r="AI376" i="3"/>
  <c r="AK376" i="3" s="1"/>
  <c r="H376" i="3"/>
  <c r="I376" i="3" s="1"/>
  <c r="AI140" i="3"/>
  <c r="AK140" i="3" s="1"/>
  <c r="H140" i="3"/>
  <c r="I140" i="3" s="1"/>
  <c r="AI75" i="3"/>
  <c r="AK75" i="3" s="1"/>
  <c r="H75" i="3"/>
  <c r="I75" i="3" s="1"/>
  <c r="AI25" i="3"/>
  <c r="AK25" i="3" s="1"/>
  <c r="H25" i="3"/>
  <c r="I25" i="3" s="1"/>
  <c r="AI97" i="3"/>
  <c r="AK97" i="3" s="1"/>
  <c r="H97" i="3"/>
  <c r="I97" i="3" s="1"/>
  <c r="AI116" i="3"/>
  <c r="AK116" i="3" s="1"/>
  <c r="H116" i="3"/>
  <c r="I116" i="3" s="1"/>
  <c r="AI101" i="3"/>
  <c r="AK101" i="3" s="1"/>
  <c r="H101" i="3"/>
  <c r="I101" i="3" s="1"/>
  <c r="AI150" i="3"/>
  <c r="AK150" i="3" s="1"/>
  <c r="H150" i="3"/>
  <c r="I150" i="3" s="1"/>
  <c r="AI220" i="3"/>
  <c r="AK220" i="3" s="1"/>
  <c r="H220" i="3"/>
  <c r="I220" i="3" s="1"/>
  <c r="AI16" i="3"/>
  <c r="AK16" i="3" s="1"/>
  <c r="H16" i="3"/>
  <c r="I16" i="3" s="1"/>
  <c r="AI52" i="3"/>
  <c r="AK52" i="3" s="1"/>
  <c r="H52" i="3"/>
  <c r="I52" i="3" s="1"/>
  <c r="AI78" i="3"/>
  <c r="AK78" i="3" s="1"/>
  <c r="H78" i="3"/>
  <c r="I78" i="3" s="1"/>
  <c r="AI404" i="3"/>
  <c r="AK404" i="3" s="1"/>
  <c r="H404" i="3"/>
  <c r="I404" i="3" s="1"/>
  <c r="AI200" i="3"/>
  <c r="AK200" i="3" s="1"/>
  <c r="H200" i="3"/>
  <c r="I200" i="3" s="1"/>
  <c r="AI396" i="3"/>
  <c r="AK396" i="3" s="1"/>
  <c r="H396" i="3"/>
  <c r="I396" i="3" s="1"/>
  <c r="AI177" i="3"/>
  <c r="AK177" i="3" s="1"/>
  <c r="H177" i="3"/>
  <c r="I177" i="3" s="1"/>
  <c r="AI70" i="3"/>
  <c r="AK70" i="3" s="1"/>
  <c r="H70" i="3"/>
  <c r="I70" i="3" s="1"/>
  <c r="H32" i="3"/>
  <c r="I32" i="3" s="1"/>
  <c r="H272" i="3"/>
  <c r="I272" i="3" s="1"/>
  <c r="AI405" i="3"/>
  <c r="AK405" i="3" s="1"/>
  <c r="H405" i="3"/>
  <c r="I405" i="3" s="1"/>
  <c r="AI87" i="3"/>
  <c r="AK87" i="3" s="1"/>
  <c r="H87" i="3"/>
  <c r="I87" i="3" s="1"/>
  <c r="AI118" i="3"/>
  <c r="AK118" i="3" s="1"/>
  <c r="H118" i="3"/>
  <c r="I118" i="3" s="1"/>
  <c r="AI370" i="3"/>
  <c r="AK370" i="3" s="1"/>
  <c r="H370" i="3"/>
  <c r="I370" i="3" s="1"/>
  <c r="AI291" i="3"/>
  <c r="AK291" i="3" s="1"/>
  <c r="H291" i="3"/>
  <c r="I291" i="3" s="1"/>
  <c r="AI283" i="3"/>
  <c r="AK283" i="3" s="1"/>
  <c r="H283" i="3"/>
  <c r="I283" i="3" s="1"/>
  <c r="H67" i="3"/>
  <c r="I67" i="3" s="1"/>
  <c r="H46" i="3"/>
  <c r="I46" i="3" s="1"/>
  <c r="H27" i="3"/>
  <c r="I27" i="3" s="1"/>
  <c r="H93" i="3"/>
  <c r="I93" i="3" s="1"/>
  <c r="H373" i="3"/>
  <c r="I373" i="3" s="1"/>
  <c r="H394" i="3"/>
  <c r="I394" i="3" s="1"/>
  <c r="H45" i="3"/>
  <c r="I45" i="3" s="1"/>
  <c r="H161" i="3"/>
  <c r="I161" i="3" s="1"/>
  <c r="AI254" i="3"/>
  <c r="AK254" i="3" s="1"/>
  <c r="H254" i="3"/>
  <c r="I254" i="3" s="1"/>
  <c r="AI145" i="3"/>
  <c r="AK145" i="3" s="1"/>
  <c r="H145" i="3"/>
  <c r="I145" i="3" s="1"/>
  <c r="AI327" i="3"/>
  <c r="AK327" i="3" s="1"/>
  <c r="H327" i="3"/>
  <c r="I327" i="3" s="1"/>
  <c r="AI247" i="3"/>
  <c r="AK247" i="3" s="1"/>
  <c r="H247" i="3"/>
  <c r="I247" i="3" s="1"/>
  <c r="AI109" i="3"/>
  <c r="AK109" i="3" s="1"/>
  <c r="H109" i="3"/>
  <c r="I109" i="3" s="1"/>
  <c r="AI238" i="3"/>
  <c r="AK238" i="3" s="1"/>
  <c r="H238" i="3"/>
  <c r="I238" i="3" s="1"/>
  <c r="AI279" i="3"/>
  <c r="AK279" i="3" s="1"/>
  <c r="H279" i="3"/>
  <c r="I279" i="3" s="1"/>
  <c r="AI286" i="3"/>
  <c r="AK286" i="3" s="1"/>
  <c r="H286" i="3"/>
  <c r="I286" i="3" s="1"/>
  <c r="AI317" i="3"/>
  <c r="AK317" i="3" s="1"/>
  <c r="H317" i="3"/>
  <c r="I317" i="3" s="1"/>
  <c r="AI228" i="3"/>
  <c r="AK228" i="3" s="1"/>
  <c r="H228" i="3"/>
  <c r="I228" i="3" s="1"/>
  <c r="AI216" i="3"/>
  <c r="AK216" i="3" s="1"/>
  <c r="H216" i="3"/>
  <c r="I216" i="3" s="1"/>
  <c r="AI282" i="3"/>
  <c r="AK282" i="3" s="1"/>
  <c r="H282" i="3"/>
  <c r="I282" i="3" s="1"/>
  <c r="AI314" i="3"/>
  <c r="AK314" i="3" s="1"/>
  <c r="H314" i="3"/>
  <c r="I314" i="3" s="1"/>
  <c r="AI95" i="3"/>
  <c r="AK95" i="3" s="1"/>
  <c r="H95" i="3"/>
  <c r="I95" i="3" s="1"/>
  <c r="AI10" i="3"/>
  <c r="AK10" i="3" s="1"/>
  <c r="H10" i="3"/>
  <c r="I10" i="3" s="1"/>
  <c r="AI248" i="3"/>
  <c r="AK248" i="3" s="1"/>
  <c r="H248" i="3"/>
  <c r="I248" i="3" s="1"/>
  <c r="AI329" i="3"/>
  <c r="AK329" i="3" s="1"/>
  <c r="H329" i="3"/>
  <c r="I329" i="3" s="1"/>
  <c r="AI28" i="3"/>
  <c r="AK28" i="3" s="1"/>
  <c r="H28" i="3"/>
  <c r="I28" i="3" s="1"/>
  <c r="AI338" i="3"/>
  <c r="AK338" i="3" s="1"/>
  <c r="H338" i="3"/>
  <c r="I338" i="3" s="1"/>
  <c r="AI113" i="3"/>
  <c r="AK113" i="3" s="1"/>
  <c r="H113" i="3"/>
  <c r="I113" i="3" s="1"/>
  <c r="AI236" i="3"/>
  <c r="AK236" i="3" s="1"/>
  <c r="H236" i="3"/>
  <c r="I236" i="3" s="1"/>
  <c r="AI38" i="3"/>
  <c r="AK38" i="3" s="1"/>
  <c r="H38" i="3"/>
  <c r="I38" i="3" s="1"/>
  <c r="AI73" i="3"/>
  <c r="AK73" i="3" s="1"/>
  <c r="H73" i="3"/>
  <c r="I73" i="3" s="1"/>
  <c r="AI195" i="3"/>
  <c r="AK195" i="3" s="1"/>
  <c r="H195" i="3"/>
  <c r="I195" i="3" s="1"/>
  <c r="AI126" i="3"/>
  <c r="AK126" i="3" s="1"/>
  <c r="H126" i="3"/>
  <c r="I126" i="3" s="1"/>
  <c r="AI154" i="3"/>
  <c r="AK154" i="3" s="1"/>
  <c r="H154" i="3"/>
  <c r="I154" i="3" s="1"/>
  <c r="H402" i="3"/>
  <c r="I402" i="3" s="1"/>
  <c r="H17" i="3"/>
  <c r="I17" i="3" s="1"/>
  <c r="H401" i="3"/>
  <c r="I401" i="3" s="1"/>
  <c r="AI175" i="3"/>
  <c r="AK175" i="3" s="1"/>
  <c r="H175" i="3"/>
  <c r="I175" i="3" s="1"/>
  <c r="AI83" i="3"/>
  <c r="AK83" i="3" s="1"/>
  <c r="H83" i="3"/>
  <c r="I83" i="3" s="1"/>
  <c r="AI299" i="3"/>
  <c r="AK299" i="3" s="1"/>
  <c r="H299" i="3"/>
  <c r="I299" i="3" s="1"/>
  <c r="AI22" i="3"/>
  <c r="AK22" i="3" s="1"/>
  <c r="H22" i="3"/>
  <c r="I22" i="3" s="1"/>
  <c r="AI253" i="3"/>
  <c r="AK253" i="3" s="1"/>
  <c r="H253" i="3"/>
  <c r="I253" i="3" s="1"/>
  <c r="AI368" i="3"/>
  <c r="AK368" i="3" s="1"/>
  <c r="H368" i="3"/>
  <c r="I368" i="3" s="1"/>
  <c r="AI182" i="3"/>
  <c r="H182" i="3"/>
  <c r="I182" i="3" s="1"/>
  <c r="H277" i="3"/>
  <c r="I277" i="3" s="1"/>
  <c r="AI252" i="3"/>
  <c r="AK252" i="3" s="1"/>
  <c r="H252" i="3"/>
  <c r="I252" i="3" s="1"/>
  <c r="AI40" i="3"/>
  <c r="AK40" i="3" s="1"/>
  <c r="H40" i="3"/>
  <c r="I40" i="3" s="1"/>
  <c r="AI4" i="3"/>
  <c r="H4" i="3"/>
  <c r="I4" i="3" s="1"/>
  <c r="AI60" i="3"/>
  <c r="AK60" i="3" s="1"/>
  <c r="H60" i="3"/>
  <c r="I60" i="3" s="1"/>
  <c r="AI72" i="3"/>
  <c r="H72" i="3"/>
  <c r="I72" i="3" s="1"/>
  <c r="AI213" i="3"/>
  <c r="AK213" i="3" s="1"/>
  <c r="H213" i="3"/>
  <c r="I213" i="3" s="1"/>
  <c r="AI379" i="3"/>
  <c r="AK379" i="3" s="1"/>
  <c r="H379" i="3"/>
  <c r="I379" i="3" s="1"/>
  <c r="AI295" i="3"/>
  <c r="AK295" i="3" s="1"/>
  <c r="H295" i="3"/>
  <c r="I295" i="3" s="1"/>
  <c r="H50" i="3"/>
  <c r="I50" i="3" s="1"/>
  <c r="AI7" i="3"/>
  <c r="AK7" i="3" s="1"/>
  <c r="H7" i="3"/>
  <c r="I7" i="3" s="1"/>
  <c r="AI77" i="3"/>
  <c r="AK77" i="3" s="1"/>
  <c r="H77" i="3"/>
  <c r="I77" i="3" s="1"/>
  <c r="AI80" i="3"/>
  <c r="AK80" i="3" s="1"/>
  <c r="H80" i="3"/>
  <c r="I80" i="3" s="1"/>
  <c r="AI178" i="3"/>
  <c r="AK178" i="3" s="1"/>
  <c r="H178" i="3"/>
  <c r="I178" i="3" s="1"/>
  <c r="AI2" i="3"/>
  <c r="AK2" i="3" s="1"/>
  <c r="H2" i="3"/>
  <c r="I2" i="3" s="1"/>
  <c r="AI151" i="3"/>
  <c r="AK151" i="3" s="1"/>
  <c r="H151" i="3"/>
  <c r="I151" i="3" s="1"/>
  <c r="AI71" i="3"/>
  <c r="H71" i="3"/>
  <c r="I71" i="3" s="1"/>
  <c r="AI98" i="3"/>
  <c r="AK98" i="3" s="1"/>
  <c r="H98" i="3"/>
  <c r="I98" i="3" s="1"/>
  <c r="AI342" i="3"/>
  <c r="AK342" i="3" s="1"/>
  <c r="H342" i="3"/>
  <c r="I342" i="3" s="1"/>
  <c r="AI319" i="3"/>
  <c r="AK319" i="3" s="1"/>
  <c r="H319" i="3"/>
  <c r="I319" i="3" s="1"/>
  <c r="AI210" i="3"/>
  <c r="AK210" i="3" s="1"/>
  <c r="H210" i="3"/>
  <c r="I210" i="3" s="1"/>
  <c r="AI276" i="3"/>
  <c r="AK276" i="3" s="1"/>
  <c r="H276" i="3"/>
  <c r="I276" i="3" s="1"/>
  <c r="AI43" i="3"/>
  <c r="AK43" i="3" s="1"/>
  <c r="H43" i="3"/>
  <c r="I43" i="3" s="1"/>
  <c r="H244" i="3"/>
  <c r="I244" i="3" s="1"/>
  <c r="H86" i="3"/>
  <c r="I86" i="3" s="1"/>
  <c r="H148" i="3"/>
  <c r="I148" i="3" s="1"/>
  <c r="H81" i="3"/>
  <c r="I81" i="3" s="1"/>
  <c r="AI392" i="3"/>
  <c r="AK392" i="3" s="1"/>
  <c r="H392" i="3"/>
  <c r="I392" i="3" s="1"/>
  <c r="AI66" i="3"/>
  <c r="AK66" i="3" s="1"/>
  <c r="H66" i="3"/>
  <c r="I66" i="3" s="1"/>
  <c r="AI371" i="3"/>
  <c r="AK371" i="3" s="1"/>
  <c r="H371" i="3"/>
  <c r="I371" i="3" s="1"/>
  <c r="AI133" i="3"/>
  <c r="AK133" i="3" s="1"/>
  <c r="H133" i="3"/>
  <c r="I133" i="3" s="1"/>
  <c r="AI262" i="3"/>
  <c r="AK262" i="3" s="1"/>
  <c r="H262" i="3"/>
  <c r="I262" i="3" s="1"/>
  <c r="AI9" i="3"/>
  <c r="AK9" i="3" s="1"/>
  <c r="H9" i="3"/>
  <c r="I9" i="3" s="1"/>
  <c r="AI320" i="3"/>
  <c r="AK320" i="3" s="1"/>
  <c r="H320" i="3"/>
  <c r="I320" i="3" s="1"/>
  <c r="AI127" i="3"/>
  <c r="AK127" i="3" s="1"/>
  <c r="H127" i="3"/>
  <c r="I127" i="3" s="1"/>
  <c r="AI168" i="3"/>
  <c r="AK168" i="3" s="1"/>
  <c r="H168" i="3"/>
  <c r="I168" i="3" s="1"/>
  <c r="AI110" i="3"/>
  <c r="AK110" i="3" s="1"/>
  <c r="H110" i="3"/>
  <c r="I110" i="3" s="1"/>
  <c r="AI169" i="3"/>
  <c r="AK169" i="3" s="1"/>
  <c r="H169" i="3"/>
  <c r="I169" i="3" s="1"/>
  <c r="AI58" i="3"/>
  <c r="AK58" i="3" s="1"/>
  <c r="H58" i="3"/>
  <c r="I58" i="3" s="1"/>
  <c r="AI203" i="3"/>
  <c r="AK203" i="3" s="1"/>
  <c r="H203" i="3"/>
  <c r="I203" i="3" s="1"/>
  <c r="AI231" i="3"/>
  <c r="AK231" i="3" s="1"/>
  <c r="H231" i="3"/>
  <c r="I231" i="3" s="1"/>
  <c r="AI84" i="3"/>
  <c r="AK84" i="3" s="1"/>
  <c r="H84" i="3"/>
  <c r="I84" i="3" s="1"/>
  <c r="AI130" i="3"/>
  <c r="AK130" i="3" s="1"/>
  <c r="H130" i="3"/>
  <c r="I130" i="3" s="1"/>
  <c r="AI343" i="3"/>
  <c r="AK343" i="3" s="1"/>
  <c r="H343" i="3"/>
  <c r="I343" i="3" s="1"/>
  <c r="J9" i="6" l="1"/>
  <c r="J14" i="6"/>
  <c r="J3" i="6"/>
  <c r="J13" i="6"/>
  <c r="AK71" i="3"/>
  <c r="AK54" i="3"/>
  <c r="AK259" i="3"/>
  <c r="J10" i="6"/>
  <c r="J22" i="6"/>
  <c r="AK4" i="3"/>
  <c r="J23" i="6"/>
  <c r="J15" i="6"/>
  <c r="J11" i="6"/>
  <c r="AK8" i="3"/>
  <c r="J7" i="6"/>
  <c r="J21" i="6"/>
  <c r="J6" i="6"/>
  <c r="AK90" i="3"/>
  <c r="AK185" i="3"/>
  <c r="AK39" i="3"/>
  <c r="AK182" i="3"/>
  <c r="AK11" i="3"/>
  <c r="AK20" i="3"/>
  <c r="AK72" i="3"/>
  <c r="AK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D43AF8-FE5E-4B21-AA32-40449190F1EB}" keepAlive="1" name="Consulta - knicks_players_all_stats" description="Conexión a la consulta 'knicks_players_all_stats' en el libro." type="5" refreshedVersion="8" background="1" saveData="1">
    <dbPr connection="Provider=Microsoft.Mashup.OleDb.1;Data Source=$Workbook$;Location=knicks_players_all_stats;Extended Properties=&quot;&quot;" command="SELECT * FROM [knicks_players_all_stats]"/>
  </connection>
  <connection id="2" xr16:uid="{EDFB798A-AB5E-4B92-964F-B3E5DA50EEF1}" keepAlive="1" name="Consulta - knicks_players_all_stats (2)" description="Conexión a la consulta 'knicks_players_all_stats (2)' en el libro." type="5" refreshedVersion="8" background="1" saveData="1">
    <dbPr connection="Provider=Microsoft.Mashup.OleDb.1;Data Source=$Workbook$;Location=&quot;knicks_players_all_stats (2)&quot;;Extended Properties=&quot;&quot;" command="SELECT * FROM [knicks_players_all_sta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<sst xmlns="http://schemas.openxmlformats.org/spreadsheetml/2006/main" count="6139" uniqueCount="1913">
  <si>
    <t>PLAYER_ID,SEASON_ID,LEAGUE_ID,TEAM_ID,TEAM_ABBREVIATION,PLAYER_AGE,GP,GS,MIN,FGM,FGA,FG_PCT,FG3M,FG3A,FG3_PCT,FTM,FTA,FT_PCT,OREB,DREB,REB,AST,STL,BLK,TOV,PF,PTS,PLAYER_NAME</t>
  </si>
  <si>
    <t>78082,1951-52,00,1610612752,NYK,22.0,12,,167.0,19,65,0.292,,,,9,14,0.643,,,26.0,6,,,,25,47,Herb Scherer</t>
  </si>
  <si>
    <t>76168,1958-59,00,1610612752,NYK,24.0,11,,45.0,12,32,0.375,,,,1,1,1.0,,,12.0,4,,,,7,25,Jerry Bird</t>
  </si>
  <si>
    <t>78113,1958-59,00,1610612752,NYK,26.0,68,,1448.0,233,605,0.385,,,,201,262,0.767,,,248.0,96,,,,113,667,Frank Selvy</t>
  </si>
  <si>
    <t>78102,1987-88,00,1610612752,NYK,25.0,4,0.0,8.0,1,2,0.5,0.0,0.0,0.0,0,0,0.0,1.0,2.0,3.0,1,2.0,1.0,2.0,3,2,Carey Scurry</t>
  </si>
  <si>
    <t>78037,1962-63,00,1610612752,NYK,23.0,56,,572.0,108,307,0.352,,,,73,95,0.768,,,149.0,30,,,,58,289,John Rudometkin</t>
  </si>
  <si>
    <t>78037,1963-64,00,1610612752,NYK,24.0,52,,696.0,154,326,0.472,,,,87,116,0.75,,,164.0,26,,,,86,395,John Rudometkin</t>
  </si>
  <si>
    <t>78037,1964-65,00,1610612752,NYK,25.0,1,,22.0,3,8,0.375,,,,0,0,0.0,,,7.0,0,,,,5,6,John Rudometkin</t>
  </si>
  <si>
    <t>201563,2017-18,00,1610612752,NYK,29.0,74,30.0,1653.0,409,807,0.507,34.0,86.0,0.395,124,159,0.78,97.0,317.0,414.0,123,36.0,43.0,143.0,145,976,Michael Beasley</t>
  </si>
  <si>
    <t>76130,1975-76,00,1610612752,NYK,29.0,60,,1449.0,193,406,0.475,,,,117,155,0.755,89.0,178.0,267.0,173,71.0,6.0,,180,503,Butch Beard</t>
  </si>
  <si>
    <t>76130,1976-77,00,1610612752,NYK,30.0,70,,1082.0,148,293,0.505,,,,75,109,0.688,50.0,113.0,163.0,144,57.0,5.0,,137,371,Butch Beard</t>
  </si>
  <si>
    <t>76130,1977-78,00,1610612752,NYK,31.0,79,,1979.0,308,614,0.502,,,,129,160,0.806,76.0,188.0,264.0,339,117.0,3.0,154.0,201,745,Butch Beard</t>
  </si>
  <si>
    <t>76130,1978-79,00,1610612752,NYK,32.0,7,,85.0,11,26,0.423,,,,0,0,,1.0,9.0,10.0,19,7.0,0.0,10.0,13,22,Butch Beard</t>
  </si>
  <si>
    <t>76117,1949-50,00,1610612752,NYK,24.0,2,,0.0,1,4,0.25,,,,2,3,0.667,,,0.0,0,,,,2,4,Ed Bartels</t>
  </si>
  <si>
    <t>891,1988-89,00,1610612752,NYK,25.0,82,82.0,2604.0,426,835,0.51,12.0,48.0,0.25,197,255,0.773,343.0,518.0,861.0,187,104.0,14.0,248.0,270,1061,Charles Oakley</t>
  </si>
  <si>
    <t>891,1989-90,00,1610612752,NYK,26.0,61,61.0,2196.0,336,641,0.524,0.0,3.0,0.0,217,285,0.761,258.0,469.0,727.0,146,64.0,16.0,165.0,220,889,Charles Oakley</t>
  </si>
  <si>
    <t>891,1990-91,00,1610612752,NYK,27.0,76,74.0,2739.0,307,595,0.516,0.0,2.0,0.0,239,305,0.784,305.0,615.0,920.0,204,62.0,17.0,215.0,288,853,Charles Oakley</t>
  </si>
  <si>
    <t>891,1991-92,00,1610612752,NYK,28.0,82,82.0,2309.0,210,402,0.522,0.0,3.0,0.0,86,117,0.735,256.0,444.0,700.0,133,67.0,15.0,123.0,258,506,Charles Oakley</t>
  </si>
  <si>
    <t>891,1992-93,00,1610612752,NYK,29.0,82,82.0,2230.0,219,431,0.508,0.0,1.0,0.0,127,176,0.722,288.0,420.0,708.0,126,85.0,15.0,124.0,289,565,Charles Oakley</t>
  </si>
  <si>
    <t>891,1993-94,00,1610612752,NYK,30.0,82,82.0,2932.0,363,760,0.478,0.0,3.0,0.0,243,313,0.776,349.0,616.0,965.0,218,110.0,18.0,193.0,293,969,Charles Oakley</t>
  </si>
  <si>
    <t>891,1994-95,00,1610612752,NYK,31.0,50,49.0,1567.0,192,393,0.489,3.0,12.0,0.25,119,150,0.793,155.0,290.0,445.0,126,60.0,7.0,103.0,179,506,Charles Oakley</t>
  </si>
  <si>
    <t>891,1995-96,00,1610612752,NYK,32.0,53,51.0,1775.0,211,448,0.471,7.0,26.0,0.269,175,210,0.833,162.0,298.0,460.0,137,58.0,14.0,104.0,195,604,Charles Oakley</t>
  </si>
  <si>
    <t>891,1996-97,00,1610612752,NYK,33.0,80,80.0,2870.0,339,694,0.488,5.0,19.0,0.263,181,224,0.808,246.0,535.0,781.0,221,111.0,21.0,171.0,305,864,Charles Oakley</t>
  </si>
  <si>
    <t>891,1997-98,00,1610612752,NYK,34.0,79,79.0,2734.0,307,698,0.44,0.0,6.0,0.0,97,114,0.851,218.0,506.0,724.0,201,123.0,22.0,126.0,280,711,Charles Oakley</t>
  </si>
  <si>
    <t>203124,2015-16,00,1610612752,NYK,26.0,65,1.0,764.0,129,271,0.476,5.0,22.0,0.227,46,60,0.767,76.0,174.0,250.0,72,20.0,49.0,61.0,107,309,Kyle O'Quinn</t>
  </si>
  <si>
    <t>203124,2016-17,00,1610612752,NYK,27.0,79,8.0,1229.0,215,413,0.521,2.0,17.0,0.118,64,83,0.771,157.0,282.0,439.0,117,36.0,104.0,76.0,174,496,Kyle O'Quinn</t>
  </si>
  <si>
    <t>203124,2017-18,00,1610612752,NYK,28.0,77,10.0,1387.0,224,384,0.583,4.0,17.0,0.235,98,127,0.772,121.0,349.0,470.0,158,36.0,98.0,100.0,192,550,Kyle O'Quinn</t>
  </si>
  <si>
    <t>78068,1980-81,00,1610612752,NYK,22.0,44,,484.0,94,225,0.418,1.0,6.0,0.167,26,39,0.667,47.0,85.0,132.0,10,12.0,4.0,30.0,54,215,Dewayne Scales</t>
  </si>
  <si>
    <t>78068,1981-82,00,1610612752,NYK,23.0,3,0.0,24.0,1,5,0.2,0.0,0.0,,1,2,0.5,2.0,3.0,5.0,0,1.0,1.0,2.0,3,3,Dewayne Scales</t>
  </si>
  <si>
    <t>194,1997-98,00,1610612752,NYK,34.0,27,3.0,224.0,32,59,0.542,3.0,4.0,0.75,8,9,0.889,9.0,17.0,26.0,11,6.0,2.0,7.0,25,75,Anthony Bowie</t>
  </si>
  <si>
    <t>1628373,2017-18,00,1610612752,NYK,19.0,78,9.0,1706.0,182,500,0.364,50.0,157.0,0.318,49,68,0.721,37.0,140.0,177.0,250,65.0,18.0,131.0,181,463,Frank Ntilikina</t>
  </si>
  <si>
    <t>1628373,2018-19,00,1610612752,NYK,20.0,43,16.0,904.0,95,282,0.337,33.0,115.0,0.287,23,30,0.767,12.0,75.0,87.0,121,30.0,14.0,56.0,104,246,Frank Ntilikina</t>
  </si>
  <si>
    <t>1628373,2019-20,00,1610612752,NYK,21.0,57,26.0,1187.0,131,333,0.393,44.0,137.0,0.321,51,59,0.864,23.0,98.0,121.0,172,54.0,16.0,71.0,142,357,Frank Ntilikina</t>
  </si>
  <si>
    <t>1628373,2020-21,00,1610612752,NYK,22.0,33,4.0,322.0,29,79,0.367,23.0,48.0,0.479,8,18,0.444,6.0,25.0,31.0,19,18.0,4.0,11.0,45,89,Frank Ntilikina</t>
  </si>
  <si>
    <t>200779,2011-12,00,1610612752,NYK,29.0,54,0.0,1020.0,161,337,0.478,133.0,282.0,0.472,22,26,0.846,9.0,95.0,104.0,12,16.0,9.0,21.0,59,477,Steve Novak</t>
  </si>
  <si>
    <t>200779,2012-13,00,1610612752,NYK,30.0,81,1.0,1641.0,178,430,0.414,149.0,351.0,0.425,30,33,0.909,17.0,135.0,152.0,35,28.0,8.0,12.0,97,535,Steve Novak</t>
  </si>
  <si>
    <t>983,2003-04,00,1610612752,NYK,30.0,36,0.0,446.0,53,130,0.408,12.0,35.0,0.343,36,47,0.766,8.0,27.0,35.0,73,28.0,3.0,34.0,35,154,Moochie Norris</t>
  </si>
  <si>
    <t>983,2004-05,00,1610612752,NYK,31.0,32,0.0,321.0,32,93,0.344,0.0,12.0,0.0,18,22,0.818,9.0,33.0,42.0,34,17.0,2.0,25.0,42,82,Moochie Norris</t>
  </si>
  <si>
    <t>944,1992-93,00,1610612752,NYK,23.0,16,0.0,44.0,5,18,0.278,0.0,0.0,0.0,11,13,0.846,6.0,8.0,14.0,3,3.0,1.0,5.0,14,21,Eric Anderson</t>
  </si>
  <si>
    <t>944,1993-94,00,1610612752,NYK,24.0,11,0.0,39.0,7,17,0.412,2.0,2.0,1.0,5,14,0.357,6.0,11.0,17.0,2,0.0,1.0,2.0,9,21,Eric Anderson</t>
  </si>
  <si>
    <t>77723,1947-48,00,1610612752,NYK,23.0,29,,,40,138,0.29,,,,19,30,0.633,,,,3,,,,41,99,Paul Noel</t>
  </si>
  <si>
    <t>77723,1948-49,00,1610612752,NYK,24.0,47,,,70,277,0.253,,,,37,60,0.617,,,,33,,,,84,177,Paul Noel</t>
  </si>
  <si>
    <t>77723,1949-50,00,1610612752,NYK,25.0,65,,,98,291,0.337,,,,53,87,0.609,,,,67,,,,132,249,Paul Noel</t>
  </si>
  <si>
    <t>101126,2005-06,00,1610612752,NYK,22.0,72,26.0,1544.0,230,565,0.407,58.0,146.0,0.397,152,202,0.752,56.0,111.0,167.0,147,59.0,1.0,114.0,201,670,Nate Robinson</t>
  </si>
  <si>
    <t>101126,2006-07,00,1610612752,NYK,23.0,64,5.0,1356.0,227,523,0.434,83.0,213.0,0.39,108,139,0.777,55.0,97.0,152.0,90,50.0,6.0,72.0,160,645,Nate Robinson</t>
  </si>
  <si>
    <t>101126,2007-08,00,1610612752,NYK,24.0,72,17.0,1883.0,331,782,0.423,97.0,292.0,0.332,154,196,0.786,51.0,171.0,222.0,212,60.0,1.0,103.0,186,913,Nate Robinson</t>
  </si>
  <si>
    <t>101126,2008-09,00,1610612752,NYK,25.0,74,11.0,2209.0,449,1028,0.437,125.0,385.0,0.325,249,296,0.841,98.0,192.0,290.0,301,95.0,6.0,139.0,206,1272,Nate Robinson</t>
  </si>
  <si>
    <t>101126,2009-10,00,1610612752,NYK,26.0,30,2.0,733.0,152,336,0.452,51.0,136.0,0.375,42,54,0.778,23.0,49.0,72.0,112,27.0,5.0,53.0,66,397,Nate Robinson</t>
  </si>
  <si>
    <t>204001,2015-16,00,1610612752,NYK,20.0,72,72.0,2047.0,373,886,0.421,81.0,243.0,0.333,201,240,0.838,132.0,394.0,526.0,94,53.0,134.0,121.0,205,1028,Kristaps Porzingis</t>
  </si>
  <si>
    <t>204001,2016-17,00,1610612752,NYK,21.0,66,65.0,2164.0,443,985,0.45,112.0,314.0,0.357,198,252,0.786,111.0,364.0,475.0,97,47.0,129.0,118.0,244,1196,Kristaps Porzingis</t>
  </si>
  <si>
    <t>204001,2017-18,00,1610612752,NYK,22.0,48,48.0,1553.0,390,889,0.439,90.0,228.0,0.395,218,275,0.793,62.0,254.0,316.0,57,36.0,115.0,93.0,141,1088,Kristaps Porzingis</t>
  </si>
  <si>
    <t>203457,2020-21,00,1610612752,NYK,27.0,64,41.0,1547.0,137,223,0.614,0.0,3.0,0.0,50,70,0.714,142.0,265.0,407.0,46,70.0,141.0,65.0,176,324,Nerlens Noel</t>
  </si>
  <si>
    <t>203457,2021-22,00,1610612752,NYK,28.0,25,11.0,562.0,32,60,0.533,0.0,3.0,0.0,21,30,0.7,48.0,93.0,141.0,23,30.0,31.0,20.0,67,85,Nerlens Noel</t>
  </si>
  <si>
    <t>201149,2016-17,00,1610612752,NYK,32.0,46,46.0,1015.0,99,202,0.49,0.0,1.0,0.0,34,78,0.436,162.0,241.0,403.0,103,30.0,37.0,58.0,127,232,Joakim Noah</t>
  </si>
  <si>
    <t>201149,2017-18,00,1610612752,NYK,33.0,7,0.0,40.0,5,10,0.5,0.0,0.0,0.0,2,4,0.5,6.0,8.0,14.0,4,2.0,2.0,4.0,5,12,Joakim Noah</t>
  </si>
  <si>
    <t>201193,2008-09,00,1610612752,NYK,24.0,2,0.0,9.0,2,5,0.4,0.0,1.0,0.0,1,2,0.5,0.0,2.0,2.0,0,0.0,1.0,0.0,0,5,Demetris Nichols</t>
  </si>
  <si>
    <t>200764,2006-07,00,1610612752,NYK,22.0,68,1.0,1064.0,139,275,0.505,5.0,27.0,0.185,51,90,0.567,97.0,197.0,294.0,44,57.0,44.0,49.0,146,334,Renaldo Balkman</t>
  </si>
  <si>
    <t>200764,2007-08,00,1610612752,NYK,23.0,65,0.0,952.0,91,186,0.489,1.0,12.0,0.083,41,95,0.432,83.0,133.0,216.0,40,44.0,30.0,37.0,132,224,Renaldo Balkman</t>
  </si>
  <si>
    <t>200764,2010-11,00,1610612752,NYK,26.0,3,0.0,18.0,1,4,0.25,1.0,2.0,0.5,0,0,0.0,1.0,2.0,3.0,0,1.0,0.0,1.0,4,3,Renaldo Balkman</t>
  </si>
  <si>
    <t>200764,2011-12,00,1610612752,NYK,27.0,14,0.0,115.0,16,32,0.5,2.0,9.0,0.222,8,11,0.727,6.0,20.0,26.0,5,4.0,3.0,6.0,14,42,Renaldo Balkman</t>
  </si>
  <si>
    <t>271,1987-88,00,1610612752,NYK,24.0,77,25.0,1589.0,270,620,0.435,26.0,93.0,0.28,207,246,0.841,87.0,72.0,159.0,62,72.0,11.0,103.0,204,773,Johnny Newman</t>
  </si>
  <si>
    <t>271,1988-89,00,1610612752,NYK,25.0,81,80.0,2336.0,455,957,0.475,97.0,287.0,0.338,286,351,0.815,93.0,113.0,206.0,162,111.0,23.0,153.0,259,1293,Johnny Newman</t>
  </si>
  <si>
    <t>271,1989-90,00,1610612752,NYK,26.0,80,69.0,2277.0,374,786,0.476,45.0,142.0,0.317,239,299,0.799,60.0,131.0,191.0,180,95.0,22.0,143.0,254,1032,Johnny Newman</t>
  </si>
  <si>
    <t>77710,1981-82,00,1610612752,NYK,33.0,76,32.0,1507.0,286,615,0.465,7.0,23.0,0.304,126,147,0.857,36.0,55.0,91.0,170,33.0,3.0,104.0,194,705,Mike Newlin</t>
  </si>
  <si>
    <t>76069,1955-56,00,1610612752,NYK,24.0,25,,288.0,36,88,0.409,,,,21,27,0.778,,,42.0,32,,,,39,93,Richard Atha</t>
  </si>
  <si>
    <t>1626254,2016-17,00,1610612752,NYK,25.0,32,4.0,331.0,39,86,0.453,1.0,7.0,0.143,19,26,0.731,22.0,42.0,64.0,8,15.0,8.0,12.0,30,98,Maurice Ndour</t>
  </si>
  <si>
    <t>77693,1956-57,00,1610612752,NYK,22.0,71,,1778.0,293,820,0.357,,,,132,195,0.677,,,617.0,84,,,,186,718,Willie Naulls</t>
  </si>
  <si>
    <t>77693,1957-58,00,1610612752,NYK,23.0,68,,2369.0,472,1189,0.397,,,,284,344,0.826,,,799.0,97,,,,220,1228,Willie Naulls</t>
  </si>
  <si>
    <t>77693,1958-59,00,1610612752,NYK,24.0,68,,2061.0,405,1072,0.378,,,,258,311,0.83,,,723.0,102,,,,233,1068,Willie Naulls</t>
  </si>
  <si>
    <t>77693,1959-60,00,1610612752,NYK,25.0,65,,2250.0,551,1286,0.428,,,,286,342,0.836,,,921.0,138,,,,214,1388,Willie Naulls</t>
  </si>
  <si>
    <t>77693,1960-61,00,1610612752,NYK,26.0,79,,2976.0,737,1723,0.428,,,,372,456,0.816,,,1055.0,191,,,,268,1846,Willie Naulls</t>
  </si>
  <si>
    <t>77693,1961-62,00,1610612752,NYK,27.0,75,,2978.0,747,1798,0.415,,,,383,455,0.842,,,867.0,192,,,,260,1877,Willie Naulls</t>
  </si>
  <si>
    <t>2853,2009-10,00,1610612752,NYK,28.0,7,6.0,232.0,30,68,0.441,0.0,0.0,0.0,22,29,0.759,31.0,46.0,77.0,8,4.0,4.0,11.0,24,82,Earl Barron</t>
  </si>
  <si>
    <t>2853,2012-13,00,1610612752,NYK,31.0,1,1.0,37.0,5,14,0.357,0.0,0.0,0.0,1,2,0.5,6.0,12.0,18.0,2,0.0,1.0,1.0,1,11,Earl Barron</t>
  </si>
  <si>
    <t>1924,2002-03,00,1610612752,NYK,28.0,38,0.0,406.0,84,190,0.442,0.0,1.0,0.0,42,51,0.824,32.0,38.0,70.0,26,6.0,3.0,32.0,46,210,Lee Nailon</t>
  </si>
  <si>
    <t>1629004,2022-23,00,1610612752,NYK,26.0,13,0.0,40.0,6,12,0.5,6.0,10.0,0.6,3,5,0.6,0.0,7.0,7.0,1,1.0,0.0,2.0,1,21,Svi Mykhailiuk</t>
  </si>
  <si>
    <t>147,2005-06,00,1610612752,NYK,33.0,26,23.0,746.0,110,239,0.46,28.0,57.0,0.491,82,101,0.812,13.0,69.0,82.0,68,10.0,3.0,50.0,55,330,Jalen Rose</t>
  </si>
  <si>
    <t>1683,2001-02,00,1610612752,NYK,34.0,2,0.0,11.0,1,4,0.25,1.0,2.0,0.5,0,0,0.0,0.0,2.0,2.0,0,0.0,0.0,0.0,1,3,Larry Robinson</t>
  </si>
  <si>
    <t>939,1988-89,00,1610612752,NYK,25.0,29,0.0,230.0,25,61,0.41,0.0,2.0,0.0,31,44,0.705,12.0,11.0,23.0,46,17.0,2.0,19.0,41,81,Pete Myers</t>
  </si>
  <si>
    <t>939,1989-90,00,1610612752,NYK,26.0,24,0.0,208.0,15,45,0.333,0.0,1.0,0.0,16,31,0.516,10.0,18.0,28.0,35,15.0,2.0,18.0,39,46,Pete Myers</t>
  </si>
  <si>
    <t>939,1997-98,00,1610612752,NYK,34.0,9,0.0,40.0,5,10,0.5,0.0,0.0,0.0,4,6,0.667,5.0,5.0,10.0,3,4.0,0.0,4.0,7,14,Pete Myers</t>
  </si>
  <si>
    <t>78200,1981-82,00,1610612752,NYK,33.0,82,40.0,2033.0,348,748,0.465,3.0,11.0,0.273,122,151,0.808,53.0,102.0,155.0,255,91.0,1.0,124.0,199,821,Randy Smith</t>
  </si>
  <si>
    <t>87,2003-04,00,1610612752,NYK,38.0,65,56.0,1497.0,141,295,0.478,0.0,0.0,0.0,81,119,0.681,145.0,292.0,437.0,25,17.0,123.0,54.0,141,363,Dikembe Mutombo</t>
  </si>
  <si>
    <t>1710,2011-12,00,1610612752,NYK,34.0,39,4.0,557.0,35,124,0.282,27.0,85.0,0.318,6,8,0.75,5.0,54.0,59.0,80,21.0,3.0,20.0,45,103,Mike Bibby</t>
  </si>
  <si>
    <t>1054,1990-91,00,1610612752,NYK,21.0,62,5.0,825.0,106,228,0.465,0.0,1.0,0.0,56,87,0.644,51.0,118.0,169.0,36,15.0,14.0,61.0,109,268,Jerrod Mustaf</t>
  </si>
  <si>
    <t>203315,2013-14,00,1610612752,NYK,24.0,51,0.0,372.0,56,129,0.434,5.0,12.0,0.417,23,39,0.59,13.0,31.0,44.0,49,19.0,1.0,34.0,46,140,Toure' Murry</t>
  </si>
  <si>
    <t>77671,1946-47,00,1610612752,NYK,22.0,9,,0.0,8,25,0.32,,,,8,12,0.667,,,0.0,0,,,,3,24,John Murphy</t>
  </si>
  <si>
    <t>77672,1946-47,00,1610612752,NYK,26.0,24,,0.0,14,58,0.241,,,,4,5,0.8,,,0.0,5,,,,9,32,Dick Murphy</t>
  </si>
  <si>
    <t>200745,2013-14,00,1610612752,NYK,28.0,42,39.0,1257.0,222,502,0.442,30.0,108.0,0.278,84,102,0.824,69.0,153.0,222.0,45,14.0,52.0,58.0,100,558,Andrea Bargnani</t>
  </si>
  <si>
    <t>200745,2014-15,00,1610612752,NYK,29.0,29,22.0,785.0,164,361,0.454,15.0,41.0,0.366,87,107,0.813,32.0,95.0,127.0,46,2.0,27.0,42.0,53,430,Andrea Bargnani</t>
  </si>
  <si>
    <t>77660,1946-47,00,1610612752,NYK,24.0,26,,0.0,27,104,0.26,,,,22,34,0.647,,,0.0,18,,,,32,76,Bob Mullens</t>
  </si>
  <si>
    <t>1626144,2017-18,00,1610612752,NYK,22.0,22,14.0,493.0,75,204,0.368,9.0,46.0,0.196,35,51,0.686,10.0,48.0,58.0,85,20.0,7.0,41.0,33,194,Emmanuel Mudiay</t>
  </si>
  <si>
    <t>1626144,2018-19,00,1610612752,NYK,23.0,59,42.0,1607.0,330,740,0.446,69.0,210.0,0.329,144,186,0.774,33.0,163.0,196.0,228,43.0,19.0,140.0,103,873,Emmanuel Mudiay</t>
  </si>
  <si>
    <t>202389,2010-11,00,1610612752,NYK,24.0,34,14.0,458.0,52,112,0.464,0.0,0.0,0.0,31,44,0.705,41.0,63.0,104.0,15,14.0,23.0,32.0,76,135,Timofey Mozgov</t>
  </si>
  <si>
    <t>203085,2020-21,00,1610612752,NYK,28.0,21,2.0,442.0,58,135,0.43,28.0,77.0,0.364,10,14,0.714,5.0,42.0,47.0,42,12.0,0.0,22.0,32,154,Austin Rivers</t>
  </si>
  <si>
    <t>202694,2019-20,00,1610612752,NYK,30.0,43,43.0,1387.0,281,636,0.442,116.0,264.0,0.439,163,198,0.823,48.0,185.0,233.0,59,34.0,17.0,73.0,128,841,Marcus Morris Sr.</t>
  </si>
  <si>
    <t>78075,1953-54,00,1610612752,NYK,28.0,67,,1515.0,161,415,0.388,,,,153,195,0.785,,,267.0,109,,,,176,475,Fred Schaus</t>
  </si>
  <si>
    <t>201043,2006-07,00,1610612752,NYK,21.0,5,0.0,44.0,1,6,0.167,0.0,0.0,0.0,2,6,0.333,1.0,8.0,9.0,1,2.0,1.0,2.0,4,4,Randolph Morris</t>
  </si>
  <si>
    <t>201043,2007-08,00,1610612752,NYK,22.0,18,2.0,181.0,21,58,0.362,0.0,0.0,0.0,14,29,0.483,12.0,25.0,37.0,2,4.0,2.0,9.0,37,56,Randolph Morris</t>
  </si>
  <si>
    <t>201235,2008-09,00,1610612752,NYK,25.0,1,0.0,11.0,3,6,0.5,0.0,0.0,0.0,0,0,0.0,2.0,2.0,4.0,0,0.0,0.0,0.0,1,6,Courtney Sims</t>
  </si>
  <si>
    <t>1629760,2021-22,00,1610612752,NYK,27.0,1,0.0,2.0,0,1,0.0,0.0,1.0,0.0,0,0,0.0,0.0,0.0,0.0,0,1.0,0.0,1.0,0,0,Matt Mooney</t>
  </si>
  <si>
    <t>600006,1971-72,00,1610612752,NYK,27.0,60,,1234.0,261,598,0.436,,,,162,206,0.786,,,92.0,132,,,,130,684,Earl Monroe</t>
  </si>
  <si>
    <t>600006,1972-73,00,1610612752,NYK,28.0,75,,2370.0,496,1016,0.488,,,,171,208,0.822,,,245.0,288,,,,195,1163,Earl Monroe</t>
  </si>
  <si>
    <t>600006,1973-74,00,1610612752,NYK,29.0,41,,1194.0,240,513,0.468,,,,93,113,0.823,22.0,99.0,121.0,110,34.0,19.0,,97,573,Earl Monroe</t>
  </si>
  <si>
    <t>600006,1974-75,00,1610612752,NYK,30.0,78,,2814.0,668,1462,0.457,,,,297,359,0.827,56.0,271.0,327.0,270,108.0,29.0,,200,1633,Earl Monroe</t>
  </si>
  <si>
    <t>600006,1975-76,00,1610612752,NYK,31.0,76,,2889.0,647,1354,0.478,,,,280,356,0.787,48.0,225.0,273.0,304,111.0,22.0,,209,1574,Earl Monroe</t>
  </si>
  <si>
    <t>600006,1976-77,00,1610612752,NYK,32.0,77,,2656.0,613,1185,0.517,,,,307,366,0.839,45.0,178.0,223.0,366,91.0,23.0,,197,1533,Earl Monroe</t>
  </si>
  <si>
    <t>600006,1977-78,00,1610612752,NYK,33.0,76,,2369.0,556,1123,0.495,,,,242,291,0.832,47.0,135.0,182.0,361,60.0,19.0,179.0,189,1354,Earl Monroe</t>
  </si>
  <si>
    <t>600006,1978-79,00,1610612752,NYK,34.0,64,,1393.0,329,699,0.471,,,,129,154,0.838,26.0,48.0,74.0,189,48.0,6.0,98.0,123,787,Earl Monroe</t>
  </si>
  <si>
    <t>600006,1979-80,00,1610612752,NYK,35.0,51,,633.0,161,352,0.457,0.0,0.0,,56,64,0.875,16.0,20.0,36.0,67,21.0,3.0,28.0,46,378,Earl Monroe</t>
  </si>
  <si>
    <t>77625,1966-67,00,1610612752,NYK,24.0,13,,75.0,19,51,0.373,,,,7,13,0.538,,,22.0,2,,,,9,45,Wayne Molis</t>
  </si>
  <si>
    <t>76049,1954-55,00,1610612752,NYK,24.0,1,,10.0,0,4,0.0,,,,3,4,0.75,,,2.0,0,,,,0,3,Don Anielak</t>
  </si>
  <si>
    <t>1737,2003-04,00,1610612752,NYK,26.0,27,23.0,673.0,108,192,0.563,0.0,0.0,0.0,31,59,0.525,77.0,130.0,207.0,16,33.0,25.0,41.0,82,247,Nazr Mohammed</t>
  </si>
  <si>
    <t>1737,2004-05,00,1610612752,NYK,27.0,54,54.0,1519.0,234,460,0.509,0.0,1.0,0.0,121,171,0.708,169.0,270.0,439.0,26,53.0,53.0,81.0,172,589,Nazr Mohammed</t>
  </si>
  <si>
    <t>78036,1978-79,00,1610612752,NYK,23.0,58,,723.0,59,133,0.444,,,,66,93,0.71,69.0,98.0,167.0,35,17.0,8.0,59.0,95,184,John Rudd</t>
  </si>
  <si>
    <t>77613,1947-48,00,1610612752,NYK,24.0,3,,,3,13,0.231,,,,1,3,0.333,,,,0,,,,7,7,Wat Misaka</t>
  </si>
  <si>
    <t>78078,1946-47,00,1610612752,NYK,28.0,54,,,162,588,0.276,,,,111,179,0.62,,,,109,,,,115,435,Ossie Schectman</t>
  </si>
  <si>
    <t>2772,2004-05,00,1610612752,NYK,20.0,80,12.0,1385.0,172,389,0.442,3.0,13.0,0.231,121,174,0.695,89.0,153.0,242.0,85,70.0,18.0,73.0,150,468,Trevor Ariza</t>
  </si>
  <si>
    <t>2772,2005-06,00,1610612752,NYK,20.0,36,10.0,709.0,61,146,0.418,1.0,3.0,0.333,42,77,0.545,49.0,88.0,137.0,46,43.0,9.0,46.0,78,165,Trevor Ariza</t>
  </si>
  <si>
    <t>1629003,2023-24,00,1610612752,NYK,27.0,6,0.0,27.0,4,9,0.444,1.0,2.0,0.5,2,2,1.0,0.0,6.0,6.0,4,1.0,0.0,0.0,7,11,Shake Milton</t>
  </si>
  <si>
    <t>76176,1992-93,00,1610612752,NYK,34.0,60,33.0,1434.0,239,539,0.443,31.0,73.0,0.425,71,90,0.789,23.0,79.0,102.0,157,22.0,10.0,65.0,129,580,Rolando Blackman</t>
  </si>
  <si>
    <t>76176,1993-94,00,1610612752,NYK,35.0,55,1.0,969.0,161,369,0.436,30.0,84.0,0.357,48,53,0.906,23.0,70.0,93.0,76,25.0,6.0,44.0,100,400,Rolando Blackman</t>
  </si>
  <si>
    <t>203144,2014-15,00,1610612752,NYK,26.0,16,9.0,423.0,73,181,0.403,26.0,70.0,0.371,64,82,0.78,14.0,59.0,73.0,57,15.0,5.0,25.0,25,236,Alexey Shved</t>
  </si>
  <si>
    <t>168,1997-98,00,1610612752,NYK,28.0,80,29.0,2183.0,292,675,0.433,40.0,137.0,0.292,152,189,0.804,120.0,288.0,408.0,133,45.0,30.0,107.0,218,776,Chris Mills</t>
  </si>
  <si>
    <t>201167,2015-16,00,1610612752,NYK,30.0,71,57.0,2371.0,354,799,0.443,91.0,238.0,0.382,110,131,0.84,23.0,243.0,266.0,144,25.0,10.0,82.0,142,909,Arron Afflalo</t>
  </si>
  <si>
    <t>201196,2017-18,00,1610612752,NYK,32.0,13,3.0,167.0,17,53,0.321,2.0,11.0,0.182,12,15,0.8,1.0,17.0,18.0,27,7.0,1.0,15.0,14,48,Ramon Sessions</t>
  </si>
  <si>
    <t>77598,1946-47,00,1610612752,NYK,24.0,36,,0.0,52,214,0.243,,,,40,73,0.548,,,0.0,28,,,,91,144,Nat Militzok</t>
  </si>
  <si>
    <t>77968,1948-49,00,1610612752,NYK,25.0,55,,,123,353,0.348,,,,91,146,0.623,,,,57,,,,71,337,Goebel Ritter</t>
  </si>
  <si>
    <t>77968,1949-50,00,1610612752,NYK,26.0,62,,,100,297,0.337,,,,125,176,0.71,,,,51,,,,101,325,Goebel Ritter</t>
  </si>
  <si>
    <t>77968,1950-51,00,1610612752,NYK,27.0,34,,,39,103,0.379,,,,49,71,0.69,,,65.0,37,,,,52,127,Goebel Ritter</t>
  </si>
  <si>
    <t>2545,2009-10,00,1610612752,NYK,25.0,8,0.0,71.0,8,17,0.471,0.0,0.0,0.0,0,0,0.0,5.0,13.0,18.0,4,4.0,1.0,2.0,7,16,Darko Milicic</t>
  </si>
  <si>
    <t>78023,1948-49,00,1610612752,NYK,27.0,53,,,101,367,0.275,,,,112,174,0.644,,,,68,,,,174,314,Irv Rothenberg</t>
  </si>
  <si>
    <t>78019,1946-47,00,1610612752,NYK,27.0,31,,0.0,38,145,0.262,,,,57,95,0.6,,,0.0,19,,,,71,133,Hank Rosenstein</t>
  </si>
  <si>
    <t>77596,1971-72,00,1610612752,NYK,31.0,42,,198.0,23,64,0.359,,,,16,18,0.889,,,16.0,17,,,,46,62,Eddie Miles</t>
  </si>
  <si>
    <t>77582,1978-79,00,1610612752,NYK,25.0,41,,1053.0,158,313,0.505,,,,75,109,0.688,81.0,144.0,225.0,48,23.0,53.0,85.0,178,391,Joe Meriweather</t>
  </si>
  <si>
    <t>77582,1979-80,00,1610612752,NYK,26.0,65,,1565.0,252,477,0.528,0.0,1.0,0.0,78,121,0.645,122.0,228.0,350.0,66,37.0,120.0,112.0,239,582,Joe Meriweather</t>
  </si>
  <si>
    <t>2440,2005-06,00,1610612752,NYK,26.0,6,5.0,93.0,11,30,0.367,1.0,4.0,0.25,3,4,0.75,7.0,17.0,24.0,6,4.0,0.0,6.0,8,26,Matt Barnes</t>
  </si>
  <si>
    <t>78013,1960-61,00,1610612752,NYK,27.0,60,,816.0,109,293,0.372,,,,58,88,0.659,,,97.0,123,,,,121,276,Phil Rollins</t>
  </si>
  <si>
    <t>77578,1971-72,00,1610612752,NYK,24.0,78,,1173.0,139,293,0.474,,,,79,140,0.564,,,185.0,103,,,,137,357,Dean Meminger</t>
  </si>
  <si>
    <t>77578,1972-73,00,1610612752,NYK,25.0,80,,1453.0,188,365,0.515,,,,81,129,0.628,,,229.0,133,,,,109,457,Dean Meminger</t>
  </si>
  <si>
    <t>77578,1973-74,00,1610612752,NYK,26.0,78,,2079.0,274,539,0.508,,,,103,160,0.644,125.0,156.0,281.0,162,62.0,8.0,,161,651,Dean Meminger</t>
  </si>
  <si>
    <t>77578,1976-77,00,1610612752,NYK,29.0,32,,254.0,15,36,0.417,,,,13,23,0.565,12.0,14.0,26.0,29,8.0,1.0,,17,43,Dean Meminger</t>
  </si>
  <si>
    <t>77562,1960-61,00,1610612752,NYK,22.0,75,,1387.0,166,427,0.389,,,,105,126,0.833,,,123.0,238,,,,148,437,Bob McNeill</t>
  </si>
  <si>
    <t>452,2003-04,00,1610612752,NYK,32.0,17,0.0,313.0,40,99,0.404,1.0,2.0,0.5,32,45,0.711,36.0,34.0,70.0,12,7.0,9.0,25.0,62,113,Vin Baker</t>
  </si>
  <si>
    <t>452,2004-05,00,1610612752,NYK,33.0,24,0.0,191.0,13,38,0.342,0.0,1.0,0.0,7,15,0.467,17.0,20.0,37.0,9,2.0,4.0,15.0,31,33,Vin Baker</t>
  </si>
  <si>
    <t>78153,1949-50,00,1610612752,NYK,25.0,60,,,241,729,0.331,,,,198,299,0.662,,,,102,,,,203,680,Connie Simmons</t>
  </si>
  <si>
    <t>78153,1950-51,00,1610612752,NYK,26.0,66,,,229,613,0.374,,,,146,208,0.702,,,426.0,117,,,,222,604,Connie Simmons</t>
  </si>
  <si>
    <t>78153,1951-52,00,1610612752,NYK,27.0,66,,1558.0,227,600,0.378,,,,175,254,0.689,,,471.0,121,,,,214,629,Connie Simmons</t>
  </si>
  <si>
    <t>78153,1952-53,00,1610612752,NYK,28.0,65,,1707.0,240,637,0.377,,,,249,340,0.732,,,458.0,127,,,,252,729,Connie Simmons</t>
  </si>
  <si>
    <t>78153,1953-54,00,1610612752,NYK,29.0,72,,2006.0,255,713,0.358,,,,210,305,0.689,,,484.0,128,,,,234,720,Connie Simmons</t>
  </si>
  <si>
    <t>200771,2009-10,00,1610612752,NYK,24.0,27,8.0,531.0,79,161,0.491,17.0,49.0,0.347,25,31,0.806,9.0,30.0,39.0,91,21.0,2.0,55.0,38,200,Sergio Rodriguez</t>
  </si>
  <si>
    <t>77560,1985-86,00,1610612752,NYK,24.0,30,6.0,627.0,70,144,0.486,0.0,0.0,,31,47,0.66,62.0,141.0,203.0,41,38.0,12.0,35.0,88,171,Chris McNealy</t>
  </si>
  <si>
    <t>77560,1986-87,00,1610612752,NYK,25.0,59,16.0,972.0,88,179,0.492,0.0,0.0,0.0,52,80,0.65,74.0,153.0,227.0,46,36.0,16.0,64.0,136,228,Chris McNealy</t>
  </si>
  <si>
    <t>77560,1987-88,00,1610612752,NYK,26.0,19,0.0,265.0,23,74,0.311,0.0,0.0,0.0,21,31,0.677,24.0,40.0,64.0,23,16.0,2.0,17.0,50,67,Chris McNealy</t>
  </si>
  <si>
    <t>1629628,2019-20,00,1610612752,NYK,20.0,56,55.0,1704.0,292,727,0.402,63.0,197.0,0.32,156,254,0.614,50.0,229.0,279.0,143,55.0,17.0,124.0,122,803,RJ Barrett</t>
  </si>
  <si>
    <t>1629628,2020-21,00,1610612752,NYK,21.0,72,72.0,2511.0,467,1060,0.441,124.0,309.0,0.401,206,276,0.746,68.0,346.0,414.0,217,53.0,20.0,139.0,188,1264,RJ Barrett</t>
  </si>
  <si>
    <t>1629628,2021-22,00,1610612752,NYK,22.0,70,70.0,2417.0,487,1194,0.408,138.0,404.0,0.342,290,406,0.714,66.0,342.0,408.0,208,43.0,16.0,151.0,142,1402,RJ Barrett</t>
  </si>
  <si>
    <t>1629628,2022-23,00,1610612752,NYK,23.0,73,73.0,2476.0,510,1176,0.434,121.0,390.0,0.31,290,392,0.74,60.0,308.0,368.0,201,31.0,15.0,164.0,179,1431,RJ Barrett</t>
  </si>
  <si>
    <t>1629628,2023-24,00,1610612752,NYK,24.0,26,26.0,767.0,164,388,0.423,43.0,130.0,0.331,103,124,0.831,19.0,92.0,111.0,63,12.0,9.0,47.0,45,474,RJ Barrett</t>
  </si>
  <si>
    <t>77554,1976-77,00,1610612752,NYK,29.0,67,,2158.0,298,642,0.464,,,,67,86,0.779,66.0,241.0,307.0,139,63.0,5.0,,103,663,Jim McMillian</t>
  </si>
  <si>
    <t>77554,1977-78,00,1610612752,NYK,30.0,81,,1977.0,288,623,0.462,,,,115,134,0.858,80.0,209.0,289.0,205,76.0,17.0,104.0,116,691,Jim McMillian</t>
  </si>
  <si>
    <t>76140,1978-79,00,1610612752,NYK,28.0,5,,38.0,5,12,0.417,,,,2,2,1.0,2.0,9.0,11.0,2,2.0,0.0,4.0,8,12,Ron Behagen</t>
  </si>
  <si>
    <t>78106,1955-56,00,1610612752,NYK,22.0,70,,2069.0,319,728,0.438,,,,258,324,0.796,,,616.0,114,,,,201,896,Ken Sears</t>
  </si>
  <si>
    <t>78106,1956-57,00,1610612752,NYK,23.0,72,,2516.0,343,821,0.418,,,,383,485,0.79,,,614.0,101,,,,226,1069,Ken Sears</t>
  </si>
  <si>
    <t>78106,1957-58,00,1610612752,NYK,24.0,72,,2685.0,445,1014,0.439,,,,452,550,0.822,,,785.0,126,,,,251,1342,Ken Sears</t>
  </si>
  <si>
    <t>78106,1958-59,00,1610612752,NYK,25.0,71,,2498.0,491,1002,0.49,,,,506,588,0.861,,,658.0,136,,,,237,1488,Ken Sears</t>
  </si>
  <si>
    <t>78106,1959-60,00,1610612752,NYK,26.0,64,,2099.0,412,863,0.477,,,,363,418,0.868,,,876.0,127,,,,191,1187,Ken Sears</t>
  </si>
  <si>
    <t>78106,1960-61,00,1610612752,NYK,27.0,52,,1396.0,241,568,0.424,,,,268,325,0.825,,,293.0,102,,,,165,750,Ken Sears</t>
  </si>
  <si>
    <t>76106,1974-75,00,1610612752,NYK,30.0,28,,538.0,70,172,0.407,,,,43,50,0.86,15.0,36.0,51.0,39,12.0,0.0,,51,183,Jim Barnett</t>
  </si>
  <si>
    <t>76106,1975-76,00,1610612752,NYK,31.0,71,,1026.0,164,371,0.442,,,,90,114,0.789,48.0,40.0,88.0,90,24.0,3.0,,86,418,Jim Barnett</t>
  </si>
  <si>
    <t>77553,1976-77,00,1610612752,NYK,25.0,56,,1222.0,229,471,0.486,,,,70,87,0.805,85.0,232.0,317.0,51,10.0,4.0,,134,528,Tom McMillen</t>
  </si>
  <si>
    <t>202338,2015-16,00,1610612752,NYK,26.0,48,0.0,526.0,84,205,0.41,0.0,2.0,0.0,19,23,0.826,31.0,95.0,126.0,47,8.0,36.0,43.0,67,187,Kevin Seraphin</t>
  </si>
  <si>
    <t>77545,1991-92,00,1610612752,NYK,27.0,2,0.0,9.0,2,9,0.222,0.0,0.0,0.0,0,0,0.0,0.0,1.0,1.0,0,0.0,0.0,0.0,1,4,Carlton McKinney</t>
  </si>
  <si>
    <t>77960,1972-73,00,1610612752,NYK,23.0,14,,65.0,10,24,0.417,,,,15,24,0.625,,,16.0,2,,,,15,35,Tom Riker</t>
  </si>
  <si>
    <t>77960,1973-74,00,1610612752,NYK,24.0,17,,57.0,13,29,0.448,,,,12,17,0.706,9.0,6.0,15.0,3,0.0,0.0,,6,38,Tom Riker</t>
  </si>
  <si>
    <t>77960,1974-75,00,1610612752,NYK,25.0,51,,483.0,53,147,0.361,,,,46,82,0.561,40.0,67.0,107.0,19,15.0,5.0,,64,152,Tom Riker</t>
  </si>
  <si>
    <t>203143,2012-13,00,1610612752,NYK,36.0,78,18.0,1263.0,100,220,0.455,53.0,134.0,0.396,22,25,0.88,41.0,102.0,143.0,236,69.0,2.0,86.0,127,275,Pablo Prigioni</t>
  </si>
  <si>
    <t>203143,2013-14,00,1610612752,NYK,37.0,66,27.0,1283.0,88,191,0.461,65.0,140.0,0.464,11,12,0.917,36.0,93.0,129.0,228,67.0,2.0,60.0,132,252,Pablo Prigioni</t>
  </si>
  <si>
    <t>203143,2014-15,00,1610612752,NYK,38.0,43,3.0,795.0,68,161,0.422,43.0,115.0,0.374,22,26,0.846,18.0,62.0,80.0,104,52.0,1.0,47.0,53,201,Pablo Prigioni</t>
  </si>
  <si>
    <t>77537,1949-50,00,1610612752,NYK,24.0,68,,,190,563,0.337,,,,204,313,0.652,,,,386,,,,160,584,Dick McGuire</t>
  </si>
  <si>
    <t>77537,1950-51,00,1610612752,NYK,25.0,64,,,179,482,0.371,,,,179,276,0.649,,,334.0,400,,,,154,537,Dick McGuire</t>
  </si>
  <si>
    <t>77537,1951-52,00,1610612752,NYK,26.0,64,,2018.0,204,474,0.43,,,,183,290,0.631,,,332.0,388,,,,181,591,Dick McGuire</t>
  </si>
  <si>
    <t>77537,1952-53,00,1610612752,NYK,27.0,61,,1783.0,142,373,0.381,,,,153,269,0.569,,,280.0,296,,,,172,437,Dick McGuire</t>
  </si>
  <si>
    <t>77537,1953-54,00,1610612752,NYK,28.0,68,,2343.0,201,493,0.408,,,,220,345,0.638,,,310.0,354,,,,199,622,Dick McGuire</t>
  </si>
  <si>
    <t>77537,1954-55,00,1610612752,NYK,29.0,71,,2310.0,226,581,0.389,,,,195,303,0.644,,,322.0,542,,,,143,647,Dick McGuire</t>
  </si>
  <si>
    <t>77537,1955-56,00,1610612752,NYK,30.0,62,,1685.0,152,438,0.347,,,,121,193,0.627,,,220.0,362,,,,146,425,Dick McGuire</t>
  </si>
  <si>
    <t>77537,1956-57,00,1610612752,NYK,31.0,72,,1191.0,140,366,0.383,,,,105,163,0.644,,,146.0,222,,,,103,385,Dick McGuire</t>
  </si>
  <si>
    <t>76094,1984-85,00,1610612752,NYK,25.0,75,50.0,1404.0,209,445,0.47,0.0,0.0,0.0,91,192,0.474,108.0,222.0,330.0,39,38.0,40.0,141.0,279,509,Ken Bannister</t>
  </si>
  <si>
    <t>76094,1985-86,00,1610612752,NYK,26.0,70,15.0,1405.0,235,479,0.491,0.0,1.0,0.0,131,249,0.526,89.0,233.0,322.0,42,42.0,24.0,129.0,208,601,Ken Bannister</t>
  </si>
  <si>
    <t>201565,2016-17,00,1610612752,NYK,28.0,64,64.0,2082.0,460,977,0.471,13.0,60.0,0.217,221,253,0.874,66.0,180.0,246.0,283,44.0,17.0,147.0,84,1154,Derrick Rose</t>
  </si>
  <si>
    <t>201565,2020-21,00,1610612752,NYK,32.0,35,3.0,937.0,208,427,0.487,37.0,90.0,0.411,68,77,0.883,14.0,87.0,101.0,146,31.0,15.0,49.0,39,521,Derrick Rose</t>
  </si>
  <si>
    <t>201565,2021-22,00,1610612752,NYK,33.0,26,4.0,636.0,122,274,0.445,37.0,92.0,0.402,30,31,0.968,21.0,57.0,78.0,103,22.0,12.0,39.0,15,311,Derrick Rose</t>
  </si>
  <si>
    <t>201565,2022-23,00,1610612752,NYK,34.0,27,0.0,338.0,61,159,0.384,19.0,63.0,0.302,11,12,0.917,8.0,32.0,40.0,46,7.0,5.0,22.0,18,152,Derrick Rose</t>
  </si>
  <si>
    <t>77535,1973-74,00,1610612752,NYK,22.0,2,,10.0,2,4,0.5,,,,0,0,,0.0,2.0,2.0,1,0.0,0.0,,2,4,Allie McGuire</t>
  </si>
  <si>
    <t>76081,1953-54,00,1610612752,NYK,26.0,70,,1627.0,170,465,0.366,,,,134,177,0.757,,,183.0,117,,,,195,474,Jim Baechtold</t>
  </si>
  <si>
    <t>76081,1954-55,00,1610612752,NYK,27.0,72,,2536.0,362,898,0.403,,,,279,339,0.823,,,307.0,218,,,,202,1003,Jim Baechtold</t>
  </si>
  <si>
    <t>76081,1955-56,00,1610612752,NYK,28.0,70,,1738.0,268,695,0.386,,,,233,291,0.801,,,220.0,163,,,,156,769,Jim Baechtold</t>
  </si>
  <si>
    <t>76081,1956-57,00,1610612752,NYK,29.0,45,,462.0,75,197,0.381,,,,66,88,0.75,,,80.0,33,,,,39,216,Jim Baechtold</t>
  </si>
  <si>
    <t>77536,1951-52,00,1610612752,NYK,23.0,59,,788.0,72,167,0.431,,,,64,122,0.525,,,121.0,107,,,,136,208,Al McGuire</t>
  </si>
  <si>
    <t>77536,1952-53,00,1610612752,NYK,24.0,58,,1231.0,112,287,0.39,,,,128,201,0.637,,,167.0,145,,,,206,352,Al McGuire</t>
  </si>
  <si>
    <t>77536,1953-54,00,1610612752,NYK,25.0,64,,849.0,58,177,0.328,,,,58,133,0.436,,,121.0,103,,,,144,174,Al McGuire</t>
  </si>
  <si>
    <t>76107,1965-66,00,1610612752,NYK,29.0,75,,2589.0,631,1344,0.469,,,,467,605,0.772,,,310.0,259,,,,235,1729,Dick Barnett</t>
  </si>
  <si>
    <t>76107,1966-67,00,1610612752,NYK,30.0,67,,1969.0,454,949,0.478,,,,231,295,0.783,,,226.0,161,,,,185,1139,Dick Barnett</t>
  </si>
  <si>
    <t>76107,1967-68,00,1610612752,NYK,31.0,81,,2488.0,559,1159,0.482,,,,343,440,0.78,,,238.0,242,,,,222,1461,Dick Barnett</t>
  </si>
  <si>
    <t>76107,1968-69,00,1610612752,NYK,32.0,82,,2953.0,565,1220,0.463,,,,312,403,0.774,,,251.0,291,,,,239,1442,Dick Barnett</t>
  </si>
  <si>
    <t>76107,1969-70,00,1610612752,NYK,33.0,82,,2772.0,494,1039,0.475,,,,232,325,0.714,,,221.0,298,,,,220,1220,Dick Barnett</t>
  </si>
  <si>
    <t>76107,1970-71,00,1610612752,NYK,34.0,82,,2843.0,540,1184,0.456,,,,193,278,0.694,,,238.0,225,,,,232,1273,Dick Barnett</t>
  </si>
  <si>
    <t>76107,1971-72,00,1610612752,NYK,35.0,79,,2256.0,401,918,0.437,,,,162,215,0.753,,,153.0,198,,,,229,964,Dick Barnett</t>
  </si>
  <si>
    <t>76107,1972-73,00,1610612752,NYK,36.0,51,,514.0,88,226,0.389,,,,16,30,0.533,,,41.0,50,,,,52,192,Dick Barnett</t>
  </si>
  <si>
    <t>76107,1973-74,00,1610612752,NYK,37.0,5,,58.0,10,26,0.385,,,,2,3,0.667,1.0,3.0,4.0,6,1.0,0.0,,2,22,Dick Barnett</t>
  </si>
  <si>
    <t>1503,2009-10,00,1610612752,NYK,31.0,24,24.0,627.0,84,216,0.389,15.0,62.0,0.242,43,57,0.754,22.0,67.0,89.0,93,15.0,12.0,43.0,38,226,Tracy McGrady</t>
  </si>
  <si>
    <t>2546,2010-11,00,1610612752,NYK,27.0,27,27.0,977.0,247,536,0.461,53.0,125.0,0.424,164,188,0.872,41.0,140.0,181.0,81,25.0,15.0,64.0,90,711,Carmelo Anthony</t>
  </si>
  <si>
    <t>2546,2011-12,00,1610612752,NYK,28.0,55,55.0,1876.0,441,1025,0.43,68.0,203.0,0.335,295,367,0.804,88.0,256.0,344.0,200,62.0,24.0,144.0,156,1245,Carmelo Anthony</t>
  </si>
  <si>
    <t>2546,2012-13,00,1610612752,NYK,29.0,67,67.0,2482.0,669,1489,0.449,157.0,414.0,0.379,425,512,0.83,134.0,326.0,460.0,171,52.0,32.0,175.0,205,1920,Carmelo Anthony</t>
  </si>
  <si>
    <t>2546,2013-14,00,1610612752,NYK,30.0,77,77.0,2982.0,743,1643,0.452,167.0,415.0,0.402,459,541,0.848,145.0,477.0,622.0,242,95.0,51.0,198.0,224,2112,Carmelo Anthony</t>
  </si>
  <si>
    <t>2546,2014-15,00,1610612752,NYK,31.0,40,40.0,1428.0,358,806,0.444,61.0,179.0,0.341,189,237,0.797,72.0,192.0,264.0,122,40.0,17.0,89.0,87,966,Carmelo Anthony</t>
  </si>
  <si>
    <t>2546,2015-16,00,1610612752,NYK,32.0,72,72.0,2530.0,567,1307,0.434,105.0,310.0,0.339,334,403,0.829,98.0,458.0,556.0,299,62.0,38.0,176.0,180,1573,Carmelo Anthony</t>
  </si>
  <si>
    <t>2546,2016-17,00,1610612752,NYK,33.0,74,74.0,2538.0,602,1389,0.433,151.0,421.0,0.359,304,365,0.833,62.0,376.0,438.0,213,60.0,34.0,153.0,198,1659,Carmelo Anthony</t>
  </si>
  <si>
    <t>77531,1963-64,00,1610612752,NYK,24.0,74,,1784.0,456,937,0.487,,,,204,282,0.723,,,414.0,121,,,,217,1116,Bill McGill</t>
  </si>
  <si>
    <t>202332,2013-14,00,1610612752,NYK,25.0,46,2.0,330.0,33,61,0.541,0.0,0.0,0.0,26,30,0.867,37.0,92.0,129.0,14,8.0,30.0,18.0,40,92,Cole Aldrich</t>
  </si>
  <si>
    <t>202332,2014-15,00,1610612752,NYK,26.0,61,16.0,976.0,144,301,0.478,0.0,0.0,0.0,50,64,0.781,101.0,237.0,338.0,75,37.0,65.0,59.0,122,338,Cole Aldrich</t>
  </si>
  <si>
    <t>76099,1978-79,00,1610612752,NYK,24.0,22,,329.0,44,102,0.431,,,,14,20,0.7,31.0,52.0,83.0,9,6.0,7.0,20.0,45,102,Tom Barker</t>
  </si>
  <si>
    <t>77529,1948-49,00,1610612752,NYK,22.0,51,,,62,195,0.318,,,,52,88,0.591,,,,51,,,,104,176,Mel McGaha</t>
  </si>
  <si>
    <t>1627853,2021-22,00,1610612752,NYK,28.0,10,0.0,76.0,6,12,0.5,4.0,9.0,0.444,0,0,0.0,0.0,8.0,8.0,4,1.0,0.0,3.0,5,16,Ryan Arcidiacono</t>
  </si>
  <si>
    <t>1627853,2022-23,00,1610612752,NYK,29.0,11,0.0,26.0,1,5,0.2,1.0,3.0,0.333,0,0,0.0,0.0,4.0,4.0,2,2.0,0.0,1.0,3,3,Ryan Arcidiacono</t>
  </si>
  <si>
    <t>1627853,2023-24,00,1610612752,NYK,30.0,20,0.0,45.0,0,6,0.0,0.0,6.0,0.0,0,0,0.0,0.0,8.0,8.0,4,2.0,0.0,2.0,5,0,Ryan Arcidiacono</t>
  </si>
  <si>
    <t>1497,2010-11,00,1610612752,NYK,34.0,21,21.0,664.0,104,258,0.403,41.0,125.0,0.328,119,132,0.902,13.0,52.0,65.0,116,19.0,2.0,48.0,52,368,Chauncey Billups</t>
  </si>
  <si>
    <t>686,2003-04,00,1610612752,NYK,29.0,18,6.0,422.0,65,142,0.458,0.0,0.0,0.0,22,38,0.579,31.0,88.0,119.0,20,12.0,11.0,27.0,46,152,Antonio McDyess</t>
  </si>
  <si>
    <t>203926,2017-18,00,1610612752,NYK,26.0,55,1.0,1172.0,151,328,0.46,53.0,137.0,0.387,40,53,0.755,33.0,101.0,134.0,50,10.0,12.0,34.0,73,395,Doug McDermott</t>
  </si>
  <si>
    <t>78061,1955-56,00,1610612752,NYK,21.0,4,,23.0,5,10,0.5,,,,1,2,0.5,,,3.0,1,,,,4,11,Bob Santini</t>
  </si>
  <si>
    <t>192,1998-99,00,1610612752,NYK,30.0,15,0.0,206.0,17,56,0.304,8.0,29.0,0.276,1,4,0.25,3.0,17.0,20.0,8,3.0,1.0,5.0,17,43,Dennis Scott</t>
  </si>
  <si>
    <t>1365,1991-92,00,1610612752,NYK,29.0,82,82.0,2344.0,488,1021,0.478,12.0,39.0,0.308,137,192,0.714,176.0,284.0,460.0,149,57.0,24.0,147.0,241,1125,Xavier McDaniel</t>
  </si>
  <si>
    <t>76034,1959-60,00,1610612752,NYK,22.0,33,,373.0,55,143,0.385,,,,23,42,0.548,,,69.0,29,,,,32,133,Bob Anderegg</t>
  </si>
  <si>
    <t>1627782,2021-22,00,1610612752,NYK,27.0,3,0.0,19.0,1,4,0.25,1.0,2.0,0.5,2,4,0.5,0.0,1.0,1.0,1,0.0,0.0,0.0,1,5,Wayne Selden</t>
  </si>
  <si>
    <t>77516,1991-92,00,1610612752,NYK,30.0,22,0.0,108.0,14,33,0.424,0.0,0.0,0.0,14,21,0.667,14.0,20.0,34.0,9,2.0,0.0,8.0,18,42,Tim McCormick</t>
  </si>
  <si>
    <t>962,1996-97,00,1610612752,NYK,23.0,35,0.0,189.0,26,68,0.382,4.0,14.0,0.286,8,14,0.571,8.0,15.0,23.0,13,7.0,9.0,17.0,38,64,Walter McCarty</t>
  </si>
  <si>
    <t>203648,2015-16,00,1610612752,NYK,23.0,2,0.0,6.0,3,4,0.75,0.0,1.0,0.0,0,0,0.0,0.0,1.0,1.0,0,0.0,0.0,0.0,2,6,Thanasis Antetokounmpo</t>
  </si>
  <si>
    <t>77500,1957-58,00,1610612752,NYK,22.0,36,,295.0,22,100,0.22,,,,25,37,0.676,,,45.0,54,,,,34,69,Brendan McCann</t>
  </si>
  <si>
    <t>77500,1958-59,00,1610612752,NYK,23.0,1,,7.0,0,3,0.0,,,,0,0,,,,1.0,1,,,,1,0,Brendan McCann</t>
  </si>
  <si>
    <t>77500,1959-60,00,1610612752,NYK,24.0,4,,29.0,1,10,0.1,,,,3,3,1.0,,,4.0,10,,,,2,5,Brendan McCann</t>
  </si>
  <si>
    <t>1630540,2021-22,00,1610612752,NYK,21.0,40,2.0,372.0,32,108,0.296,17.0,68.0,0.25,8,12,0.667,4.0,38.0,42.0,41,14.0,1.0,5.0,45,89,Miles McBride</t>
  </si>
  <si>
    <t>1630540,2022-23,00,1610612752,NYK,22.0,64,2.0,760.0,77,215,0.358,40.0,134.0,0.299,28,42,0.667,13.0,37.0,50.0,72,37.0,8.0,25.0,60,222,Miles McBride</t>
  </si>
  <si>
    <t>1630540,2023-24,00,1610612752,NYK,23.0,68,14.0,1328.0,205,454,0.452,109.0,266.0,0.41,43,50,0.86,31.0,69.0,100.0,114,50.0,7.0,30.0,108,562,Miles McBride</t>
  </si>
  <si>
    <t>77893,1989-90,00,1610612752,NYK,24.0,31,0.0,193.0,19,58,0.328,0.0,2.0,0.0,2,3,0.667,9.0,19.0,28.0,11,3.0,4.0,4.0,27,40,Brian Quinnett</t>
  </si>
  <si>
    <t>77893,1990-91,00,1610612752,NYK,25.0,68,5.0,1011.0,139,303,0.459,15.0,43.0,0.349,26,36,0.722,65.0,80.0,145.0,53,22.0,13.0,52.0,100,319,Brian Quinnett</t>
  </si>
  <si>
    <t>77893,1991-92,00,1610612752,NYK,26.0,24,0.0,190.0,28,73,0.384,10.0,26.0,0.385,8,14,0.571,9.0,15.0,24.0,7,7.0,6.0,8.0,21,74,Brian Quinnett</t>
  </si>
  <si>
    <t>203901,2019-20,00,1610612752,NYK,26.0,45,36.0,1246.0,193,440,0.439,14.0,69.0,0.203,49,86,0.57,52.0,160.0,212.0,323,70.0,17.0,96.0,89,449,Elfrid Payton</t>
  </si>
  <si>
    <t>203901,2020-21,00,1610612752,NYK,27.0,63,63.0,1484.0,269,622,0.432,28.0,98.0,0.286,73,107,0.682,64.0,152.0,216.0,203,47.0,9.0,103.0,116,639,Elfrid Payton</t>
  </si>
  <si>
    <t>78209,1961-62,00,1610612752,NYK,23.0,9,,83.0,8,33,0.242,,,,7,8,0.875,,,16.0,7,,,,6,23,Bill Smith</t>
  </si>
  <si>
    <t>78047,1980-81,00,1610612752,NYK,29.0,79,,2865.0,508,1095,0.464,8.0,26.0,0.308,268,343,0.781,109.0,244.0,353.0,257,99.0,8.0,212.0,248,1292,Campy Russell</t>
  </si>
  <si>
    <t>78047,1981-82,00,1610612752,NYK,30.0,77,63.0,2358.0,410,858,0.478,25.0,57.0,0.439,228,294,0.776,86.0,150.0,236.0,284,77.0,12.0,195.0,221,1073,Campy Russell</t>
  </si>
  <si>
    <t>77498,1976-77,00,1610612752,NYK,25.0,52,,2031.0,558,1045,0.534,,,,271,358,0.757,133.0,529.0,662.0,140,61.0,65.0,,188,1387,Bob McAdoo</t>
  </si>
  <si>
    <t>77498,1977-78,00,1610612752,NYK,26.0,79,,3182.0,814,1564,0.52,,,,469,645,0.727,236.0,774.0,1010.0,298,105.0,126.0,346.0,297,2097,Bob McAdoo</t>
  </si>
  <si>
    <t>77498,1978-79,00,1610612752,NYK,27.0,40,,1594.0,429,793,0.541,,,,218,335,0.651,94.0,285.0,379.0,128,62.0,47.0,153.0,134,1076,Bob McAdoo</t>
  </si>
  <si>
    <t>77089,1957-58,00,1610612752,NYK,29.0,18,,384.0,51,131,0.389,,,,24,43,0.558,,,86.0,34,,,,31,126,Mel Hutchins</t>
  </si>
  <si>
    <t>76750,1967-68,00,1610612752,NYK,23.0,74,,1588.0,256,568,0.451,,,,154,235,0.655,,,313.0,305,,,,199,666,Walt Frazier</t>
  </si>
  <si>
    <t>76750,1968-69,00,1610612752,NYK,24.0,80,,2949.0,531,1052,0.505,,,,341,457,0.746,,,499.0,635,,,,245,1403,Walt Frazier</t>
  </si>
  <si>
    <t>76750,1969-70,00,1610612752,NYK,25.0,77,,3040.0,600,1158,0.518,,,,409,547,0.748,,,465.0,629,,,,203,1609,Walt Frazier</t>
  </si>
  <si>
    <t>76750,1970-71,00,1610612752,NYK,26.0,80,,3455.0,651,1317,0.494,,,,434,557,0.779,,,544.0,536,,,,240,1736,Walt Frazier</t>
  </si>
  <si>
    <t>76750,1971-72,00,1610612752,NYK,27.0,77,,3126.0,669,1307,0.512,,,,450,557,0.808,,,513.0,446,,,,185,1788,Walt Frazier</t>
  </si>
  <si>
    <t>76750,1972-73,00,1610612752,NYK,28.0,78,,3181.0,681,1389,0.49,,,,286,350,0.817,,,570.0,461,,,,186,1648,Walt Frazier</t>
  </si>
  <si>
    <t>76750,1973-74,00,1610612752,NYK,29.0,80,,3338.0,674,1429,0.472,,,,295,352,0.838,120.0,416.0,536.0,551,161.0,15.0,,212,1643,Walt Frazier</t>
  </si>
  <si>
    <t>76750,1974-75,00,1610612752,NYK,30.0,78,,3204.0,672,1391,0.483,,,,331,400,0.828,90.0,375.0,465.0,474,190.0,14.0,,205,1675,Walt Frazier</t>
  </si>
  <si>
    <t>76750,1975-76,00,1610612752,NYK,31.0,59,,2427.0,470,969,0.485,,,,186,226,0.823,79.0,321.0,400.0,351,106.0,9.0,,163,1126,Walt Frazier</t>
  </si>
  <si>
    <t>76750,1976-77,00,1610612752,NYK,32.0,76,,2687.0,532,1089,0.489,,,,259,336,0.771,52.0,241.0,293.0,403,132.0,9.0,,194,1323,Walt Frazier</t>
  </si>
  <si>
    <t>201163,2007-08,00,1610612752,NYK,21.0,35,16.0,685.0,106,242,0.438,9.0,30.0,0.3,34,54,0.63,38.0,89.0,127.0,33,15.0,16.0,27.0,83,255,Wilson Chandler</t>
  </si>
  <si>
    <t>201163,2008-09,00,1610612752,NYK,22.0,82,70.0,2735.0,455,1054,0.432,103.0,314.0,0.328,171,215,0.795,91.0,354.0,445.0,170,71.0,75.0,139.0,250,1184,Wilson Chandler</t>
  </si>
  <si>
    <t>201163,2009-10,00,1610612752,NYK,23.0,65,64.0,2320.0,412,860,0.479,40.0,150.0,0.267,129,160,0.806,93.0,255.0,348.0,138,46.0,49.0,108.0,184,993,Wilson Chandler</t>
  </si>
  <si>
    <t>201163,2010-11,00,1610612752,NYK,24.0,51,30.0,1759.0,328,712,0.461,86.0,245.0,0.351,96,119,0.807,62.0,241.0,303.0,86,34.0,70.0,67.0,152,838,Wilson Chandler</t>
  </si>
  <si>
    <t>77494,1975-76,00,1610612752,NYK,28.0,13,,64.0,17,46,0.37,,,,3,3,1.0,1.0,7.0,8.0,4,0.0,0.0,,18,37,Ken Mayfield</t>
  </si>
  <si>
    <t>77087,1979-80,00,1610612752,NYK,22.0,71,,923.0,94,241,0.39,3.0,17.0,0.176,28,38,0.737,14.0,44.0,58.0,159,39.0,5.0,73.0,83,219,Geoff Huston</t>
  </si>
  <si>
    <t>1883,2005-06,00,1610612752,NYK,29.0,24,15.0,659.0,84,190,0.442,7.0,13.0,0.538,83,109,0.761,14.0,57.0,71.0,83,23.0,6.0,58.0,62,258,Steve Francis</t>
  </si>
  <si>
    <t>1883,2006-07,00,1610612752,NYK,30.0,44,30.0,1237.0,140,343,0.408,42.0,111.0,0.378,175,211,0.829,33.0,124.0,157.0,170,41.0,12.0,100.0,126,497,Steve Francis</t>
  </si>
  <si>
    <t>2199,2011-12,00,1610612752,NYK,29.0,62,62.0,2061.0,241,355,0.679,0.0,2.0,0.0,217,315,0.689,212.0,400.0,612.0,56,56.0,89.0,102.0,186,699,Tyson Chandler</t>
  </si>
  <si>
    <t>2199,2012-13,00,1610612752,NYK,30.0,66,66.0,2164.0,255,400,0.637,0.0,0.0,0.0,179,258,0.694,269.0,434.0,703.0,62,42.0,75.0,87.0,188,689,Tyson Chandler</t>
  </si>
  <si>
    <t>2199,2013-14,00,1610612752,NYK,31.0,55,55.0,1662.0,191,322,0.593,0.0,1.0,0.0,98,155,0.632,159.0,370.0,529.0,59,36.0,63.0,71.0,145,480,Tyson Chandler</t>
  </si>
  <si>
    <t>2747,2011-12,00,1610612752,NYK,26.0,35,1.0,967.0,165,405,0.407,67.0,193.0,0.347,39,55,0.709,29.0,107.0,136.0,84,54.0,6.0,46.0,87,436,JR Smith</t>
  </si>
  <si>
    <t>2747,2012-13,00,1610612752,NYK,27.0,80,0.0,2678.0,527,1249,0.422,155.0,436.0,0.356,237,311,0.762,64.0,361.0,425.0,218,100.0,24.0,134.0,226,1446,JR Smith</t>
  </si>
  <si>
    <t>2747,2013-14,00,1610612752,NYK,28.0,74,37.0,2421.0,396,955,0.415,189.0,480.0,0.394,90,138,0.652,35.0,261.0,296.0,219,65.0,20.0,108.0,196,1071,JR Smith</t>
  </si>
  <si>
    <t>2747,2014-15,00,1610612752,NYK,29.0,24,6.0,619.0,101,251,0.402,32.0,90.0,0.356,27,39,0.692,4.0,54.0,58.0,81,18.0,4.0,45.0,44,261,JR Smith</t>
  </si>
  <si>
    <t>78045,1966-67,00,1610612752,NYK,23.0,77,,1696.0,344,789,0.436,,,,179,228,0.785,,,251.0,187,,,,174,867,Cazzie Russell</t>
  </si>
  <si>
    <t>78045,1967-68,00,1610612752,NYK,24.0,82,,2296.0,551,1192,0.462,,,,282,349,0.808,,,374.0,195,,,,223,1384,Cazzie Russell</t>
  </si>
  <si>
    <t>78045,1968-69,00,1610612752,NYK,25.0,50,,1645.0,362,804,0.45,,,,191,240,0.796,,,209.0,115,,,,140,915,Cazzie Russell</t>
  </si>
  <si>
    <t>78045,1969-70,00,1610612752,NYK,26.0,78,,1563.0,385,773,0.498,,,,124,160,0.775,,,236.0,135,,,,137,894,Cazzie Russell</t>
  </si>
  <si>
    <t>78045,1970-71,00,1610612752,NYK,27.0,57,,1056.0,216,504,0.429,,,,92,119,0.773,,,192.0,77,,,,74,524,Cazzie Russell</t>
  </si>
  <si>
    <t>77489,1968-69,00,1610612752,NYK,23.0,48,,560.0,81,223,0.363,,,,42,58,0.724,,,114.0,35,,,,64,204,Don May</t>
  </si>
  <si>
    <t>77489,1969-70,00,1610612752,NYK,24.0,37,,238.0,39,101,0.386,,,,18,19,0.947,,,52.0,17,,,,42,96,Don May</t>
  </si>
  <si>
    <t>1630624,2021-22,00,1610612752,NYK,22.0,2,0.0,8.0,0,2,0.0,0.0,0.0,0.0,0,0,0.0,1.0,0.0,1.0,1,1.0,0.0,1.0,1,0,Feron Hunt</t>
  </si>
  <si>
    <t>203095,2021-22,00,1610612752,NYK,29.0,80,80.0,2358.0,402,965,0.417,241.0,619.0,0.389,80,113,0.708,34.0,176.0,210.0,171,79.0,20.0,105.0,180,1125,Evan Fournier</t>
  </si>
  <si>
    <t>203095,2022-23,00,1610612752,NYK,30.0,27,7.0,459.0,56,166,0.337,35.0,114.0,0.307,18,21,0.857,4.0,45.0,49.0,36,16.0,3.0,22.0,46,165,Evan Fournier</t>
  </si>
  <si>
    <t>203095,2023-24,00,1610612752,NYK,31.0,3,0.0,39.0,4,20,0.2,2.0,15.0,0.133,2,2,1.0,0.0,4.0,4.0,3,4.0,0.0,1.0,4,12,Evan Fournier</t>
  </si>
  <si>
    <t>76370,1984-85,00,1610612752,NYK,26.0,53,2.0,653.0,28,86,0.326,0.0,0.0,0.0,22,39,0.564,53.0,113.0,166.0,19,12.0,42.0,45.0,123,78,Ron Cavenall</t>
  </si>
  <si>
    <t>1627758,2016-17,00,1610612752,NYK,24.0,52,13.0,857.0,82,217,0.378,23.0,86.0,0.267,28,43,0.651,12.0,86.0,98.0,107,34.0,8.0,56.0,74,215,Ron Baker</t>
  </si>
  <si>
    <t>1627758,2017-18,00,1610612752,NYK,25.0,29,1.0,385.0,20,59,0.339,11.0,33.0,0.333,20,26,0.769,5.0,25.0,30.0,47,26.0,6.0,18.0,33,71,Ron Baker</t>
  </si>
  <si>
    <t>1627758,2018-19,00,1610612752,NYK,26.0,11,0.0,107.0,4,16,0.25,1.0,9.0,0.111,5,6,0.833,1.0,6.0,7.0,13,5.0,0.0,3.0,16,14,Ron Baker</t>
  </si>
  <si>
    <t>202083,2018-19,00,1610612752,NYK,32.0,2,1.0,54.0,4,19,0.211,2.0,10.0,0.2,4,5,0.8,1.0,2.0,3.0,5,1.0,1.0,2.0,2,14,Wesley Matthews</t>
  </si>
  <si>
    <t>1716,2008-09,00,1610612752,NYK,30.0,25,14.0,687.0,97,249,0.39,35.0,91.0,0.385,50,63,0.794,10.0,55.0,65.0,60,36.0,5.0,35.0,45,279,Larry Hughes</t>
  </si>
  <si>
    <t>1716,2009-10,00,1610612752,NYK,31.0,31,14.0,820.0,102,279,0.366,28.0,97.0,0.289,65,79,0.823,16.0,94.0,110.0,109,40.0,11.0,56.0,53,297,Larry Hughes</t>
  </si>
  <si>
    <t>76729,1962-63,00,1610612752,NYK,24.0,11,,83.0,20,51,0.392,,,,13,15,0.867,,,16.0,5,,,,8,53,Jack Foley</t>
  </si>
  <si>
    <t>1509,2006-07,00,1610612752,NYK,32.0,18,0.0,95.0,7,22,0.318,0.0,0.0,0.0,8,12,0.667,12.0,19.0,31.0,0,3.0,10.0,6.0,10,22,Kelvin Cato</t>
  </si>
  <si>
    <t>77483,1970-71,00,1610612752,NYK,22.0,30,,164.0,25,66,0.379,,,,11,20,0.55,,,56.0,4,,,,25,61,Eddie Mast</t>
  </si>
  <si>
    <t>77483,1971-72,00,1610612752,NYK,23.0,40,,270.0,39,112,0.348,,,,25,41,0.61,,,73.0,10,,,,39,103,Eddie Mast</t>
  </si>
  <si>
    <t>275,1996-97,00,1610612752,NYK,26.0,81,81.0,2681.0,437,1032,0.423,148.0,384.0,0.385,175,218,0.803,43.0,197.0,240.0,179,41.0,18.0,167.0,233,1197,Allan Houston</t>
  </si>
  <si>
    <t>275,1997-98,00,1610612752,NYK,27.0,82,82.0,2848.0,571,1277,0.447,82.0,213.0,0.385,285,335,0.851,43.0,231.0,274.0,212,63.0,24.0,200.0,207,1509,Allan Houston</t>
  </si>
  <si>
    <t>275,1998-99,00,1610612752,NYK,28.0,50,50.0,1815.0,294,703,0.418,57.0,140.0,0.407,168,195,0.862,20.0,132.0,152.0,137,35.0,9.0,130.0,115,813,Allan Houston</t>
  </si>
  <si>
    <t>275,1999-00,00,1610612752,NYK,29.0,82,82.0,3169.0,614,1271,0.483,106.0,243.0,0.436,280,334,0.838,38.0,233.0,271.0,224,65.0,14.0,186.0,219,1614,Allan Houston</t>
  </si>
  <si>
    <t>275,2000-01,00,1610612752,NYK,30.0,78,78.0,2858.0,542,1208,0.449,96.0,252.0,0.381,279,307,0.909,20.0,263.0,283.0,173,52.0,10.0,161.0,190,1459,Allan Houston</t>
  </si>
  <si>
    <t>275,2001-02,00,1610612752,NYK,31.0,77,77.0,2915.0,568,1301,0.437,136.0,346.0,0.393,295,339,0.87,37.0,215.0,252.0,190,54.0,10.0,170.0,182,1567,Allan Houston</t>
  </si>
  <si>
    <t>275,2002-03,00,1610612752,NYK,32.0,82,82.0,3110.0,652,1465,0.445,178.0,450.0,0.396,363,395,0.919,26.0,205.0,231.0,220,54.0,7.0,178.0,191,1845,Allan Houston</t>
  </si>
  <si>
    <t>275,2003-04,00,1610612752,NYK,33.0,50,50.0,1797.0,340,781,0.435,87.0,202.0,0.431,157,172,0.913,20.0,101.0,121.0,99,38.0,2.0,102.0,105,924,Allan Houston</t>
  </si>
  <si>
    <t>275,2004-05,00,1610612752,NYK,34.0,20,11.0,532.0,85,205,0.415,31.0,80.0,0.388,36,43,0.837,4.0,19.0,23.0,42,8.0,2.0,21.0,40,237,Allan Houston</t>
  </si>
  <si>
    <t>76728,1975-76,00,1610612752,NYK,23.0,2,,14.0,1,5,0.2,,,,0,0,,1.0,2.0,3.0,0,1.0,0.0,,4,2,Larry Fogle</t>
  </si>
  <si>
    <t>76362,1979-80,00,1610612752,NYK,22.0,82,82.0,3150.0,665,1215,0.547,0.0,0.0,0.0,451,566,0.797,194.0,532.0,726.0,165,48.0,101.0,222.0,279,1781,Bill Cartwright</t>
  </si>
  <si>
    <t>76362,1980-81,00,1610612752,NYK,23.0,82,81.0,2925.0,619,1118,0.554,0.0,1.0,0.0,408,518,0.788,161.0,452.0,613.0,111,48.0,83.0,200.0,259,1646,Bill Cartwright</t>
  </si>
  <si>
    <t>76362,1981-82,00,1610612752,NYK,24.0,72,50.0,2060.0,390,694,0.562,0.0,0.0,0.0,257,337,0.763,116.0,305.0,421.0,87,48.0,65.0,166.0,208,1037,Bill Cartwright</t>
  </si>
  <si>
    <t>76362,1982-83,00,1610612752,NYK,25.0,82,82.0,2468.0,455,804,0.566,0.0,0.0,0.0,380,511,0.744,185.0,405.0,590.0,136,41.0,127.0,204.0,315,1290,Bill Cartwright</t>
  </si>
  <si>
    <t>76362,1983-84,00,1610612752,NYK,26.0,77,77.0,2487.0,453,808,0.561,0.0,1.0,0.0,404,502,0.805,195.0,454.0,649.0,107,44.0,97.0,200.0,262,1310,Bill Cartwright</t>
  </si>
  <si>
    <t>76362,1985-86,00,1610612752,NYK,28.0,2,0.0,36.0,3,7,0.429,0.0,0.0,0.0,6,10,0.6,2.0,8.0,10.0,5,1.0,1.0,6.0,6,12,Bill Cartwright</t>
  </si>
  <si>
    <t>76362,1986-87,00,1610612752,NYK,29.0,58,50.0,1989.0,335,631,0.531,0.0,0.0,0.0,346,438,0.79,132.0,313.0,445.0,96,40.0,26.0,128.0,188,1016,Bill Cartwright</t>
  </si>
  <si>
    <t>76362,1987-88,00,1610612752,NYK,30.0,82,4.0,1676.0,287,528,0.544,0.0,0.0,0.0,340,426,0.798,127.0,257.0,384.0,85,43.0,43.0,135.0,234,914,Bill Cartwright</t>
  </si>
  <si>
    <t>200798,2008-09,00,1610612752,NYK,24.0,2,0.0,8.0,0,3,0.0,0.0,0.0,0.0,0,2,0.0,1.0,1.0,2.0,0,0.0,0.0,0.0,0,0,Cheikh Samb</t>
  </si>
  <si>
    <t>2427,2010-11,00,1610612752,NYK,30.0,26,0.0,319.0,26,77,0.338,16.0,44.0,0.364,7,10,0.7,5.0,38.0,43.0,20,6.0,2.0,6.0,25,75,Roger Mason Jr.</t>
  </si>
  <si>
    <t>1627863,2021-22,00,1610612752,NYK,29.0,1,0.0,3.0,0,1,0.0,0.0,1.0,0.0,0,0,0.0,0.0,0.0,0.0,0,0.0,0.0,0.0,0,0,Danuel House Jr.</t>
  </si>
  <si>
    <t>1630201,2023-24,00,1610612752,NYK,26.0,14,0.0,61.0,9,23,0.391,4.0,13.0,0.308,9,11,0.818,0.0,6.0,6.0,6,1.0,0.0,3.0,3,31,Malachi Flynn</t>
  </si>
  <si>
    <t>76360,1980-81,00,1610612752,NYK,23.0,60,,536.0,59,179,0.33,0.0,3.0,0.0,51,69,0.739,30.0,39.0,69.0,76,22.0,2.0,38.0,68,169,Reggie Carter</t>
  </si>
  <si>
    <t>76360,1981-82,00,1610612752,NYK,24.0,75,1.0,923.0,119,280,0.425,0.0,0.0,,64,80,0.8,35.0,60.0,95.0,130,36.0,6.0,78.0,124,302,Reggie Carter</t>
  </si>
  <si>
    <t>77952,1978-79,00,1610612752,NYK,24.0,72,,1218.0,200,483,0.414,,,,69,128,0.539,78.0,155.0,233.0,213,100.0,18.0,141.0,188,469,Micheal Ray Richardson</t>
  </si>
  <si>
    <t>77952,1979-80,00,1610612752,NYK,25.0,82,,3060.0,502,1063,0.472,27.0,110.0,0.245,223,338,0.66,151.0,388.0,539.0,832,265.0,35.0,359.0,260,1254,Micheal Ray Richardson</t>
  </si>
  <si>
    <t>77952,1980-81,00,1610612752,NYK,26.0,79,,3175.0,523,1116,0.469,23.0,102.0,0.225,224,338,0.663,173.0,372.0,545.0,627,232.0,35.0,302.0,258,1293,Micheal Ray Richardson</t>
  </si>
  <si>
    <t>77952,1981-82,00,1610612752,NYK,27.0,82,79.0,3044.0,619,1343,0.461,19.0,101.0,0.188,212,303,0.7,177.0,388.0,565.0,572,213.0,41.0,291.0,317,1469,Micheal Ray Richardson</t>
  </si>
  <si>
    <t>193,1991-92,00,1610612752,NYK,25.0,82,0.0,2198.0,203,399,0.509,0.0,0.0,0.0,167,260,0.642,216.0,357.0,573.0,106,46.0,20.0,101.0,229,573,Anthony Mason</t>
  </si>
  <si>
    <t>193,1992-93,00,1610612752,NYK,26.0,81,0.0,2482.0,316,629,0.502,0.0,0.0,0.0,199,292,0.682,231.0,409.0,640.0,170,43.0,19.0,137.0,240,831,Anthony Mason</t>
  </si>
  <si>
    <t>193,1993-94,00,1610612752,NYK,27.0,73,12.0,1903.0,206,433,0.476,0.0,1.0,0.0,116,161,0.72,158.0,269.0,427.0,151,31.0,9.0,107.0,190,528,Anthony Mason</t>
  </si>
  <si>
    <t>193,1994-95,00,1610612752,NYK,28.0,77,11.0,2496.0,287,507,0.566,0.0,1.0,0.0,191,298,0.641,182.0,468.0,650.0,240,69.0,21.0,123.0,253,765,Anthony Mason</t>
  </si>
  <si>
    <t>193,1995-96,00,1610612752,NYK,29.0,82,82.0,3457.0,449,798,0.563,0.0,0.0,0.0,298,414,0.72,220.0,544.0,764.0,363,69.0,34.0,211.0,246,1196,Anthony Mason</t>
  </si>
  <si>
    <t>2067,2009-10,00,1610612752,NYK,32.0,18,0.0,371.0,44,133,0.331,15.0,60.0,0.25,12,12,1.0,6.0,34.0,40.0,37,12.0,0.0,20.0,20,115,Eddie House</t>
  </si>
  <si>
    <t>76720,1946-47,00,1610612752,NYK,24.0,29,,0.0,23,121,0.19,,,,36,60,0.6,,,0.0,9,,,,67,82,Bob Fitzgerald</t>
  </si>
  <si>
    <t>76355,1984-85,00,1610612752,NYK,27.0,69,11.0,1279.0,214,476,0.45,11.0,43.0,0.256,109,134,0.813,36.0,59.0,95.0,167,57.0,5.0,109.0,151,548,Butch Carter</t>
  </si>
  <si>
    <t>76355,1985-86,00,1610612752,NYK,28.0,5,0.0,31.0,2,8,0.25,0.0,1.0,0.0,1,1,1.0,2.0,1.0,3.0,3,1.0,0.0,6.0,6,5,Butch Carter</t>
  </si>
  <si>
    <t>77479,1961-62,00,1610612752,NYK,23.0,66,,1018.0,95,292,0.325,,,,37,55,0.673,,,158.0,115,,,,158,227,Ronald Martin</t>
  </si>
  <si>
    <t>77061,1968-69,00,1610612752,NYK,22.0,50,,351.0,53,123,0.431,,,,24,42,0.571,,,94.0,19,,,,77,130,Wilmer Hosket</t>
  </si>
  <si>
    <t>77061,1969-70,00,1610612752,NYK,23.0,36,,235.0,46,91,0.505,,,,26,33,0.788,,,63.0,17,,,,36,118,Wilmer Hosket</t>
  </si>
  <si>
    <t>900,1995-96,00,1610612752,NYK,26.0,2,1.0,17.0,6,10,0.6,0.0,0.0,0.0,0,1,0.0,3.0,0.0,3.0,1,0.0,1.0,0.0,3,12,Matt Fish</t>
  </si>
  <si>
    <t>1853,2010-11,00,1610612752,NYK,36.0,19,0.0,310.0,35,76,0.461,8.0,28.0,0.286,6,6,1.0,7.0,32.0,39.0,43,18.0,5.0,25.0,30,84,Anthony Carter</t>
  </si>
  <si>
    <t>201576,2010-11,00,1610612752,NYK,21.0,17,0.0,127.0,14,45,0.311,1.0,4.0,0.25,6,12,0.5,11.0,29.0,40.0,7,4.0,8.0,10.0,15,35,Anthony Randolph</t>
  </si>
  <si>
    <t>1629033,2020-21,00,1610612752,NYK,25.0,17,0.0,34.0,1,9,0.111,0.0,8.0,0.0,0,0,0.0,0.0,5.0,5.0,1,0.0,0.0,1.0,4,2,Theo Pinson</t>
  </si>
  <si>
    <t>2030,2012-13,00,1610612752,NYK,35.0,18,11.0,431.0,56,93,0.602,0.0,0.0,0.0,17,40,0.425,34.0,61.0,95.0,8,16.0,17.0,16.0,64,129,Kenyon Martin</t>
  </si>
  <si>
    <t>2030,2013-14,00,1610612752,NYK,36.0,32,15.0,633.0,63,123,0.512,0.0,1.0,0.0,11,19,0.579,36.0,98.0,134.0,50,25.0,27.0,26.0,85,137,Kenyon Martin</t>
  </si>
  <si>
    <t>77051,1963-64,00,1610612752,NYK,23.0,59,,988.0,102,247,0.413,,,,81,132,0.614,,,331.0,36,,,,185,285,Tom Hoover</t>
  </si>
  <si>
    <t>77051,1964-65,00,1610612752,NYK,24.0,24,,153.0,13,32,0.406,,,,8,14,0.571,,,58.0,12,,,,37,34,Tom Hoover</t>
  </si>
  <si>
    <t>76715,1970-71,00,1610612752,NYK,24.0,39,,271.0,45,102,0.441,,,,13,27,0.481,,,93.0,17,,,,80,103,Greg Fillmore</t>
  </si>
  <si>
    <t>76715,1971-72,00,1610612752,NYK,25.0,10,,67.0,7,27,0.259,,,,1,3,0.333,,,15.0,3,,,,17,15,Greg Fillmore</t>
  </si>
  <si>
    <t>76342,1987-88,00,1610612752,NYK,28.0,26,0.0,204.0,29,67,0.433,6.0,17.0,0.353,10,11,0.909,6.0,7.0,13.0,32,11.0,4.0,22.0,39,74,Rick Carlisle</t>
  </si>
  <si>
    <t>1628384,2023-24,00,1610612752,NYK,26.0,23,23.0,802.0,125,256,0.488,41.0,104.0,0.394,34,43,0.791,23.0,79.0,102.0,35,40.0,23.0,38.0,57,325,OG Anunoby</t>
  </si>
  <si>
    <t>1628372,2018-19,00,1610612752,NYK,21.0,21,18.0,600.0,121,293,0.413,24.0,83.0,0.289,42,74,0.568,14.0,44.0,58.0,114,27.0,9.0,54.0,47,308,Dennis Smith Jr.</t>
  </si>
  <si>
    <t>1628372,2019-20,00,1610612752,NYK,22.0,34,3.0,537.0,72,211,0.341,16.0,54.0,0.296,27,53,0.509,21.0,57.0,78.0,98,28.0,8.0,58.0,65,187,Dennis Smith Jr.</t>
  </si>
  <si>
    <t>1628372,2020-21,00,1610612752,NYK,23.0,3,0.0,28.0,2,10,0.2,0.0,4.0,0.0,5,6,0.833,0.0,2.0,2.0,3,3.0,0.0,1.0,4,9,Dennis Smith Jr.</t>
  </si>
  <si>
    <t>77481,1986-87,00,1610612752,NYK,24.0,8,0.0,68.0,9,25,0.36,0.0,0.0,0.0,7,8,0.875,2.0,5.0,7.0,0,4.0,2.0,7.0,5,25,Bill Martin</t>
  </si>
  <si>
    <t>77048,1947-48,00,1610612752,NYK,26.0,48,,,195,662,0.295,,,,114,180,0.633,,,,37,,,,159,504,Dick Holub</t>
  </si>
  <si>
    <t>202361,2010-11,00,1610612752,NYK,23.0,82,81.0,2541.0,299,602,0.497,86.0,219.0,0.393,113,147,0.769,105.0,416.0,521.0,155,80.0,17.0,107.0,114,797,Landry Fields</t>
  </si>
  <si>
    <t>202361,2011-12,00,1610612752,NYK,24.0,66,62.0,1894.0,236,513,0.46,31.0,121.0,0.256,77,137,0.562,59.0,219.0,278.0,169,79.0,17.0,102.0,99,580,Landry Fields</t>
  </si>
  <si>
    <t>76338,1992-93,00,1610612752,NYK,31.0,58,13.0,1062.0,194,396,0.49,2.0,5.0,0.4,59,87,0.678,59.0,96.0,155.0,62,34.0,5.0,51.0,150,449,Tony Campbell</t>
  </si>
  <si>
    <t>76338,1993-94,00,1610612752,NYK,32.0,22,11.0,379.0,63,128,0.492,1.0,3.0,0.333,30,37,0.811,28.0,32.0,60.0,31,20.0,1.0,29.0,59,157,Tony Campbell</t>
  </si>
  <si>
    <t>1630193,2020-21,00,1610612752,NYK,22.0,64,3.0,1244.0,229,580,0.395,118.0,303.0,0.389,155,174,0.891,25.0,112.0,137.0,127,30.0,12.0,58.0,114,731,Immanuel Quickley</t>
  </si>
  <si>
    <t>1630193,2021-22,00,1610612752,NYK,23.0,78,3.0,1802.0,284,724,0.392,137.0,396.0,0.346,177,201,0.881,31.0,216.0,247.0,275,54.0,3.0,99.0,167,882,Immanuel Quickley</t>
  </si>
  <si>
    <t>1630193,2022-23,00,1610612752,NYK,24.0,81,21.0,2344.0,419,936,0.448,168.0,454.0,0.37,203,248,0.819,58.0,279.0,337.0,279,80.0,14.0,100.0,166,1209,Immanuel Quickley</t>
  </si>
  <si>
    <t>1630193,2023-24,00,1610612752,NYK,25.0,30,0.0,720.0,152,335,0.454,64.0,162.0,0.395,82,94,0.872,5.0,72.0,77.0,74,16.0,3.0,31.0,44,450,Immanuel Quickley</t>
  </si>
  <si>
    <t>77815,1971-72,00,1610612752,NYK,26.0,28,,151.0,16,60,0.267,,,,8,12,0.667,,,49.0,7,,,,24,40,Charlie Paulk</t>
  </si>
  <si>
    <t>950,2003-04,00,1610612752,NYK,27.0,47,47.0,1839.0,336,780,0.431,50.0,156.0,0.321,209,251,0.833,39.0,107.0,146.0,438,65.0,4.0,152.0,98,931,Stephon Marbury</t>
  </si>
  <si>
    <t>950,2004-05,00,1610612752,NYK,28.0,82,82.0,3281.0,604,1308,0.462,115.0,325.0,0.354,458,549,0.834,50.0,198.0,248.0,668,122.0,6.0,233.0,186,1781,Stephon Marbury</t>
  </si>
  <si>
    <t>950,2005-06,00,1610612752,NYK,29.0,60,60.0,2193.0,349,774,0.451,33.0,104.0,0.317,246,326,0.755,25.0,150.0,175.0,382,63.0,4.0,157.0,143,977,Stephon Marbury</t>
  </si>
  <si>
    <t>950,2006-07,00,1610612752,NYK,30.0,74,74.0,2748.0,395,952,0.415,123.0,345.0,0.357,297,386,0.769,36.0,177.0,213.0,403,71.0,10.0,179.0,185,1210,Stephon Marbury</t>
  </si>
  <si>
    <t>950,2007-08,00,1610612752,NYK,31.0,24,19.0,805.0,111,265,0.419,28.0,74.0,0.378,83,116,0.716,17.0,42.0,59.0,113,21.0,2.0,48.0,57,333,Stephon Marbury</t>
  </si>
  <si>
    <t>203200,2016-17,00,1610612752,NYK,28.0,82,4.0,1639.0,233,538,0.433,97.0,273.0,0.355,66,80,0.825,27.0,198.0,225.0,102,65.0,31.0,66.0,109,629,Justin Holiday</t>
  </si>
  <si>
    <t>76707,1983-84,00,1610612752,NYK,30.0,32,0.0,402.0,29,52,0.558,0.0,0.0,0.0,25,34,0.735,29.0,57.0,86.0,11,16.0,8.0,19.0,49,83,Eric Fernsten</t>
  </si>
  <si>
    <t>948,1998-99,00,1610612752,NYK,25.0,46,0.0,945.0,136,261,0.521,0.0,0.0,0.0,57,103,0.553,102.0,151.0,253.0,12,29.0,74.0,39.0,131,329,Marcus Camby</t>
  </si>
  <si>
    <t>948,1999-00,00,1610612752,NYK,26.0,59,11.0,1548.0,226,471,0.48,1.0,2.0,0.5,148,221,0.67,174.0,287.0,461.0,49,43.0,116.0,72.0,204,601,Marcus Camby</t>
  </si>
  <si>
    <t>948,2000-01,00,1610612752,NYK,27.0,63,63.0,2127.0,304,580,0.524,1.0,8.0,0.125,150,225,0.667,196.0,527.0,723.0,52,66.0,136.0,63.0,205,759,Marcus Camby</t>
  </si>
  <si>
    <t>948,2001-02,00,1610612752,NYK,28.0,29,29.0,1007.0,130,290,0.448,0.0,1.0,0.0,62,99,0.626,89.0,233.0,322.0,33,34.0,50.0,42.0,107,322,Marcus Camby</t>
  </si>
  <si>
    <t>948,2012-13,00,1610612752,NYK,39.0,24,4.0,250.0,17,53,0.321,0.0,0.0,0.0,8,19,0.421,24.0,56.0,80.0,14,7.0,14.0,15.0,28,42,Marcus Camby</t>
  </si>
  <si>
    <t>76105,1964-65,00,1610612752,NYK,24.0,75,,2586.0,454,1070,0.424,,,,251,379,0.662,,,729.0,93,,,,312,1159,Jim Barnes</t>
  </si>
  <si>
    <t>76105,1965-66,00,1610612752,NYK,25.0,7,,263.0,40,90,0.444,,,,30,42,0.714,,,72.0,9,,,,33,110,Jim Barnes</t>
  </si>
  <si>
    <t>77453,1946-47,00,1610612752,NYK,21.0,6,,,2,13,0.154,,,,1,3,0.333,,,,0,,,,6,5,Frank Mangiapane</t>
  </si>
  <si>
    <t>77038,1962-63,00,1610612752,NYK,23.0,50,,1340.0,152,419,0.363,,,,79,174,0.454,,,430.0,42,,,,220,383,Paul Hogue</t>
  </si>
  <si>
    <t>77038,1963-64,00,1610612752,NYK,24.0,6,,89.0,9,16,0.563,,,,1,5,0.2,,,15.0,5,,,,15,19,Paul Hogue</t>
  </si>
  <si>
    <t>101109,2010-11,00,1610612752,NYK,27.0,54,54.0,2074.0,339,801,0.423,88.0,268.0,0.328,157,181,0.867,40.0,154.0,194.0,488,97.0,11.0,176.0,113,923,Raymond Felton</t>
  </si>
  <si>
    <t>101109,2012-13,00,1610612752,NYK,29.0,68,68.0,2313.0,377,882,0.427,93.0,258.0,0.36,101,128,0.789,51.0,143.0,194.0,372,94.0,14.0,155.0,130,948,Raymond Felton</t>
  </si>
  <si>
    <t>101109,2013-14,00,1610612752,NYK,30.0,65,65.0,2017.0,240,608,0.395,62.0,195.0,0.318,88,122,0.721,54.0,143.0,197.0,365,78.0,27.0,129.0,157,630,Raymond Felton</t>
  </si>
  <si>
    <t>76328,1967-68,00,1610612752,NYK,25.0,2,,7.0,0,1,0.0,,,,0,0,,,,1.0,1,,,,1,0,Jim Caldwell</t>
  </si>
  <si>
    <t>77435,1983-84,00,1610612752,NYK,26.0,8,0.0,65.0,12,30,0.4,0.0,0.0,0.0,11,13,0.846,5.0,6.0,11.0,3,1.0,0.0,6.0,17,35,Rudy Macklin</t>
  </si>
  <si>
    <t>201941,2009-10,00,1610612752,NYK,22.0,24,0.0,252.0,41,92,0.446,0.0,2.0,0.0,15,21,0.714,32.0,29.0,61.0,7,10.0,9.0,12.0,37,97,Jordan Hill</t>
  </si>
  <si>
    <t>76704,1954-55,00,1610612752,NYK,24.0,72,,2024.0,364,832,0.438,,,,310,498,0.622,,,818.0,67,,,,286,1038,Ray Felix</t>
  </si>
  <si>
    <t>76704,1955-56,00,1610612752,NYK,25.0,72,,1702.0,277,668,0.415,,,,331,469,0.706,,,623.0,47,,,,293,885,Ray Felix</t>
  </si>
  <si>
    <t>76704,1956-57,00,1610612752,NYK,26.0,72,,1622.0,295,709,0.416,,,,277,371,0.747,,,587.0,36,,,,284,867,Ray Felix</t>
  </si>
  <si>
    <t>76704,1957-58,00,1610612752,NYK,27.0,72,,1709.0,304,688,0.442,,,,271,389,0.697,,,747.0,52,,,,283,879,Ray Felix</t>
  </si>
  <si>
    <t>76704,1958-59,00,1610612752,NYK,28.0,72,,1588.0,260,700,0.371,,,,229,321,0.713,,,569.0,49,,,,275,749,Ray Felix</t>
  </si>
  <si>
    <t>101181,2014-15,00,1610612752,NYK,33.0,42,42.0,1270.0,147,354,0.415,59.0,142.0,0.415,29,32,0.906,19.0,105.0,124.0,198,31.0,0.0,75.0,76,382,Jose Calderon</t>
  </si>
  <si>
    <t>101181,2015-16,00,1610612752,NYK,34.0,72,72.0,2024.0,209,455,0.459,84.0,203.0,0.414,42,48,0.875,22.0,207.0,229.0,298,63.0,7.0,87.0,135,544,Jose Calderon</t>
  </si>
  <si>
    <t>77425,1948-49,00,1610612752,NYK,25.0,24,,0.0,117,311,0.376,,,,90,112,0.804,,,0.0,34,,,,74,324,Ray Lumpp</t>
  </si>
  <si>
    <t>77425,1949-50,00,1610612752,NYK,26.0,58,,,91,283,0.322,,,,86,108,0.796,,,,90,,,,117,268,Ray Lumpp</t>
  </si>
  <si>
    <t>77425,1950-51,00,1610612752,NYK,27.0,64,,,153,379,0.404,,,,124,160,0.775,,,125.0,115,,,,160,430,Ray Lumpp</t>
  </si>
  <si>
    <t>77425,1951-52,00,1610612752,NYK,28.0,62,,1317.0,184,476,0.387,,,,90,119,0.756,,,125.0,123,,,,165,458,Ray Lumpp</t>
  </si>
  <si>
    <t>1628439,2017-18,00,1610612752,NYK,23.0,18,0.0,239.0,33,72,0.458,2.0,9.0,0.222,12,18,0.667,10.0,31.0,41.0,16,2.0,4.0,16.0,45,80,Isaiah Hicks</t>
  </si>
  <si>
    <t>1628439,2018-19,00,1610612752,NYK,24.0,3,0.0,32.0,4,8,0.5,0.0,0.0,0.0,4,5,0.8,2.0,5.0,7.0,2,1.0,3.0,1.0,5,12,Isaiah Hicks</t>
  </si>
  <si>
    <t>76694,1958-59,00,1610612752,NYK,22.0,72,,1545.0,176,498,0.353,,,,83,99,0.838,,,315.0,66,,,,152,435,Mike Farmer</t>
  </si>
  <si>
    <t>76694,1959-60,00,1610612752,NYK,23.0,67,,1536.0,212,568,0.373,,,,70,83,0.843,,,385.0,57,,,,130,494,Mike Farmer</t>
  </si>
  <si>
    <t>76322,1946-47,00,1610612752,NYK,24.0,60,,,175,583,0.3,,,,103,160,0.644,,,,35,,,,90,453,Tommy Byrnes</t>
  </si>
  <si>
    <t>76322,1947-48,00,1610612752,NYK,25.0,47,,,117,410,0.285,,,,65,103,0.631,,,,17,,,,56,299,Tommy Byrnes</t>
  </si>
  <si>
    <t>76322,1948-49,00,1610612752,NYK,26.0,35,,0.0,77,270,0.285,,,,46,81,0.568,,,0.0,54,,,,53,200,Tommy Byrnes</t>
  </si>
  <si>
    <t>335,1995-96,00,1610612752,NYK,29.0,27,2.0,496.0,56,133,0.421,5.0,25.0,0.2,19,31,0.613,13.0,47.0,60.0,48,17.0,8.0,24.0,59,136,Willie Anderson</t>
  </si>
  <si>
    <t>77420,1981-82,00,1610612752,NYK,30.0,80,74.0,2671.0,505,1001,0.504,0.0,3.0,0.0,253,349,0.725,274.0,629.0,903.0,179,68.0,70.0,173.0,309,1263,Maurice Lucas</t>
  </si>
  <si>
    <t>1626209,2018-19,00,1610612752,NYK,24.0,58,24.0,1206.0,191,464,0.412,42.0,152.0,0.276,87,114,0.763,28.0,211.0,239.0,88,57.0,8.0,88.0,110,511,Mario Hezonja</t>
  </si>
  <si>
    <t>121,1985-86,00,1610612752,NYK,23.0,50,50.0,1771.0,386,814,0.474,0.0,5.0,0.0,226,306,0.739,124.0,327.0,451.0,102,54.0,103.0,172.0,191,998,Patrick Ewing</t>
  </si>
  <si>
    <t>121,1986-87,00,1610612752,NYK,24.0,63,63.0,2206.0,530,1053,0.503,0.0,7.0,0.0,296,415,0.713,157.0,398.0,555.0,104,89.0,147.0,229.0,248,1356,Patrick Ewing</t>
  </si>
  <si>
    <t>121,1987-88,00,1610612752,NYK,25.0,82,82.0,2546.0,656,1183,0.555,0.0,3.0,0.0,341,476,0.716,245.0,431.0,676.0,125,104.0,245.0,287.0,332,1653,Patrick Ewing</t>
  </si>
  <si>
    <t>121,1988-89,00,1610612752,NYK,26.0,80,80.0,2896.0,727,1282,0.567,0.0,6.0,0.0,361,484,0.746,213.0,527.0,740.0,188,117.0,281.0,266.0,311,1815,Patrick Ewing</t>
  </si>
  <si>
    <t>121,1989-90,00,1610612752,NYK,27.0,82,82.0,3165.0,922,1673,0.551,1.0,4.0,0.25,502,648,0.775,235.0,658.0,893.0,182,78.0,327.0,278.0,325,2347,Patrick Ewing</t>
  </si>
  <si>
    <t>121,1990-91,00,1610612752,NYK,28.0,81,81.0,3104.0,845,1645,0.514,0.0,6.0,0.0,464,623,0.745,194.0,711.0,905.0,244,80.0,258.0,291.0,287,2154,Patrick Ewing</t>
  </si>
  <si>
    <t>121,1991-92,00,1610612752,NYK,29.0,82,82.0,3150.0,796,1525,0.522,1.0,6.0,0.167,377,511,0.738,228.0,693.0,921.0,156,88.0,245.0,209.0,277,1970,Patrick Ewing</t>
  </si>
  <si>
    <t>121,1992-93,00,1610612752,NYK,30.0,81,81.0,3003.0,779,1550,0.503,1.0,7.0,0.143,400,556,0.719,191.0,789.0,980.0,151,74.0,161.0,265.0,286,1959,Patrick Ewing</t>
  </si>
  <si>
    <t>121,1993-94,00,1610612752,NYK,31.0,79,79.0,2972.0,745,1503,0.496,4.0,14.0,0.286,445,582,0.765,219.0,666.0,885.0,179,90.0,217.0,260.0,275,1939,Patrick Ewing</t>
  </si>
  <si>
    <t>121,1994-95,00,1610612752,NYK,32.0,79,79.0,2920.0,730,1452,0.503,6.0,21.0,0.286,420,560,0.75,157.0,710.0,867.0,212,68.0,159.0,256.0,272,1886,Patrick Ewing</t>
  </si>
  <si>
    <t>121,1995-96,00,1610612752,NYK,33.0,76,76.0,2783.0,678,1456,0.466,4.0,28.0,0.143,351,461,0.761,157.0,649.0,806.0,160,68.0,184.0,221.0,247,1711,Patrick Ewing</t>
  </si>
  <si>
    <t>121,1996-97,00,1610612752,NYK,34.0,78,78.0,2887.0,655,1342,0.488,2.0,9.0,0.222,439,582,0.754,175.0,659.0,834.0,156,69.0,189.0,269.0,250,1751,Patrick Ewing</t>
  </si>
  <si>
    <t>121,1997-98,00,1610612752,NYK,35.0,26,26.0,848.0,203,403,0.504,0.0,2.0,0.0,134,186,0.72,59.0,206.0,265.0,28,16.0,58.0,77.0,74,540,Patrick Ewing</t>
  </si>
  <si>
    <t>121,1998-99,00,1610612752,NYK,36.0,38,38.0,1300.0,247,568,0.435,0.0,2.0,0.0,163,231,0.706,74.0,303.0,377.0,43,30.0,100.0,99.0,105,657,Patrick Ewing</t>
  </si>
  <si>
    <t>121,1999-00,00,1610612752,NYK,37.0,62,62.0,2035.0,361,775,0.466,0.0,2.0,0.0,207,283,0.731,140.0,464.0,604.0,58,36.0,84.0,142.0,196,929,Patrick Ewing</t>
  </si>
  <si>
    <t>2866,2004-05,00,1610612752,NYK,20.0,3,0.0,5.0,4,4,1.0,0.0,0.0,0.0,2,2,1.0,0.0,0.0,0.0,0,1.0,0.0,1.0,0,10,Jackie Butler</t>
  </si>
  <si>
    <t>2866,2005-06,00,1610612752,NYK,21.0,55,0.0,740.0,117,215,0.544,0.0,0.0,0.0,58,77,0.753,67.0,116.0,183.0,25,17.0,31.0,62.0,127,292,Jackie Butler</t>
  </si>
  <si>
    <t>77418,1971-72,00,1610612752,NYK,32.0,77,,2926.0,543,1060,0.512,,,,197,249,0.791,,,1011.0,318,,,,218,1283,Jerry Lucas</t>
  </si>
  <si>
    <t>77418,1972-73,00,1610612752,NYK,33.0,71,,2001.0,312,608,0.513,,,,80,100,0.8,,,510.0,317,,,,157,704,Jerry Lucas</t>
  </si>
  <si>
    <t>77418,1973-74,00,1610612752,NYK,34.0,73,,1627.0,194,420,0.462,,,,67,96,0.698,62.0,312.0,374.0,230,28.0,24.0,,134,455,Jerry Lucas</t>
  </si>
  <si>
    <t>77015,1963-64,00,1610612752,NYK,23.0,75,,2236.0,432,1003,0.431,,,,289,422,0.685,,,298.0,256,,,,229,1153,Art Heyman</t>
  </si>
  <si>
    <t>77015,1964-65,00,1610612752,NYK,24.0,55,,663.0,114,267,0.427,,,,88,132,0.667,,,99.0,79,,,,96,316,Art Heyman</t>
  </si>
  <si>
    <t>600010,1983-84,00,1610612752,NYK,32.0,65,5.0,832.0,64,157,0.408,0.0,0.0,0.0,27,38,0.711,62.0,103.0,165.0,30,29.0,30.0,46.0,153,155,Len Elmore</t>
  </si>
  <si>
    <t>76320,1988-89,00,1610612752,NYK,23.0,33,0.0,140.0,20,48,0.417,0.0,3.0,0.0,16,20,0.8,9.0,19.0,28.0,2,1.0,2.0,17.0,28,56,Greg Butler</t>
  </si>
  <si>
    <t>76320,1989-90,00,1610612752,NYK,24.0,13,0.0,33.0,3,12,0.25,0.0,0.0,0.0,0,2,0.0,3.0,6.0,9.0,1,0.0,0.0,3.0,8,6,Greg Butler</t>
  </si>
  <si>
    <t>779,2000-01,00,1610612752,NYK,34.0,75,25.0,2212.0,331,752,0.44,82.0,211.0,0.389,155,182,0.852,61.0,246.0,307.0,89,41.0,13.0,96.0,179,899,Glen Rice</t>
  </si>
  <si>
    <t>201577,2015-16,00,1610612752,NYK,28.0,82,82.0,2219.0,357,662,0.539,0.0,1.0,0.0,128,161,0.795,268.0,334.0,602.0,114,16.0,129.0,133.0,182,842,Robin Lopez</t>
  </si>
  <si>
    <t>77011,1946-47,00,1610612752,NYK,24.0,59,,,201,695,0.289,,,,113,149,0.758,,,,37,,,,109,515,Sidney Hertzberg</t>
  </si>
  <si>
    <t>77011,1947-48,00,1610612752,NYK,25.0,4,,0.0,1,14,0.071,,,,3,4,0.75,,,0.0,1,,,,3,5,Sidney Hertzberg</t>
  </si>
  <si>
    <t>201961,2019-20,00,1610612752,NYK,32.0,36,1.0,558.0,61,174,0.351,50.0,143.0,0.35,11,13,0.846,4.0,61.0,65.0,44,13.0,4.0,18.0,41,183,Wayne Ellington</t>
  </si>
  <si>
    <t>76319,1961-62,00,1610612752,NYK,23.0,59,,2016.0,349,754,0.463,,,,129,182,0.709,,,337.0,205,,,,156,827,Al Butler</t>
  </si>
  <si>
    <t>76319,1962-63,00,1610612752,NYK,24.0,74,,1488.0,297,676,0.439,,,,144,187,0.77,,,170.0,156,,,,145,738,Al Butler</t>
  </si>
  <si>
    <t>76319,1963-64,00,1610612752,NYK,25.0,76,,1379.0,260,616,0.422,,,,138,187,0.738,,,168.0,157,,,,167,658,Al Butler</t>
  </si>
  <si>
    <t>26,2000-01,00,1610612752,NYK,32.0,25,2.0,299.0,18,54,0.333,0.0,0.0,0.0,13,17,0.765,26.0,40.0,66.0,7,3.0,9.0,22.0,51,49,Luc Longley</t>
  </si>
  <si>
    <t>1626195,2016-17,00,1610612752,NYK,23.0,72,22.0,1324.0,246,465,0.529,4.0,15.0,0.267,91,125,0.728,170.0,332.0,502.0,96,41.0,36.0,100.0,150,587,Willy Hernangomez</t>
  </si>
  <si>
    <t>1626195,2017-18,00,1610612752,NYK,24.0,26,0.0,233.0,49,81,0.605,1.0,5.0,0.2,12,28,0.429,22.0,45.0,67.0,21,8.0,7.0,26.0,32,111,Willy Hernangomez</t>
  </si>
  <si>
    <t>1627740,2018-19,00,1610612752,NYK,22.0,17,0.0,234.0,35,85,0.412,15.0,34.0,0.441,17,23,0.739,5.0,52.0,57.0,15,7.0,2.0,9.0,25,102,Henry Ellenson</t>
  </si>
  <si>
    <t>76318,1961-62,00,1610612752,NYK,26.0,47,,479.0,48,155,0.31,,,,42,69,0.609,,,79.0,51,,,,63,138,Donnie Butcher</t>
  </si>
  <si>
    <t>76318,1962-63,00,1610612752,NYK,27.0,68,,1193.0,172,424,0.406,,,,131,194,0.675,,,180.0,138,,,,164,475,Donnie Butcher</t>
  </si>
  <si>
    <t>201160,2014-15,00,1610612752,NYK,29.0,82,31.0,1785.0,257,592,0.434,15.0,42.0,0.357,127,153,0.83,98.0,226.0,324.0,140,32.0,44.0,104.0,205,656,Jason Smith</t>
  </si>
  <si>
    <t>1629011,2018-19,00,1610612752,NYK,21.0,66,19.0,1360.0,202,291,0.694,0.0,0.0,0.0,81,135,0.6,177.0,246.0,423.0,37,52.0,161.0,35.0,217,485,Mitchell Robinson</t>
  </si>
  <si>
    <t>1629011,2019-20,00,1610612752,NYK,22.0,61,7.0,1412.0,253,341,0.742,0.0,0.0,0.0,84,148,0.568,186.0,242.0,428.0,36,52.0,119.0,37.0,194,590,Mitchell Robinson</t>
  </si>
  <si>
    <t>1629011,2020-21,00,1610612752,NYK,23.0,31,29.0,853.0,115,176,0.653,0.0,0.0,0.0,26,53,0.491,113.0,139.0,252.0,17,35.0,45.0,26.0,86,256,Mitchell Robinson</t>
  </si>
  <si>
    <t>1629011,2021-22,00,1610612752,NYK,24.0,72,62.0,1848.0,261,343,0.761,0.0,0.0,0.0,88,181,0.486,295.0,322.0,617.0,38,58.0,133.0,60.0,195,610,Mitchell Robinson</t>
  </si>
  <si>
    <t>1629011,2022-23,00,1610612752,NYK,25.0,59,58.0,1589.0,188,280,0.671,0.0,0.0,0.0,59,122,0.484,267.0,288.0,555.0,53,56.0,109.0,41.0,160,435,Mitchell Robinson</t>
  </si>
  <si>
    <t>1629011,2023-24,00,1610612752,NYK,26.0,31,21.0,768.0,73,127,0.575,0.0,0.0,0.0,27,66,0.409,142.0,121.0,263.0,18,37.0,35.0,25.0,55,173,Mitchell Robinson</t>
  </si>
  <si>
    <t>203944,2019-20,00,1610612752,NYK,25.0,64,64.0,2080.0,463,1006,0.46,64.0,231.0,0.277,258,352,0.733,151.0,471.0,622.0,198,51.0,22.0,193.0,178,1248,Julius Randle</t>
  </si>
  <si>
    <t>203944,2020-21,00,1610612752,NYK,26.0,71,71.0,2667.0,602,1321,0.456,160.0,389.0,0.411,348,429,0.811,84.0,640.0,724.0,427,64.0,18.0,241.0,225,1712,Julius Randle</t>
  </si>
  <si>
    <t>203944,2021-22,00,1610612752,NYK,27.0,72,72.0,2544.0,512,1246,0.411,120.0,390.0,0.308,303,401,0.756,125.0,591.0,716.0,370,53.0,39.0,245.0,205,1447,Julius Randle</t>
  </si>
  <si>
    <t>203944,2022-23,00,1610612752,NYK,28.0,77,77.0,2737.0,658,1432,0.459,218.0,636.0,0.343,402,531,0.757,141.0,626.0,767.0,316,49.0,21.0,216.0,233,1936,Julius Randle</t>
  </si>
  <si>
    <t>203944,2023-24,00,1610612752,NYK,29.0,46,46.0,1630.0,395,836,0.472,76.0,244.0,0.311,236,302,0.781,99.0,324.0,423.0,229,25.0,12.0,159.0,125,1102,Julius Randle</t>
  </si>
  <si>
    <t>38,1995-96,00,1610612752,NYK,31.0,23,7.0,325.0,32,79,0.405,24.0,57.0,0.421,2,2,1.0,2.0,29.0,31.0,27,8.0,10.0,11.0,36,90,Brad Lohaus</t>
  </si>
  <si>
    <t>76993,1986-87,00,1610612752,NYK,31.0,68,53.0,1890.0,273,624,0.438,19.0,74.0,0.257,173,212,0.816,44.0,122.0,166.0,439,95.0,11.0,157.0,191,738,Gerald Henderson</t>
  </si>
  <si>
    <t>76993,1987-88,00,1610612752,NYK,32.0,6,2.0,69.0,5,14,0.357,2.0,4.0,0.5,2,2,1.0,1.0,9.0,10.0,13,2.0,0.0,8.0,14,14,Gerald Henderson</t>
  </si>
  <si>
    <t>76655,1950-51,00,1610612752,NYK,28.0,3,,,0,4,0.0,,,,4,4,1.0,,,8.0,0,,,,6,4,Ray Ellefson</t>
  </si>
  <si>
    <t>76314,1961-62,00,1610612752,NYK,22.0,8,,28.0,7,14,0.5,,,,1,4,0.25,,,5.0,1,,,,3,15,Ed Burton</t>
  </si>
  <si>
    <t>77884,1970-71,00,1610612752,NYK,22.0,56,,251.0,30,81,0.37,,,,24,34,0.706,,,29.0,12,,,,57,84,Mike Price</t>
  </si>
  <si>
    <t>77884,1971-72,00,1610612752,NYK,23.0,6,,40.0,5,14,0.357,,,,9,11,0.818,,,6.0,6,,,,10,19,Mike Price</t>
  </si>
  <si>
    <t>202391,2011-12,00,1610612752,NYK,23.0,35,25.0,940.0,171,383,0.446,24.0,75.0,0.32,146,183,0.798,18.0,89.0,107.0,216,55.0,9.0,126.0,78,512,Jeremy Lin</t>
  </si>
  <si>
    <t>21,1991-92,00,1610612752,NYK,24.0,82,1.0,1510.0,161,435,0.37,8.0,55.0,0.145,117,158,0.741,33.0,103.0,136.0,314,59.0,9.0,98.0,170,447,Greg Anthony</t>
  </si>
  <si>
    <t>21,1992-93,00,1610612752,NYK,25.0,70,35.0,1699.0,174,419,0.415,4.0,30.0,0.133,107,159,0.673,42.0,128.0,170.0,398,113.0,12.0,104.0,141,459,Greg Anthony</t>
  </si>
  <si>
    <t>21,1993-94,00,1610612752,NYK,26.0,80,36.0,1994.0,225,571,0.394,48.0,160.0,0.3,130,168,0.774,43.0,146.0,189.0,365,114.0,13.0,127.0,163,628,Greg Anthony</t>
  </si>
  <si>
    <t>21,1994-95,00,1610612752,NYK,27.0,61,2.0,943.0,128,293,0.437,56.0,155.0,0.361,60,76,0.789,7.0,57.0,64.0,160,50.0,7.0,57.0,99,372,Greg Anthony</t>
  </si>
  <si>
    <t>76986,1954-55,00,1610612752,NYK,25.0,5,,23.0,2,9,0.222,,,,0,1,0.0,,,4.0,2,,,,3,4,Herm Hedderick</t>
  </si>
  <si>
    <t>458,2001-02,00,1610612752,NYK,29.0,39,0.0,610.0,59,175,0.337,14.0,58.0,0.241,39,49,0.796,9.0,40.0,49.0,100,24.0,3.0,53.0,55,171,Howard Eisley</t>
  </si>
  <si>
    <t>458,2002-03,00,1610612752,NYK,30.0,82,76.0,2243.0,262,628,0.417,131.0,337.0,0.389,89,105,0.848,24.0,162.0,186.0,444,71.0,9.0,149.0,222,744,Howard Eisley</t>
  </si>
  <si>
    <t>458,2003-04,00,1610612752,NYK,31.0,33,23.0,730.0,80,202,0.396,28.0,85.0,0.329,32,36,0.889,7.0,59.0,66.0,156,30.0,3.0,50.0,85,220,Howard Eisley</t>
  </si>
  <si>
    <t>202692,2020-21,00,1610612752,NYK,29.0,49,5.0,1255.0,210,500,0.42,102.0,246.0,0.415,101,118,0.856,21.0,206.0,227.0,107,31.0,14.0,49.0,102,623,Alec Burks</t>
  </si>
  <si>
    <t>202692,2021-22,00,1610612752,NYK,30.0,81,44.0,2318.0,285,728,0.391,157.0,389.0,0.404,217,264,0.822,47.0,350.0,397.0,239,85.0,26.0,91.0,215,944,Alec Burks</t>
  </si>
  <si>
    <t>202692,2023-24,00,1610612752,NYK,32.0,23,1.0,311.0,50,163,0.307,25.0,83.0,0.301,24,33,0.727,8.0,32.0,40.0,20,7.0,1.0,16.0,11,149,Alec Burks</t>
  </si>
  <si>
    <t>77793,1946-47,00,1610612752,NYK,25.0,42,,,160,521,0.307,,,,81,121,0.669,,,,34,,,,110,401,John Palmer</t>
  </si>
  <si>
    <t>77793,1947-48,00,1610612752,NYK,26.0,48,,,224,710,0.315,,,,174,234,0.744,,,,45,,,,149,622,John Palmer</t>
  </si>
  <si>
    <t>77793,1948-49,00,1610612752,NYK,27.0,58,,,240,685,0.35,,,,234,307,0.762,,,,108,,,,206,714,John Palmer</t>
  </si>
  <si>
    <t>101135,2005-06,00,1610612752,NYK,23.0,67,14.0,1129.0,137,230,0.596,0.0,0.0,0.0,71,123,0.577,109.0,194.0,303.0,43,30.0,20.0,51.0,124,345,David Lee</t>
  </si>
  <si>
    <t>101135,2006-07,00,1610612752,NYK,24.0,58,12.0,1727.0,240,400,0.6,0.0,0.0,0.0,141,173,0.815,196.0,406.0,602.0,104,48.0,23.0,92.0,155,621,David Lee</t>
  </si>
  <si>
    <t>101135,2007-08,00,1610612752,NYK,25.0,81,29.0,2356.0,341,618,0.552,0.0,2.0,0.0,194,237,0.819,242.0,482.0,724.0,95,55.0,29.0,97.0,210,876,David Lee</t>
  </si>
  <si>
    <t>101135,2008-09,00,1610612752,NYK,26.0,81,74.0,2824.0,522,951,0.549,0.0,3.0,0.0,249,330,0.755,256.0,695.0,951.0,174,80.0,22.0,150.0,260,1293,David Lee</t>
  </si>
  <si>
    <t>101135,2009-10,00,1610612752,NYK,27.0,81,81.0,3019.0,686,1258,0.545,0.0,8.0,0.0,268,330,0.812,228.0,721.0,949.0,295,85.0,40.0,189.0,257,1640,David Lee</t>
  </si>
  <si>
    <t>76008,1953-54,00,1610612752,NYK,23.0,28,,220.0,14,63,0.222,,,,15,28,0.536,,,15.0,23,,,,43,43,Donald Ackerman</t>
  </si>
  <si>
    <t>76981,1975-76,00,1610612752,NYK,27.0,78,,2892.0,605,1360,0.445,,,,339,448,0.757,234.0,644.0,878.0,92,53.0,80.0,,255,1549,Spencer Haywood</t>
  </si>
  <si>
    <t>76981,1976-77,00,1610612752,NYK,28.0,31,,1021.0,202,449,0.45,,,,109,131,0.832,77.0,203.0,280.0,50,14.0,29.0,,72,513,Spencer Haywood</t>
  </si>
  <si>
    <t>76981,1977-78,00,1610612752,NYK,29.0,67,,1765.0,412,852,0.484,,,,96,135,0.711,141.0,301.0,442.0,126,37.0,72.0,140.0,188,920,Spencer Haywood</t>
  </si>
  <si>
    <t>76981,1978-79,00,1610612752,NYK,30.0,34,,1023.0,249,509,0.489,,,,107,146,0.733,66.0,140.0,206.0,56,10.0,29.0,87.0,108,605,Spencer Haywood</t>
  </si>
  <si>
    <t>76647,1963-64,00,1610612752,NYK,25.0,66,,2325.0,334,758,0.441,,,,193,243,0.794,,,191.0,358,,,,181,861,Johnny Egan</t>
  </si>
  <si>
    <t>76647,1964-65,00,1610612752,NYK,26.0,74,,1664.0,258,529,0.488,,,,162,199,0.814,,,143.0,252,,,,139,678,Johnny Egan</t>
  </si>
  <si>
    <t>76647,1965-66,00,1610612752,NYK,27.0,7,,58.0,5,16,0.313,,,,7,10,0.7,,,2.0,14,,,,4,17,Johnny Egan</t>
  </si>
  <si>
    <t>203504,2017-18,00,1610612752,NYK,25.0,36,9.0,785.0,193,384,0.503,38.0,105.0,0.362,37,57,0.649,13.0,58.0,71.0,170,24.0,4.0,43.0,43,461,Trey Burke</t>
  </si>
  <si>
    <t>203504,2018-19,00,1610612752,NYK,26.0,33,7.0,689.0,148,358,0.413,30.0,86.0,0.349,62,75,0.827,15.0,47.0,62.0,94,21.0,5.0,29.0,33,388,Trey Burke</t>
  </si>
  <si>
    <t>1630579,2021-22,00,1610612752,NYK,23.0,41,5.0,555.0,39,54,0.722,0.0,0.0,0.0,12,29,0.414,61.0,108.0,169.0,21,11.0,22.0,20.0,66,90,Jericho Sims</t>
  </si>
  <si>
    <t>1630579,2022-23,00,1610612752,NYK,24.0,52,16.0,812.0,83,107,0.776,0.0,1.0,0.0,12,16,0.75,99.0,143.0,242.0,25,15.0,28.0,27.0,96,178,Jericho Sims</t>
  </si>
  <si>
    <t>1630579,2023-24,00,1610612752,NYK,25.0,45,11.0,585.0,38,55,0.691,0.0,0.0,0.0,16,24,0.667,56.0,91.0,147.0,25,8.0,19.0,16.0,45,92,Jericho Sims</t>
  </si>
  <si>
    <t>201584,2016-17,00,1610612752,NYK,31.0,77,74.0,2459.0,321,704,0.456,108.0,269.0,0.401,85,98,0.867,53.0,206.0,259.0,179,81.0,24.0,69.0,141,835,Courtney Lee</t>
  </si>
  <si>
    <t>201584,2017-18,00,1610612752,NYK,32.0,76,69.0,2310.0,343,755,0.454,113.0,278.0,0.406,114,124,0.919,30.0,194.0,224.0,180,80.0,17.0,84.0,109,913,Courtney Lee</t>
  </si>
  <si>
    <t>201584,2018-19,00,1610612752,NYK,33.0,12,2.0,160.0,21,47,0.447,5.0,16.0,0.313,9,14,0.643,6.0,21.0,27.0,16,8.0,2.0,5.0,13,56,Courtney Lee</t>
  </si>
  <si>
    <t>76968,1982-83,00,1610612752,NYK,23.0,21,0.0,98.0,8,22,0.364,0.0,1.0,0.0,7,14,0.5,10.0,21.0,31.0,1,5.0,0.0,6.0,31,23,Scott Hastings</t>
  </si>
  <si>
    <t>76635,1991-92,00,1610612752,NYK,24.0,4,0.0,13.0,2,9,0.222,0.0,0.0,0.0,0,0,0.0,0.0,1.0,1.0,0,0.0,0.0,0.0,3,4,Patrick Eddie</t>
  </si>
  <si>
    <t>76303,1976-77,00,1610612752,NYK,24.0,61,,608.0,148,352,0.42,,,,51,85,0.6,26.0,40.0,66.0,62,47.0,1.0,,88,347,Luther Burden</t>
  </si>
  <si>
    <t>76303,1977-78,00,1610612752,NYK,25.0,2,,15.0,1,2,0.5,,,,0,0,,0.0,0.0,0.0,1,1.0,0.0,0.0,1,2,Luther Burden</t>
  </si>
  <si>
    <t>203495,2014-15,00,1610612752,NYK,22.0,12,0.0,233.0,32,90,0.356,10.0,24.0,0.417,15,20,0.75,15.0,19.0,34.0,18,6.0,1.0,24.0,20,89,Ricky Ledo</t>
  </si>
  <si>
    <t>1628392,2022-23,00,1610612752,NYK,25.0,82,8.0,1628.0,175,327,0.535,8.0,37.0,0.216,48,71,0.676,209.0,327.0,536.0,102,53.0,64.0,66.0,213,406,Isaiah Hartenstein</t>
  </si>
  <si>
    <t>1628392,2023-24,00,1610612752,NYK,26.0,75,49.0,1896.0,235,365,0.644,1.0,3.0,0.333,111,157,0.707,244.0,382.0,626.0,188,87.0,85.0,93.0,210,582,Isaiah Hartenstein</t>
  </si>
  <si>
    <t>203921,2014-15,00,1610612752,NYK,24.0,39,7.0,647.0,76,214,0.355,22.0,84.0,0.262,36,48,0.75,22.0,75.0,97.0,36,24.0,12.0,40.0,57,210,Cleanthony Early</t>
  </si>
  <si>
    <t>203921,2015-16,00,1610612752,NYK,25.0,17,2.0,154.0,12,40,0.3,4.0,15.0,0.267,3,4,0.75,4.0,22.0,26.0,6,2.0,3.0,9.0,16,31,Cleanthony Early</t>
  </si>
  <si>
    <t>76300,1978-79,00,1610612752,NYK,23.0,12,,97.0,9,26,0.346,,,,10,12,0.833,9.0,8.0,17.0,4,3.0,3.0,5.0,10,28,Greg Bunch</t>
  </si>
  <si>
    <t>77350,1976-77,00,1610612752,NYK,28.0,56,,765.0,134,277,0.484,,,,58,73,0.795,11.0,36.0,47.0,154,21.0,6.0,,87,326,Dennis Layton</t>
  </si>
  <si>
    <t>1628404,2022-23,00,1610612752,NYK,28.0,25,1.0,750.0,92,157,0.586,27.0,52.0,0.519,45,57,0.789,47.0,129.0,176.0,90,34.0,12.0,38.0,62,256,Josh Hart</t>
  </si>
  <si>
    <t>1628404,2023-24,00,1610612752,NYK,29.0,81,42.0,2707.0,295,679,0.434,80.0,258.0,0.31,91,115,0.791,128.0,547.0,675.0,331,75.0,23.0,118.0,171,761,Josh Hart</t>
  </si>
  <si>
    <t>76611,1955-56,00,1610612752,NYK,26.0,60,,1290.0,149,370,0.403,,,,167,236,0.708,,,443.0,39,,,,211,465,Walter Dukes</t>
  </si>
  <si>
    <t>203493,2019-20,00,1610612752,NYK,29.0,29,19.0,684.0,90,224,0.402,37.0,111.0,0.333,17,21,0.81,13.0,55.0,68.0,42,25.0,3.0,19.0,56,234,Reggie Bullock Jr.</t>
  </si>
  <si>
    <t>203493,2020-21,00,1610612752,NYK,30.0,65,64.0,1949.0,248,561,0.442,163.0,398.0,0.41,50,55,0.909,16.0,207.0,223.0,99,52.0,11.0,45.0,146,709,Reggie Bullock Jr.</t>
  </si>
  <si>
    <t>77346,1950-51,00,1610612752,NYK,24.0,30,,,32,93,0.344,,,,35,41,0.854,,,59.0,23,,,,56,99,Tony Lavelli</t>
  </si>
  <si>
    <t>970,2000-01,00,1610612752,NYK,27.0,30,5.0,548.0,67,121,0.554,0.0,0.0,0.0,51,70,0.729,37.0,62.0,99.0,20,15.0,19.0,41.0,101,185,Othella Harrington</t>
  </si>
  <si>
    <t>970,2001-02,00,1610612752,NYK,28.0,77,4.0,1564.0,237,450,0.527,0.0,2.0,0.0,122,172,0.709,125.0,224.0,349.0,37,30.0,36.0,95.0,250,596,Othella Harrington</t>
  </si>
  <si>
    <t>970,2002-03,00,1610612752,NYK,29.0,74,64.0,1846.0,225,443,0.508,0.0,0.0,0.0,123,150,0.82,165.0,311.0,476.0,62,12.0,23.0,90.0,231,573,Othella Harrington</t>
  </si>
  <si>
    <t>970,2003-04,00,1610612752,NYK,30.0,56,3.0,871.0,100,202,0.495,0.0,0.0,0.0,58,78,0.744,58.0,119.0,177.0,29,12.0,14.0,65.0,134,258,Othella Harrington</t>
  </si>
  <si>
    <t>2768,2008-09,00,1610612752,NYK,26.0,79,78.0,2906.0,287,681,0.421,127.0,325.0,0.391,179,209,0.856,45.0,201.0,246.0,566,72.0,7.0,221.0,126,880,Chris Duhon</t>
  </si>
  <si>
    <t>2768,2009-10,00,1610612752,NYK,27.0,67,59.0,2072.0,168,451,0.373,90.0,258.0,0.349,68,95,0.716,28.0,150.0,178.0,378,59.0,3.0,110.0,83,494,Chris Duhon</t>
  </si>
  <si>
    <t>76297,1960-61,00,1610612752,NYK,22.0,61,,1075.0,156,361,0.432,,,,87,134,0.649,,,297.0,45,,,,171,399,Dave Budd</t>
  </si>
  <si>
    <t>76297,1961-62,00,1610612752,NYK,23.0,79,,1370.0,188,431,0.436,,,,138,231,0.597,,,345.0,86,,,,162,514,Dave Budd</t>
  </si>
  <si>
    <t>76297,1962-63,00,1610612752,NYK,24.0,78,,1725.0,294,596,0.493,,,,151,202,0.748,,,395.0,87,,,,204,739,Dave Budd</t>
  </si>
  <si>
    <t>76297,1963-64,00,1610612752,NYK,25.0,73,,1031.0,128,297,0.431,,,,84,115,0.73,,,276.0,57,,,,130,340,Dave Budd</t>
  </si>
  <si>
    <t>76297,1964-65,00,1610612752,NYK,26.0,62,,1188.0,196,407,0.482,,,,121,170,0.712,,,310.0,62,,,,147,513,Dave Budd</t>
  </si>
  <si>
    <t>76085,1984-85,00,1610612752,NYK,28.0,74,28.0,1297.0,156,349,0.447,0.0,1.0,0.0,73,108,0.676,122.0,222.0,344.0,39,30.0,50.0,100.0,286,385,James Bailey</t>
  </si>
  <si>
    <t>76085,1985-86,00,1610612752,NYK,29.0,48,36.0,1245.0,202,443,0.456,0.0,4.0,0.0,129,167,0.772,102.0,232.0,334.0,50,33.0,40.0,99.0,207,533,James Bailey</t>
  </si>
  <si>
    <t>203499,2014-15,00,1610612752,NYK,22.0,76,22.0,1865.0,187,432,0.433,35.0,116.0,0.302,61,78,0.782,29.0,147.0,176.0,226,93.0,9.0,83.0,150,470,Shane Larkin</t>
  </si>
  <si>
    <t>1733,2008-09,00,1610612752,NYK,29.0,68,51.0,2380.0,509,1142,0.446,160.0,442.0,0.362,229,285,0.804,89.0,338.0,427.0,92,81.0,22.0,154.0,213,1407,Al Harrington</t>
  </si>
  <si>
    <t>1733,2009-10,00,1610612752,NYK,30.0,72,15.0,2195.0,448,1030,0.435,140.0,409.0,0.342,240,317,0.757,88.0,317.0,405.0,110,62.0,26.0,132.0,209,1276,Al Harrington</t>
  </si>
  <si>
    <t>201,1997-98,00,1610612752,NYK,33.0,51,22.0,858.0,58,143,0.406,0.0,0.0,0.0,41,92,0.446,108.0,167.0,275.0,21,13.0,51.0,44.0,139,157,Chris Dudley</t>
  </si>
  <si>
    <t>201,1998-99,00,1610612752,NYK,34.0,46,16.0,685.0,48,109,0.44,0.0,0.0,0.0,19,40,0.475,79.0,114.0,193.0,7,13.0,38.0,24.0,116,115,Chris Dudley</t>
  </si>
  <si>
    <t>201,1999-00,00,1610612752,NYK,35.0,47,3.0,459.0,23,67,0.343,0.0,0.0,0.0,9,27,0.333,63.0,73.0,136.0,5,7.0,21.0,18.0,95,55,Chris Dudley</t>
  </si>
  <si>
    <t>76295,1961-62,00,1610612752,NYK,23.0,62,,696.0,158,367,0.431,,,,83,133,0.624,,,236.0,39,,,,114,399,Cleveland Buckner</t>
  </si>
  <si>
    <t>76295,1962-63,00,1610612752,NYK,24.0,6,,27.0,5,10,0.5,,,,2,4,0.5,,,4.0,5,,,,6,12,Cleveland Buckner</t>
  </si>
  <si>
    <t>462,1995-96,00,1610612752,NYK,28.0,33,16.0,670.0,88,160,0.55,0.0,0.0,0.0,43,55,0.782,38.0,94.0,132.0,28,18.0,7.0,30.0,89,219,J.R. Reid</t>
  </si>
  <si>
    <t>457,1999-00,00,1610612752,NYK,34.0,19,10.0,244.0,28,64,0.438,0.0,0.0,0.0,3,7,0.429,16.0,44.0,60.0,3,8.0,6.0,5.0,31,59,Andrew Lang</t>
  </si>
  <si>
    <t>202725,2011-12,00,1610612752,NYK,23.0,37,4.0,540.0,63,149,0.423,20.0,59.0,0.339,16,26,0.615,47.0,97.0,144.0,11,23.0,20.0,20.0,48,162,Josh Harrellson</t>
  </si>
  <si>
    <t>201962,2009-10,00,1610612752,NYK,24.0,56,12.0,1087.0,179,391,0.458,68.0,175.0,0.389,55,68,0.809,40.0,68.0,108.0,112,42.0,3.0,55.0,116,481,Toney Douglas</t>
  </si>
  <si>
    <t>201962,2010-11,00,1610612752,NYK,25.0,81,9.0,1971.0,314,755,0.416,143.0,383.0,0.373,85,107,0.794,65.0,179.0,244.0,244,89.0,4.0,89.0,177,856,Toney Douglas</t>
  </si>
  <si>
    <t>201962,2011-12,00,1610612752,NYK,26.0,38,9.0,656.0,94,290,0.324,27.0,117.0,0.231,22,26,0.846,16.0,56.0,72.0,77,29.0,1.0,56.0,55,237,Toney Douglas</t>
  </si>
  <si>
    <t>76289,1964-65,00,1610612752,NYK,26.0,77,,1332.0,145,436,0.333,,,,87,133,0.654,,,167.0,167,,,,212,377,Emmette Bryant</t>
  </si>
  <si>
    <t>76289,1965-66,00,1610612752,NYK,27.0,71,,1193.0,212,449,0.472,,,,74,101,0.733,,,170.0,216,,,,215,498,Emmette Bryant</t>
  </si>
  <si>
    <t>76289,1966-67,00,1610612752,NYK,28.0,63,,1593.0,236,577,0.409,,,,74,114,0.649,,,273.0,218,,,,231,546,Emmette Bryant</t>
  </si>
  <si>
    <t>76289,1967-68,00,1610612752,NYK,29.0,77,,968.0,112,291,0.385,,,,59,86,0.686,,,133.0,134,,,,173,283,Emmette Bryant</t>
  </si>
  <si>
    <t>1631376,2023-24,00,1610612752,NYK,26.0,2,0.0,2.0,0,1,0.0,0.0,0.0,0.0,0,0,0.0,0.0,0.0,0.0,0,0.0,0.0,0.0,0,0,Dmytro Skapintsev</t>
  </si>
  <si>
    <t>78142,1954-55,00,1610612752,NYK,23.0,62,,947.0,100,289,0.346,,,,59,78,0.756,,,154.0,89,,,,64,259,Gene Shue</t>
  </si>
  <si>
    <t>78142,1955-56,00,1610612752,NYK,24.0,72,,1750.0,240,625,0.384,,,,181,237,0.764,,,212.0,179,,,,111,661,Gene Shue</t>
  </si>
  <si>
    <t>78142,1962-63,00,1610612752,NYK,31.0,78,,2288.0,354,894,0.396,,,,208,302,0.689,,,191.0,259,,,,171,916,Gene Shue</t>
  </si>
  <si>
    <t>202068,2009-10,00,1610612752,NYK,24.0,17,0.0,108.0,16,41,0.39,9.0,26.0,0.346,3,5,0.6,5.0,14.0,19.0,0,1.0,2.0,6.0,14,44,Marcus Landry</t>
  </si>
  <si>
    <t>1629607,2020-21,00,1610612752,NYK,23.0,8,0.0,16.0,0,4,0.0,0.0,1.0,0.0,3,4,0.75,0.0,2.0,2.0,1,0.0,0.0,3.0,1,3,Jared Harper</t>
  </si>
  <si>
    <t>1628422,2017-18,00,1610612752,NYK,24.0,44,2.0,474.0,72,161,0.447,22.0,68.0,0.324,16,23,0.696,9.0,75.0,84.0,31,12.0,2.0,17.0,34,182,Damyean Dotson</t>
  </si>
  <si>
    <t>1628422,2018-19,00,1610612752,NYK,25.0,73,40.0,2004.0,290,698,0.415,126.0,342.0,0.368,73,98,0.745,34.0,228.0,262.0,135,58.0,10.0,71.0,135,779,Damyean Dotson</t>
  </si>
  <si>
    <t>1628422,2019-20,00,1610612752,NYK,26.0,48,0.0,836.0,120,290,0.414,59.0,163.0,0.362,22,33,0.667,10.0,81.0,91.0,57,23.0,4.0,21.0,44,321,Damyean Dotson</t>
  </si>
  <si>
    <t>1628422,2021-22,00,1610612752,NYK,28.0,2,0.0,21.0,2,4,0.5,0.0,1.0,0.0,0,0,0.0,0.0,2.0,2.0,1,0.0,0.0,0.0,0,4,Damyean Dotson</t>
  </si>
  <si>
    <t>1594,1998-99,00,1610612752,NYK,27.0,17,0.0,95.0,6,21,0.286,0.0,5.0,0.0,5,18,0.278,3.0,7.0,10.0,19,9.0,0.0,12.0,8,17,Rick Brunson</t>
  </si>
  <si>
    <t>1594,1999-00,00,1610612752,NYK,28.0,37,0.0,289.0,29,70,0.414,2.0,13.0,0.154,11,18,0.611,3.0,24.0,27.0,49,9.0,1.0,31.0,35,71,Rick Brunson</t>
  </si>
  <si>
    <t>1594,2000-01,00,1610612752,NYK,29.0,15,0.0,66.0,8,19,0.421,0.0,3.0,0.0,4,6,0.667,3.0,9.0,12.0,7,1.0,0.0,8.0,5,20,Rick Brunson</t>
  </si>
  <si>
    <t>1628443,2018-19,00,1610612752,NYK,26.0,19,1.0,416.0,65,141,0.461,17.0,36.0,0.472,42,54,0.778,8.0,43.0,51.0,76,16.0,4.0,26.0,46,189,Kadeem Allen</t>
  </si>
  <si>
    <t>1628443,2019-20,00,1610612752,NYK,27.0,10,0.0,117.0,19,44,0.432,5.0,16.0,0.313,7,11,0.636,2.0,7.0,9.0,21,5.0,2.0,8.0,7,50,Kadeem Allen</t>
  </si>
  <si>
    <t>1626184,2016-17,00,1610612752,NYK,24.0,18,0.0,225.0,28,72,0.389,10.0,32.0,0.313,29,31,0.935,6.0,21.0,27.0,28,6.0,1.0,16.0,28,95,Chasson Randle</t>
  </si>
  <si>
    <t>78138,1975-76,00,1610612752,NYK,22.0,27,,185.0,26,80,0.325,,,,19,30,0.633,17.0,24.0,41.0,8,8.0,3.0,,31,71,Gene Short</t>
  </si>
  <si>
    <t>1627851,2016-17,00,1610612752,NYK,27.0,68,5.0,1016.0,158,369,0.428,54.0,168.0,0.321,55,68,0.809,47.0,79.0,126.0,69,29.0,11.0,51.0,79,425,Mindaugas Kuzminskas</t>
  </si>
  <si>
    <t>1627851,2017-18,00,1610612752,NYK,28.0,1,0.0,2.0,0,2,0.0,0.0,0.0,0.0,0,0,0.0,0.0,0.0,0.0,0,0.0,0.0,0.0,0,0,Mindaugas Kuzminskas</t>
  </si>
  <si>
    <t>157,1993-94,00,1610612752,NYK,32.0,54,27.0,1311.0,173,402,0.43,36.0,98.0,0.367,84,113,0.743,10.0,76.0,86.0,236,80.0,4.0,81.0,117,466,Derek Harper</t>
  </si>
  <si>
    <t>157,1994-95,00,1610612752,NYK,33.0,80,80.0,2716.0,337,756,0.446,106.0,292.0,0.363,139,192,0.724,31.0,163.0,194.0,458,79.0,10.0,151.0,219,919,Derek Harper</t>
  </si>
  <si>
    <t>157,1995-96,00,1610612752,NYK,34.0,82,82.0,2893.0,436,939,0.464,121.0,325.0,0.372,156,206,0.757,32.0,170.0,202.0,352,131.0,5.0,178.0,201,1149,Derek Harper</t>
  </si>
  <si>
    <t>76585,1949-50,00,1610612752,NYK,23.0,45,,,90,275,0.327,,,,73,106,0.689,,,,38,,,,107,253,Harry Donovan</t>
  </si>
  <si>
    <t>1628973,2022-23,00,1610612752,NYK,26.0,68,68.0,2379.0,587,1195,0.491,134.0,322.0,0.416,325,392,0.829,40.0,201.0,241.0,421,61.0,15.0,142.0,152,1633,Jalen Brunson</t>
  </si>
  <si>
    <t>1628973,2023-24,00,1610612752,NYK,27.0,77,77.0,2726.0,790,1648,0.479,211.0,526.0,0.401,421,497,0.847,43.0,235.0,278.0,519,70.0,13.0,186.0,144,2212,Jalen Brunson</t>
  </si>
  <si>
    <t>2068,2000-01,00,1610612752,NYK,23.0,26,0.0,168.0,17,54,0.315,3.0,11.0,0.273,22,27,0.815,8.0,17.0,25.0,5,4.0,2.0,17.0,12,59,Lavor Postell</t>
  </si>
  <si>
    <t>2068,2001-02,00,1610612752,NYK,24.0,23,0.0,178.0,28,84,0.333,6.0,26.0,0.231,31,41,0.756,2.0,14.0,16.0,5,6.0,0.0,11.0,7,93,Lavor Postell</t>
  </si>
  <si>
    <t>2068,2002-03,00,1610612752,NYK,25.0,12,0.0,99.0,14,38,0.368,2.0,7.0,0.286,13,15,0.867,1.0,3.0,4.0,3,2.0,0.0,7.0,9,43,Lavor Postell</t>
  </si>
  <si>
    <t>77875,1974-75,00,1610612752,NYK,26.0,17,,133.0,13,36,0.361,,,,7,9,0.778,13.0,25.0,38.0,2,3.0,1.0,,17,33,Howard Porter</t>
  </si>
  <si>
    <t>77322,1947-48,00,1610612752,NYK,26.0,44,,,89,273,0.326,,,,50,84,0.595,,,,27,,,,117,228,Ray Kuka</t>
  </si>
  <si>
    <t>77322,1948-49,00,1610612752,NYK,27.0,8,,,10,36,0.278,,,,5,9,0.556,,,,11,,,,16,25,Ray Kuka</t>
  </si>
  <si>
    <t>76950,1963-64,00,1610612752,NYK,24.0,5,,59.0,13,30,0.433,,,,3,8,0.375,,,6.0,6,,,,4,29,Jerry Harkness</t>
  </si>
  <si>
    <t>76586,1987-88,00,1610612752,NYK,23.0,44,0.0,364.0,44,109,0.404,0.0,7.0,0.0,17,21,0.81,5.0,20.0,25.0,87,16.0,1.0,42.0,33,105,Billy Donovan</t>
  </si>
  <si>
    <t>1629718,2023-24,00,1610612752,NYK,27.0,8,0.0,37.0,2,10,0.2,2.0,7.0,0.286,0,0,0.0,1.0,1.0,2.0,0,0.0,2.0,2.0,5,6,Charlie Brown Jr.</t>
  </si>
  <si>
    <t>77792,1959-60,00,1610612752,NYK,27.0,74,,1482.0,246,574,0.429,,,,119,174,0.684,,,389.0,70,,,,224,611,Jim Palmer</t>
  </si>
  <si>
    <t>77792,1960-61,00,1610612752,NYK,28.0,55,,688.0,125,310,0.403,,,,44,65,0.677,,,179.0,30,,,,128,294,Jim Palmer</t>
  </si>
  <si>
    <t>77993,1982-83,00,1610612752,NYK,31.0,81,76.0,2426.0,326,706,0.462,0.0,0.0,0.0,118,201,0.587,199.0,458.0,657.0,145,57.0,24.0,190.0,241,770,Truck Robinson</t>
  </si>
  <si>
    <t>77993,1983-84,00,1610612752,NYK,32.0,65,63.0,2135.0,284,581,0.489,0.0,0.0,0.0,133,206,0.646,171.0,374.0,545.0,94,43.0,27.0,160.0,217,701,Truck Robinson</t>
  </si>
  <si>
    <t>77993,1984-85,00,1610612752,NYK,33.0,2,1.0,35.0,2,5,0.4,0.0,0.0,,0,2,0.0,6.0,3.0,9.0,3,2.0,3.0,5.0,3,4,Truck Robinson</t>
  </si>
  <si>
    <t>84,1998-99,00,1610612752,NYK,28.0,37,4.0,1233.0,215,518,0.415,21.0,77.0,0.273,155,191,0.812,41.0,115.0,156.0,91,46.0,2.0,79.0,65,606,Latrell Sprewell</t>
  </si>
  <si>
    <t>84,1999-00,00,1610612752,NYK,29.0,82,82.0,3276.0,568,1305,0.435,44.0,127.0,0.346,344,397,0.866,49.0,300.0,349.0,332,109.0,22.0,226.0,184,1524,Latrell Sprewell</t>
  </si>
  <si>
    <t>84,2000-01,00,1610612752,NYK,30.0,77,77.0,3013.0,524,1219,0.43,41.0,135.0,0.304,275,351,0.783,49.0,298.0,347.0,269,106.0,28.0,218.0,159,1364,Latrell Sprewell</t>
  </si>
  <si>
    <t>84,2001-02,00,1610612752,NYK,31.0,81,81.0,3328.0,573,1419,0.404,145.0,403.0,0.36,284,346,0.821,59.0,239.0,298.0,313,94.0,14.0,223.0,161,1575,Latrell Sprewell</t>
  </si>
  <si>
    <t>84,2002-03,00,1610612752,NYK,32.0,74,73.0,2858.0,454,1127,0.403,134.0,360.0,0.372,173,218,0.794,45.0,240.0,285.0,332,102.0,22.0,172.0,134,1215,Latrell Sprewell</t>
  </si>
  <si>
    <t>200769,2013-14,00,1610612752,NYK,28.0,19,0.0,148.0,16,38,0.421,0.0,0.0,0.0,8,12,0.667,6.0,9.0,15.0,4,12.0,0.0,10.0,12,40,Shannon Brown</t>
  </si>
  <si>
    <t>77307,1964-65,00,1610612752,NYK,22.0,19,,231.0,27,86,0.314,,,,30,40,0.75,,,41.0,15,,,,31,84,Barry Kramer</t>
  </si>
  <si>
    <t>203090,2019-20,00,1610612752,NYK,27.0,12,10.0,286.0,30,66,0.455,7.0,25.0,0.28,15,24,0.625,8.0,32.0,40.0,20,9.0,3.0,7.0,28,82,Maurice Harkless</t>
  </si>
  <si>
    <t>76583,1991-92,00,1610612752,NYK,34.0,14,0.0,81.0,5,18,0.278,0.0,0.0,0.0,2,2,1.0,2.0,17.0,19.0,2,0.0,5.0,7.0,17,12,James Donaldson</t>
  </si>
  <si>
    <t>201974,2010-11,00,1610612752,NYK,23.0,8,0.0,88.0,12,18,0.667,3.0,4.0,0.75,7,13,0.538,9.0,6.0,15.0,4,4.0,2.0,7.0,11,34,Derrick Brown</t>
  </si>
  <si>
    <t>1628436,2017-18,00,1610612752,NYK,22.0,20,1.0,326.0,49,125,0.392,28.0,79.0,0.354,8,11,0.727,11.0,53.0,64.0,26,6.0,16.0,12.0,28,134,Luke Kornet</t>
  </si>
  <si>
    <t>1628436,2018-19,00,1610612752,NYK,23.0,46,18.0,784.0,107,283,0.378,70.0,193.0,0.363,38,46,0.826,28.0,107.0,135.0,54,27.0,42.0,25.0,41,322,Luke Kornet</t>
  </si>
  <si>
    <t>203501,2013-14,00,1610612752,NYK,22.0,81,1.0,1875.0,294,687,0.428,130.0,358.0,0.363,106,128,0.828,19.0,102.0,121.0,66,44.0,7.0,47.0,144,824,Tim Hardaway Jr.</t>
  </si>
  <si>
    <t>203501,2014-15,00,1610612752,NYK,23.0,70,30.0,1681.0,279,717,0.389,121.0,354.0,0.342,125,156,0.801,12.0,144.0,156.0,127,20.0,14.0,82.0,119,804,Tim Hardaway Jr.</t>
  </si>
  <si>
    <t>203501,2017-18,00,1610612752,NYK,26.0,57,54.0,1885.0,360,856,0.421,130.0,410.0,0.317,146,179,0.816,32.0,192.0,224.0,155,62.0,10.0,92.0,123,996,Tim Hardaway Jr.</t>
  </si>
  <si>
    <t>203501,2018-19,00,1610612752,NYK,27.0,46,46.0,1499.0,282,726,0.388,117.0,337.0,0.347,199,233,0.854,26.0,135.0,161.0,122,42.0,6.0,81.0,106,880,Tim Hardaway Jr.</t>
  </si>
  <si>
    <t>1720,2002-03,00,1610612752,NYK,26.0,75,0.0,1040.0,146,343,0.426,0.0,0.0,0.0,36,46,0.783,65.0,154.0,219.0,42,16.0,16.0,49.0,150,328,Michael Doleac</t>
  </si>
  <si>
    <t>1720,2003-04,00,1610612752,NYK,27.0,46,0.0,681.0,100,225,0.444,0.0,0.0,0.0,31,36,0.861,60.0,129.0,189.0,30,17.0,30.0,37.0,84,231,Michael Doleac</t>
  </si>
  <si>
    <t>418,1996-97,00,1610612752,NYK,31.0,38,0.0,247.0,19,39,0.487,5.0,12.0,0.417,14,15,0.933,6.0,12.0,18.0,29,21.0,0.0,17.0,35,57,Scott Brooks</t>
  </si>
  <si>
    <t>78260,1962-63,00,1610612752,NYK,24.0,25,,209.0,37,110,0.336,,,,3,10,0.3,,,39.0,18,,,,23,77,Tom Stith</t>
  </si>
  <si>
    <t>77297,1964-65,00,1610612752,NYK,24.0,80,,2378.0,381,1020,0.374,,,,212,254,0.835,,,195.0,265,,,,246,974,Howard Komives</t>
  </si>
  <si>
    <t>77297,1965-66,00,1610612752,NYK,25.0,80,,2612.0,436,1116,0.391,,,,241,280,0.861,,,281.0,425,,,,278,1113,Howard Komives</t>
  </si>
  <si>
    <t>77297,1966-67,00,1610612752,NYK,26.0,65,,2282.0,402,995,0.404,,,,217,253,0.858,,,183.0,401,,,,213,1021,Howard Komives</t>
  </si>
  <si>
    <t>77297,1967-68,00,1610612752,NYK,27.0,78,,1660.0,233,631,0.369,,,,132,161,0.82,,,168.0,246,,,,170,598,Howard Komives</t>
  </si>
  <si>
    <t>77297,1968-69,00,1610612752,NYK,28.0,32,,836.0,107,309,0.346,,,,73,86,0.849,,,95.0,137,,,,96,287,Howard Komives</t>
  </si>
  <si>
    <t>358,2003-04,00,1610612752,NYK,32.0,42,4.0,1219.0,159,408,0.39,16.0,44.0,0.364,69,89,0.775,42.0,147.0,189.0,79,42.0,12.0,65.0,81,403,Anfernee Hardaway</t>
  </si>
  <si>
    <t>358,2004-05,00,1610612752,NYK,33.0,37,0.0,895.0,110,260,0.423,15.0,50.0,0.3,34,46,0.739,19.0,70.0,89.0,74,28.0,3.0,50.0,79,269,Anfernee Hardaway</t>
  </si>
  <si>
    <t>358,2005-06,00,1610612752,NYK,34.0,4,0.0,72.0,4,14,0.286,0.0,1.0,0.0,2,2,1.0,0.0,10.0,10.0,8,2.0,0.0,6.0,7,10,Anfernee Hardaway</t>
  </si>
  <si>
    <t>1629603,2023-24,00,1610612752,NYK,27.0,3,0.0,8.0,0,1,0.0,0.0,1.0,0.0,0,0,0.0,0.0,1.0,1.0,0,1.0,0.0,1.0,1,0,Mamadi Diakite</t>
  </si>
  <si>
    <t>76255,1946-47,00,1610612752,NYK,23.0,12,,,14,49,0.286,,,,6,7,0.857,,,,1,,,,16,34,Audley Brindley</t>
  </si>
  <si>
    <t>76219,1967-68,00,1610612752,NYK,25.0,42,,272.0,52,134,0.388,,,,10,15,0.667,,,113.0,20,,,,69,114,Nate Bowman</t>
  </si>
  <si>
    <t>76219,1968-69,00,1610612752,NYK,26.0,67,,607.0,82,226,0.363,,,,29,61,0.475,,,220.0,53,,,,142,193,Nate Bowman</t>
  </si>
  <si>
    <t>76219,1969-70,00,1610612752,NYK,27.0,81,,744.0,98,235,0.417,,,,41,79,0.519,,,257.0,46,,,,189,237,Nate Bowman</t>
  </si>
  <si>
    <t>1628995,2018-19,00,1610612752,NYK,19.0,75,57.0,2158.0,338,914,0.37,125.0,364.0,0.343,162,226,0.717,61.0,274.0,335.0,82,43.0,24.0,114.0,175,963,Kevin Knox II</t>
  </si>
  <si>
    <t>1628995,2019-20,00,1610612752,NYK,20.0,65,4.0,1166.0,144,401,0.359,65.0,199.0,0.327,66,101,0.653,28.0,156.0,184.0,61,23.0,28.0,45.0,106,419,Kevin Knox II</t>
  </si>
  <si>
    <t>1628995,2020-21,00,1610612752,NYK,21.0,42,0.0,464.0,56,143,0.392,35.0,89.0,0.393,16,20,0.8,10.0,51.0,61.0,19,12.0,6.0,17.0,37,163,Kevin Knox II</t>
  </si>
  <si>
    <t>1628995,2021-22,00,1610612752,NYK,22.0,13,0.0,111.0,15,40,0.375,10.0,28.0,0.357,7,10,0.7,8.0,14.0,22.0,3,2.0,1.0,5.0,5,47,Kevin Knox II</t>
  </si>
  <si>
    <t>1629788,2021-22,00,1610612752,NYK,25.0,1,0.0,2.0,0,0,0.0,0.0,0.0,0.0,0,0,0.0,0.0,0.0,0.0,0,0.0,0.0,0.0,0,0,Tyler Hall</t>
  </si>
  <si>
    <t>1628978,2023-24,00,1610612752,NYK,27.0,81,63.0,2360.0,445,1004,0.443,283.0,705.0,0.401,86,114,0.754,63.0,234.0,297.0,216,107.0,36.0,113.0,166,1259,Donte DiVincenzo</t>
  </si>
  <si>
    <t>77291,1946-47,00,1610612752,NYK,25.0,22,,,62,219,0.283,,,,47,72,0.653,,,,21,,,,64,171,Lee Knorek</t>
  </si>
  <si>
    <t>77291,1947-48,00,1610612752,NYK,26.0,48,,,99,369,0.268,,,,61,120,0.508,,,,50,,,,171,259,Lee Knorek</t>
  </si>
  <si>
    <t>77291,1948-49,00,1610612752,NYK,27.0,60,,,156,457,0.341,,,,131,183,0.716,,,,135,,,,258,443,Lee Knorek</t>
  </si>
  <si>
    <t>200758,2012-13,00,1610612752,NYK,28.0,46,34.0,711.0,64,175,0.366,22.0,71.0,0.31,16,39,0.41,29.0,71.0,100.0,40,34.0,6.0,14.0,27,166,Ronnie Brewer</t>
  </si>
  <si>
    <t>76902,1956-57,00,1610612752,NYK,25.0,72,,1793.0,257,699,0.368,,,,181,292,0.62,,,334.0,182,,,,186,695,Richie Guerin</t>
  </si>
  <si>
    <t>76902,1957-58,00,1610612752,NYK,26.0,63,,2368.0,344,973,0.354,,,,353,511,0.691,,,489.0,317,,,,202,1041,Richie Guerin</t>
  </si>
  <si>
    <t>76902,1958-59,00,1610612752,NYK,27.0,71,,2558.0,443,1046,0.424,,,,405,505,0.802,,,518.0,364,,,,255,1291,Richie Guerin</t>
  </si>
  <si>
    <t>76902,1959-60,00,1610612752,NYK,28.0,74,,2429.0,579,1379,0.42,,,,457,591,0.773,,,505.0,468,,,,242,1615,Richie Guerin</t>
  </si>
  <si>
    <t>76902,1960-61,00,1610612752,NYK,29.0,79,,3023.0,612,1545,0.396,,,,496,626,0.792,,,628.0,503,,,,310,1720,Richie Guerin</t>
  </si>
  <si>
    <t>76902,1961-62,00,1610612752,NYK,30.0,78,,3348.0,839,1897,0.442,,,,625,762,0.82,,,501.0,539,,,,299,2303,Richie Guerin</t>
  </si>
  <si>
    <t>76902,1962-63,00,1610612752,NYK,31.0,79,,2712.0,596,1380,0.432,,,,509,600,0.848,,,331.0,348,,,,228,1701,Richie Guerin</t>
  </si>
  <si>
    <t>76560,1966-67,00,1610612752,NYK,22.0,19,,93.0,6,36,0.167,,,,9,20,0.45,,,21.0,15,,,,17,21,Dave Deutsch</t>
  </si>
  <si>
    <t>76018,1966-67,00,1610612752,NYK,22.0,50,,453.0,83,230,0.361,,,,26,37,0.703,,,120.0,25,,,,82,192,Henry Akin</t>
  </si>
  <si>
    <t>2249,2004-05,00,1610612752,NYK,24.0,18,0.0,184.0,11,37,0.297,3.0,15.0,0.2,6,13,0.462,6.0,16.0,22.0,12,8.0,1.0,13.0,11,31,Jamison Brewer</t>
  </si>
  <si>
    <t>969,2000-01,00,1610612752,NYK,26.0,45,0.0,255.0,10,53,0.189,0.0,1.0,0.0,9,18,0.5,19.0,34.0,53.0,5,5.0,11.0,10.0,47,29,Travis Knight</t>
  </si>
  <si>
    <t>969,2001-02,00,1610612752,NYK,27.0,49,0.0,430.0,41,113,0.363,0.0,0.0,0.0,16,21,0.762,48.0,56.0,104.0,8,11.0,10.0,27.0,95,98,Travis Knight</t>
  </si>
  <si>
    <t>969,2002-03,00,1610612752,NYK,28.0,32,0.0,287.0,25,65,0.385,0.0,1.0,0.0,10,13,0.769,18.0,44.0,62.0,14,8.0,9.0,10.0,44,60,Travis Knight</t>
  </si>
  <si>
    <t>76899,1982-83,00,1610612752,NYK,28.0,77,0.0,1422.0,167,377,0.443,0.0,4.0,0.0,81,98,0.827,42.0,121.0,163.0,136,40.0,10.0,84.0,172,415,Ernie Grunfeld</t>
  </si>
  <si>
    <t>76899,1983-84,00,1610612752,NYK,29.0,76,6.0,1119.0,166,362,0.459,2.0,9.0,0.222,64,83,0.771,24.0,97.0,121.0,108,43.0,7.0,71.0,151,398,Ernie Grunfeld</t>
  </si>
  <si>
    <t>76899,1984-85,00,1610612752,NYK,30.0,69,0.0,1061.0,188,384,0.49,2.0,8.0,0.25,77,104,0.74,41.0,110.0,151.0,105,50.0,7.0,40.0,129,455,Ernie Grunfeld</t>
  </si>
  <si>
    <t>76899,1985-86,00,1610612752,NYK,31.0,76,0.0,1402.0,148,355,0.417,26.0,61.0,0.426,90,108,0.833,42.0,164.0,206.0,119,39.0,13.0,50.0,192,412,Ernie Grunfeld</t>
  </si>
  <si>
    <t>76553,1979-80,00,1610612752,NYK,23.0,82,,1872.0,230,528,0.436,0.0,0.0,,110,183,0.601,195.0,288.0,483.0,64,56.0,30.0,168.0,306,570,Larry Demic</t>
  </si>
  <si>
    <t>76553,1980-81,00,1610612752,NYK,24.0,76,,964.0,128,254,0.504,0.0,2.0,0.0,58,92,0.63,114.0,129.0,243.0,28,12.0,13.0,58.0,153,314,Larry Demic</t>
  </si>
  <si>
    <t>76553,1981-82,00,1610612752,NYK,25.0,48,0.0,356.0,39,83,0.47,0.0,1.0,0.0,14,39,0.359,29.0,50.0,79.0,14,4.0,6.0,26.0,65,92,Larry Demic</t>
  </si>
  <si>
    <t>77929,1964-65,00,1610612752,NYK,23.0,80,,3042.0,629,1457,0.432,,,,302,407,0.742,,,1175.0,133,,,,339,1560,Willis Reed</t>
  </si>
  <si>
    <t>77929,1965-66,00,1610612752,NYK,24.0,76,,2537.0,438,1009,0.434,,,,302,399,0.757,,,883.0,91,,,,323,1178,Willis Reed</t>
  </si>
  <si>
    <t>77929,1966-67,00,1610612752,NYK,25.0,78,,2824.0,635,1298,0.489,,,,358,487,0.735,,,1136.0,126,,,,293,1628,Willis Reed</t>
  </si>
  <si>
    <t>77929,1967-68,00,1610612752,NYK,26.0,81,,2879.0,659,1346,0.49,,,,367,509,0.721,,,1073.0,159,,,,343,1685,Willis Reed</t>
  </si>
  <si>
    <t>77929,1968-69,00,1610612752,NYK,27.0,82,,3108.0,704,1351,0.521,,,,325,435,0.747,,,1191.0,190,,,,314,1733,Willis Reed</t>
  </si>
  <si>
    <t>77929,1969-70,00,1610612752,NYK,28.0,81,,3089.0,702,1385,0.507,,,,351,464,0.756,,,1126.0,161,,,,287,1755,Willis Reed</t>
  </si>
  <si>
    <t>77929,1970-71,00,1610612752,NYK,29.0,73,,2855.0,614,1330,0.462,,,,299,381,0.785,,,1003.0,148,,,,228,1527,Willis Reed</t>
  </si>
  <si>
    <t>77929,1971-72,00,1610612752,NYK,30.0,11,,363.0,60,137,0.438,,,,27,39,0.692,,,96.0,22,,,,30,147,Willis Reed</t>
  </si>
  <si>
    <t>77929,1972-73,00,1610612752,NYK,31.0,69,,1876.0,334,705,0.474,,,,92,124,0.742,,,590.0,126,,,,205,760,Willis Reed</t>
  </si>
  <si>
    <t>77929,1973-74,00,1610612752,NYK,32.0,19,,500.0,84,184,0.457,,,,42,53,0.792,47.0,94.0,141.0,30,12.0,21.0,,49,210,Willis Reed</t>
  </si>
  <si>
    <t>77289,1977-78,00,1610612752,NYK,23.0,80,,1169.0,222,465,0.477,,,,63,97,0.649,121.0,200.0,321.0,38,50.0,28.0,97.0,211,507,Toby Knight</t>
  </si>
  <si>
    <t>77289,1978-79,00,1610612752,NYK,24.0,82,,2667.0,609,1174,0.519,,,,145,206,0.704,201.0,347.0,548.0,124,61.0,60.0,163.0,309,1363,Toby Knight</t>
  </si>
  <si>
    <t>77289,1979-80,00,1610612752,NYK,25.0,81,,2945.0,669,1265,0.529,0.0,2.0,0.0,211,261,0.808,201.0,292.0,493.0,150,117.0,86.0,163.0,302,1549,Toby Knight</t>
  </si>
  <si>
    <t>77289,1981-82,00,1610612752,NYK,27.0,40,0.0,550.0,102,183,0.557,0.0,0.0,,17,25,0.68,33.0,49.0,82.0,23,14.0,11.0,21.0,74,221,Toby Knight</t>
  </si>
  <si>
    <t>1629656,2021-22,00,1610612752,NYK,22.0,46,6.0,786.0,95,235,0.404,72.0,189.0,0.381,13,19,0.684,24.0,70.0,94.0,44,31.0,11.0,28.0,72,275,Quentin Grimes</t>
  </si>
  <si>
    <t>1629656,2022-23,00,1610612752,NYK,23.0,71,66.0,2121.0,282,602,0.468,157.0,407.0,0.386,78,98,0.796,49.0,180.0,229.0,150,47.0,26.0,69.0,177,799,Quentin Grimes</t>
  </si>
  <si>
    <t>1629656,2023-24,00,1610612752,NYK,24.0,45,18.0,910.0,113,286,0.395,77.0,212.0,0.363,24,34,0.706,14.0,74.0,88.0,52,30.0,3.0,21.0,66,327,Quentin Grimes</t>
  </si>
  <si>
    <t>76545,1968-69,00,1610612752,NYK,28.0,47,,1851.0,317,717,0.442,,,,135,198,0.682,,,535.0,128,,,,179,769,Dave DeBusschere</t>
  </si>
  <si>
    <t>76545,1969-70,00,1610612752,NYK,29.0,79,,2627.0,488,1082,0.451,,,,176,256,0.688,,,790.0,194,,,,244,1152,Dave DeBusschere</t>
  </si>
  <si>
    <t>76545,1970-71,00,1610612752,NYK,30.0,81,,2891.0,523,1243,0.421,,,,217,312,0.696,,,901.0,220,,,,237,1263,Dave DeBusschere</t>
  </si>
  <si>
    <t>76545,1971-72,00,1610612752,NYK,31.0,80,,3072.0,520,1218,0.427,,,,193,265,0.728,,,901.0,291,,,,219,1233,Dave DeBusschere</t>
  </si>
  <si>
    <t>76545,1972-73,00,1610612752,NYK,32.0,77,,2827.0,532,1224,0.435,,,,194,260,0.746,,,787.0,259,,,,215,1258,Dave DeBusschere</t>
  </si>
  <si>
    <t>76545,1973-74,00,1610612752,NYK,33.0,71,,2699.0,559,1212,0.461,,,,164,217,0.756,134.0,623.0,757.0,253,67.0,39.0,,222,1282,Dave DeBusschere</t>
  </si>
  <si>
    <t>1000,2001-02,00,1610612752,NYK,28.0,82,6.0,1596.0,149,373,0.399,39.0,141.0,0.277,74,107,0.692,57.0,192.0,249.0,76,48.0,15.0,97.0,134,411,Shandon Anderson</t>
  </si>
  <si>
    <t>1000,2002-03,00,1610612752,NYK,29.0,82,9.0,1729.0,248,537,0.462,52.0,140.0,0.371,139,190,0.732,64.0,190.0,254.0,87,73.0,20.0,114.0,177,687,Shandon Anderson</t>
  </si>
  <si>
    <t>1000,2003-04,00,1610612752,NYK,30.0,80,37.0,1972.0,238,564,0.422,36.0,128.0,0.281,123,161,0.764,53.0,169.0,222.0,122,68.0,17.0,118.0,182,635,Shandon Anderson</t>
  </si>
  <si>
    <t>1000,2004-05,00,1610612752,NYK,31.0,1,0.0,20.0,0,2,0.0,0.0,1.0,0.0,0,0,0.0,1.0,0.0,1.0,0,0.0,0.0,1.0,2,0,Shandon Anderson</t>
  </si>
  <si>
    <t>76245,1958-59,00,1610612752,NYK,22.0,16,,136.0,13,43,0.302,,,,14,25,0.56,,,31.0,6,,,,15,40,Pete Brennan</t>
  </si>
  <si>
    <t>78216,1956-57,00,1610612752,NYK,22.0,71,,1378.0,166,442,0.376,,,,152,199,0.764,,,326.0,129,,,,158,484,Ron Sobie</t>
  </si>
  <si>
    <t>78216,1957-58,00,1610612752,NYK,23.0,55,,1399.0,217,539,0.403,,,,196,239,0.82,,,263.0,125,,,,147,630,Ron Sobie</t>
  </si>
  <si>
    <t>78216,1958-59,00,1610612752,NYK,24.0,50,,857.0,144,400,0.36,,,,112,133,0.842,,,154.0,78,,,,84,400,Ron Sobie</t>
  </si>
  <si>
    <t>78216,1959-60,00,1610612752,NYK,25.0,16,,234.0,37,108,0.343,,,,31,37,0.838,,,48.0,21,,,,32,105,Ron Sobie</t>
  </si>
  <si>
    <t>78136,1982-83,00,1610612752,NYK,23.0,64,37.0,1624.0,171,421,0.406,1.0,13.0,0.077,52,80,0.65,43.0,106.0,149.0,311,96.0,14.0,104.0,112,395,Edmund Sherod</t>
  </si>
  <si>
    <t>1629649,2019-20,00,1610612752,NYK,21.0,9,0.0,53.0,6,22,0.273,1.0,9.0,0.111,4,5,0.8,2.0,3.0,5.0,4,0.0,1.0,2.0,3,17,Ignas Brazdeikis</t>
  </si>
  <si>
    <t>1629649,2020-21,00,1610612752,NYK,22.0,4,0.0,7.0,0,1,0.0,0.0,0.0,0.0,2,2,1.0,1.0,1.0,2.0,1,0.0,0.0,1.0,0,2,Ignas Brazdeikis</t>
  </si>
  <si>
    <t>77789,1993-94,00,1610612752,NYK,29.0,3,0.0,8.0,2,5,0.4,0.0,0.0,0.0,0,0,0.0,0.0,0.0,0.0,0,0.0,0.0,0.0,3,4,Gerald Paddio</t>
  </si>
  <si>
    <t>77287,1954-55,00,1610612752,NYK,50.0,2,,29.0,3,7,0.429,,,,1,1,1.0,,,1.0,8,,,,6,7,Bob Knight</t>
  </si>
  <si>
    <t>76891,1954-55,00,1610612752,NYK,26.0,7,,45.0,7,19,0.368,,,,2,8,0.25,,,11.0,7,,,,9,16,Chuck Grigsby</t>
  </si>
  <si>
    <t>76530,1982-83,00,1610612752,NYK,26.0,8,0.0,28.0,4,10,0.4,0.0,0.0,0.0,6,10,0.6,3.0,7.0,10.0,0,0.0,4.0,0.0,4,14,Michael Davis</t>
  </si>
  <si>
    <t>77906,1959-60,00,1610612752,NYK,22.0,11,,195.0,39,96,0.406,,,,19,33,0.576,,,66.0,9,,,,25,97,Cal Ramsey</t>
  </si>
  <si>
    <t>77770,1982-83,00,1610612752,NYK,25.0,82,14.0,1666.0,274,593,0.462,0.0,2.0,0.0,140,175,0.8,94.0,134.0,228.0,94,64.0,24.0,93.0,134,688,Louis Orr</t>
  </si>
  <si>
    <t>77770,1983-84,00,1610612752,NYK,26.0,78,20.0,1640.0,262,572,0.458,0.0,0.0,0.0,173,211,0.82,101.0,127.0,228.0,61,66.0,17.0,95.0,142,697,Louis Orr</t>
  </si>
  <si>
    <t>77770,1984-85,00,1610612752,NYK,27.0,79,31.0,2452.0,372,766,0.486,1.0,10.0,0.1,262,334,0.784,171.0,220.0,391.0,134,100.0,27.0,138.0,195,1007,Louis Orr</t>
  </si>
  <si>
    <t>77770,1985-86,00,1610612752,NYK,28.0,74,64.0,2237.0,330,741,0.445,0.0,4.0,0.0,218,278,0.784,123.0,189.0,312.0,179,61.0,26.0,118.0,177,878,Louis Orr</t>
  </si>
  <si>
    <t>77770,1986-87,00,1610612752,NYK,29.0,65,8.0,1440.0,166,389,0.427,1.0,5.0,0.2,125,172,0.727,102.0,130.0,232.0,110,47.0,18.0,70.0,123,458,Louis Orr</t>
  </si>
  <si>
    <t>77770,1987-88,00,1610612752,NYK,30.0,29,0.0,180.0,16,50,0.32,0.0,1.0,0.0,8,16,0.5,13.0,21.0,34.0,9,6.0,0.0,14.0,27,40,Louis Orr</t>
  </si>
  <si>
    <t>293,1992-93,00,1610612752,NYK,27.0,81,68.0,2172.0,358,764,0.469,0.0,2.0,0.0,287,367,0.782,170.0,262.0,432.0,142,48.0,96.0,155.0,254,1003,Charles Smith</t>
  </si>
  <si>
    <t>293,1993-94,00,1610612752,NYK,28.0,43,21.0,1105.0,176,397,0.443,8.0,16.0,0.5,87,121,0.719,66.0,99.0,165.0,50,26.0,45.0,64.0,144,447,Charles Smith</t>
  </si>
  <si>
    <t>293,1994-95,00,1610612752,NYK,29.0,76,58.0,2150.0,352,747,0.471,7.0,31.0,0.226,255,322,0.792,144.0,180.0,324.0,120,49.0,95.0,147.0,286,966,Charles Smith</t>
  </si>
  <si>
    <t>293,1995-96,00,1610612752,NYK,30.0,41,4.0,890.0,114,294,0.388,2.0,15.0,0.133,73,103,0.709,59.0,101.0,160.0,29,18.0,51.0,61.0,124,303,Charles Smith</t>
  </si>
  <si>
    <t>1123,1994-95,00,1610612752,NYK,33.0,2,0.0,16.0,0,3,0.0,0.0,0.0,0.0,0,0,0.0,2.0,2.0,4.0,0,0.0,0.0,1.0,2,0,Greg Kite</t>
  </si>
  <si>
    <t>76876,1987-88,00,1610612752,NYK,27.0,82,65.0,2049.0,258,585,0.441,0.0,2.0,0.0,126,190,0.663,221.0,421.0,642.0,93,65.0,32.0,148.0,318,642,Sidney Green</t>
  </si>
  <si>
    <t>76876,1988-89,00,1610612752,NYK,28.0,82,0.0,1277.0,194,422,0.46,0.0,3.0,0.0,129,170,0.759,157.0,237.0,394.0,76,47.0,18.0,125.0,172,517,Sidney Green</t>
  </si>
  <si>
    <t>76529,1973-74,00,1610612752,NYK,23.0,30,,167.0,33,95,0.347,,,,12,16,0.75,17.0,37.0,54.0,8,3.0,4.0,,36,78,Mel Davis</t>
  </si>
  <si>
    <t>76529,1974-75,00,1610612752,NYK,24.0,62,,903.0,154,395,0.39,,,,48,70,0.686,70.0,251.0,321.0,54,16.0,8.0,,105,356,Mel Davis</t>
  </si>
  <si>
    <t>76529,1975-76,00,1610612752,NYK,25.0,42,,408.0,76,193,0.394,,,,22,29,0.759,43.0,105.0,148.0,31,16.0,5.0,,56,174,Mel Davis</t>
  </si>
  <si>
    <t>76529,1976-77,00,1610612752,NYK,26.0,22,,342.0,41,110,0.373,,,,22,31,0.71,30.0,70.0,100.0,24,9.0,1.0,,45,104,Mel Davis</t>
  </si>
  <si>
    <t>78141,1948-49,00,1610612752,NYK,26.0,4,,,0,0,,,,,1,3,0.333,,,,2,,,,2,1,Dick Shrider</t>
  </si>
  <si>
    <t>1627850,2016-17,00,1610612752,NYK,24.0,21,1.0,170.0,16,30,0.533,0.0,0.0,0.0,8,19,0.421,23.0,28.0,51.0,10,4.0,4.0,12.0,23,40,Marshall Plumlee</t>
  </si>
  <si>
    <t>77279,1961-62,00,1610612752,NYK,24.0,5,,13.0,3,6,0.5,,,,2,4,0.5,,,1.0,0,,,,2,8,Doug Kistler</t>
  </si>
  <si>
    <t>76868,1985-86,00,1610612752,NYK,26.0,7,0.0,72.0,13,27,0.481,0.0,0.0,,5,9,0.556,12.0,15.0,27.0,2,4.0,0.0,1.0,8,31,Ken Green</t>
  </si>
  <si>
    <t>93,1992-93,00,1610612752,NYK,23.0,50,2.0,815.0,110,251,0.438,6.0,19.0,0.316,43,54,0.796,13.0,43.0,56.0,83,22.0,4.0,45.0,71,269,Hubert Davis</t>
  </si>
  <si>
    <t>93,1993-94,00,1610612752,NYK,24.0,56,27.0,1333.0,238,505,0.471,53.0,132.0,0.402,85,103,0.825,23.0,44.0,67.0,165,40.0,4.0,76.0,118,614,Hubert Davis</t>
  </si>
  <si>
    <t>93,1994-95,00,1610612752,NYK,25.0,82,4.0,1697.0,296,617,0.48,131.0,288.0,0.455,97,120,0.808,30.0,80.0,110.0,150,35.0,11.0,87.0,146,820,Hubert Davis</t>
  </si>
  <si>
    <t>93,1995-96,00,1610612752,NYK,26.0,74,14.0,1773.0,275,566,0.486,127.0,267.0,0.476,112,129,0.868,35.0,88.0,123.0,103,31.0,8.0,63.0,120,789,Hubert Davis</t>
  </si>
  <si>
    <t>101194,2008-09,00,1610612752,NYK,26.0,23,0.0,253.0,39,103,0.379,24.0,71.0,0.338,5,5,1.0,4.0,11.0,15.0,19,10.0,1.0,7.0,18,107,Anthony Roberson</t>
  </si>
  <si>
    <t>600009,1982-83,00,1610612752,NYK,25.0,32,9.0,880.0,128,298,0.43,2.0,7.0,0.286,63,86,0.733,22.0,67.0,89.0,159,37.0,4.0,71.0,93,321,Rory Sparrow</t>
  </si>
  <si>
    <t>600009,1983-84,00,1610612752,NYK,26.0,79,74.0,2436.0,350,738,0.474,10.0,39.0,0.256,108,131,0.824,48.0,141.0,189.0,539,100.0,8.0,210.0,230,818,Rory Sparrow</t>
  </si>
  <si>
    <t>600009,1984-85,00,1610612752,NYK,27.0,79,41.0,2292.0,326,662,0.492,7.0,31.0,0.226,122,141,0.865,38.0,131.0,169.0,557,81.0,9.0,150.0,200,781,Rory Sparrow</t>
  </si>
  <si>
    <t>600009,1985-86,00,1610612752,NYK,28.0,74,74.0,2344.0,345,723,0.477,5.0,20.0,0.25,101,127,0.795,50.0,120.0,170.0,472,85.0,14.0,154.0,182,796,Rory Sparrow</t>
  </si>
  <si>
    <t>600009,1986-87,00,1610612752,NYK,29.0,80,30.0,1951.0,263,590,0.446,11.0,42.0,0.262,71,89,0.798,29.0,86.0,115.0,432,67.0,6.0,140.0,160,608,Rory Sparrow</t>
  </si>
  <si>
    <t>600009,1987-88,00,1610612752,NYK,30.0,3,0.0,52.0,5,19,0.263,0.0,1.0,0.0,0,0,0.0,1.0,1.0,2.0,5,4.0,0.0,6.0,7,10,Rory Sparrow</t>
  </si>
  <si>
    <t>77264,1982-83,00,1610612752,NYK,26.0,68,68.0,2207.0,603,1142,0.528,0.0,6.0,0.0,280,388,0.722,99.0,227.0,326.0,195,90.0,13.0,197.0,233,1486,Bernard King</t>
  </si>
  <si>
    <t>77264,1983-84,00,1610612752,NYK,27.0,77,76.0,2667.0,795,1391,0.572,0.0,4.0,0.0,437,561,0.779,123.0,271.0,394.0,164,75.0,17.0,197.0,273,2027,Bernard King</t>
  </si>
  <si>
    <t>77264,1984-85,00,1610612752,NYK,28.0,55,55.0,2063.0,691,1303,0.53,1.0,10.0,0.1,426,552,0.772,114.0,203.0,317.0,204,71.0,15.0,204.0,191,1809,Bernard King</t>
  </si>
  <si>
    <t>77264,1986-87,00,1610612752,NYK,30.0,6,4.0,214.0,52,105,0.495,0.0,0.0,0.0,32,43,0.744,13.0,19.0,32.0,19,2.0,0.0,15.0,14,136,Bernard King</t>
  </si>
  <si>
    <t>76867,1959-60,00,1610612752,NYK,26.0,69,,1232.0,209,468,0.447,,,,63,155,0.406,,,539.0,52,,,,195,481,Johnny Green</t>
  </si>
  <si>
    <t>76867,1960-61,00,1610612752,NYK,27.0,78,,1784.0,326,758,0.43,,,,145,278,0.522,,,838.0,97,,,,194,797,Johnny Green</t>
  </si>
  <si>
    <t>76867,1961-62,00,1610612752,NYK,28.0,80,,2789.0,507,1164,0.436,,,,261,434,0.601,,,1066.0,191,,,,265,1275,Johnny Green</t>
  </si>
  <si>
    <t>76867,1962-63,00,1610612752,NYK,29.0,80,,2553.0,582,1261,0.462,,,,280,439,0.638,,,964.0,152,,,,243,1444,Johnny Green</t>
  </si>
  <si>
    <t>76867,1963-64,00,1610612752,NYK,30.0,80,,2134.0,482,1026,0.47,,,,195,392,0.497,,,799.0,157,,,,246,1159,Johnny Green</t>
  </si>
  <si>
    <t>76867,1964-65,00,1610612752,NYK,31.0,78,,1720.0,346,737,0.469,,,,165,301,0.548,,,545.0,129,,,,194,857,Johnny Green</t>
  </si>
  <si>
    <t>76867,1965-66,00,1610612752,NYK,32.0,7,,208.0,43,79,0.544,,,,15,31,0.484,,,74.0,11,,,,21,101,Johnny Green</t>
  </si>
  <si>
    <t>989,1997-98,00,1610612752,NYK,25.0,7,0.0,13.0,2,10,0.2,0.0,0.0,0.0,0,0,0.0,6.0,0.0,6.0,0,1.0,0.0,0.0,3,4,Ben Davis</t>
  </si>
  <si>
    <t>989,1998-99,00,1610612752,NYK,26.0,8,0.0,21.0,7,17,0.412,0.0,0.0,0.0,3,6,0.5,9.0,2.0,11.0,3,0.0,0.0,1.0,4,17,Ben Davis</t>
  </si>
  <si>
    <t>77260,1992-93,00,1610612752,NYK,27.0,9,0.0,55.0,14,33,0.424,2.0,8.0,0.25,3,8,0.375,3.0,8.0,11.0,5,1.0,0.0,6.0,10,33,Bo Kimble</t>
  </si>
  <si>
    <t>76861,1989-90,00,1610612752,NYK,27.0,19,0.0,94.0,4,17,0.235,0.0,3.0,0.0,7,8,0.875,2.0,12.0,14.0,2,3.0,2.0,5.0,26,15,Stuart Gray</t>
  </si>
  <si>
    <t>76861,1990-91,00,1610612752,NYK,28.0,8,0.0,37.0,4,12,0.333,0.0,0.0,0.0,3,3,1.0,2.0,8.0,10.0,0,0.0,1.0,2.0,6,11,Stuart Gray</t>
  </si>
  <si>
    <t>1884,2011-12,00,1610612752,NYK,33.0,29,14.0,595.0,68,184,0.37,26.0,85.0,0.306,16,24,0.667,13.0,43.0,56.0,135,34.0,3.0,76.0,61,178,Baron Davis</t>
  </si>
  <si>
    <t>467,2012-13,00,1610612752,NYK,40.0,76,48.0,2043.0,152,409,0.372,114.0,325.0,0.351,40,48,0.833,50.0,273.0,323.0,249,125.0,25.0,76.0,125,458,Jason Kidd</t>
  </si>
  <si>
    <t>1626170,2015-16,00,1610612752,NYK,23.0,76,6.0,1265.0,154,391,0.394,22.0,100.0,0.22,96,123,0.78,23.0,120.0,143.0,177,50.0,10.0,87.0,97,426,Jerian Grant</t>
  </si>
  <si>
    <t>213,2005-06,00,1610612752,NYK,37.0,36,31.0,749.0,68,159,0.428,0.0,1.0,0.0,45,61,0.738,75.0,97.0,172.0,14,20.0,9.0,43.0,99,181,Antonio Davis</t>
  </si>
  <si>
    <t>990,2004-05,00,1610612752,NYK,30.0,26,4.0,612.0,74,174,0.425,1.0,6.0,0.167,68,87,0.782,34.0,80.0,114.0,18,15.0,7.0,46.0,84,217,Malik Rose</t>
  </si>
  <si>
    <t>990,2005-06,00,1610612752,NYK,31.0,72,35.0,1119.0,105,281,0.374,1.0,1.0,1.0,107,137,0.781,84.0,175.0,259.0,67,43.0,14.0,80.0,145,318,Malik Rose</t>
  </si>
  <si>
    <t>990,2006-07,00,1610612752,NYK,32.0,65,2.0,810.0,74,186,0.398,2.0,8.0,0.25,42,52,0.808,47.0,128.0,175.0,65,26.0,9.0,65.0,120,192,Malik Rose</t>
  </si>
  <si>
    <t>990,2007-08,00,1610612752,NYK,33.0,49,3.0,494.0,66,180,0.367,2.0,7.0,0.286,37,51,0.725,31.0,72.0,103.0,28,16.0,7.0,40.0,80,171,Malik Rose</t>
  </si>
  <si>
    <t>990,2008-09,00,1610612752,NYK,34.0,18,0.0,160.0,11,41,0.268,0.0,4.0,0.0,8,11,0.727,4.0,27.0,31.0,10,1.0,1.0,17.0,24,30,Malik Rose</t>
  </si>
  <si>
    <t>78128,1956-57,00,1610612752,NYK,23.0,7,,72.0,4,22,0.182,,,,2,5,0.4,,,22.0,0,,,,12,10,Ron Shavlik</t>
  </si>
  <si>
    <t>78128,1957-58,00,1610612752,NYK,24.0,1,,2.0,0,1,0.0,,,,0,0,,,,1.0,0,,,,0,0,Ron Shavlik</t>
  </si>
  <si>
    <t>1631211,2022-23,00,1610612752,NYK,19.0,3,0.0,8.0,1,4,0.25,1.0,4.0,0.25,0,0,0.0,0.0,2.0,2.0,0,0.0,0.0,0.0,0,3,Trevor Keels</t>
  </si>
  <si>
    <t>285,1990-91,00,1610612752,NYK,24.0,22,0.0,107.0,10,27,0.37,1.0,3.0,0.333,5,6,0.833,1.0,9.0,10.0,20,9.0,0.0,10.0,12,26,Greg Grant</t>
  </si>
  <si>
    <t>76509,1974-75,00,1610612752,NYK,23.0,47,,401.0,74,157,0.471,,,,22,40,0.55,15.0,22.0,37.0,30,3.0,1.0,,48,170,Jesse Dark</t>
  </si>
  <si>
    <t>78187,1953-54,00,1610612752,NYK,24.0,11,,104.0,11,45,0.244,,,,6,10,0.6,,,26.0,9,,,,15,28,Ed Smith</t>
  </si>
  <si>
    <t>77221,1946-47,00,1610612752,NYK,28.0,27,,0.0,71,274,0.259,,,,52,71,0.732,,,0.0,25,,,,57,194,Ralph Kaplowitz</t>
  </si>
  <si>
    <t>202,1995-96,00,1610612752,NYK,31.0,47,1.0,596.0,88,181,0.486,8.0,24.0,0.333,48,58,0.828,12.0,40.0,52.0,69,39.0,3.0,45.0,91,232,Gary Grant</t>
  </si>
  <si>
    <t>2223,2014-15,00,1610612752,NYK,35.0,32,21.0,544.0,57,130,0.438,0.0,0.0,0.0,14,20,0.7,53.0,115.0,168.0,29,14.0,41.0,39.0,70,128,Samuel Dalembert</t>
  </si>
  <si>
    <t>470,1992-93,00,1610612752,NYK,31.0,77,45.0,1886.0,216,494,0.437,39.0,123.0,0.317,133,162,0.821,26.0,166.0,192.0,405,123.0,9.0,114.0,215,604,Doc Rivers</t>
  </si>
  <si>
    <t>470,1993-94,00,1610612752,NYK,32.0,19,19.0,499.0,55,127,0.433,19.0,52.0,0.365,14,22,0.636,4.0,35.0,39.0,100,25.0,5.0,29.0,44,143,Doc Rivers</t>
  </si>
  <si>
    <t>470,1994-95,00,1610612752,NYK,33.0,3,0.0,47.0,4,13,0.308,3.0,5.0,0.6,8,11,0.727,2.0,7.0,9.0,8,4.0,0.0,4.0,8,19,Doc Rivers</t>
  </si>
  <si>
    <t>280,2000-01,00,1610612752,NYK,33.0,18,0.0,112.0,12,20,0.6,0.0,0.0,0.0,15,25,0.6,16.0,19.0,35.0,2,2.0,2.0,11.0,24,39,Felton Spencer</t>
  </si>
  <si>
    <t>280,2001-02,00,1610612752,NYK,34.0,32,8.0,248.0,6,26,0.231,0.0,0.0,0.0,17,33,0.515,16.0,34.0,50.0,3,7.0,8.0,12.0,73,29,Felton Spencer</t>
  </si>
  <si>
    <t>77218,1950-51,00,1610612752,NYK,23.0,61,,,111,286,0.388,,,,78,125,0.624,,,153.0,74,,,,102,300,George Kaftan</t>
  </si>
  <si>
    <t>77218,1951-52,00,1610612752,NYK,24.0,52,,955.0,115,307,0.375,,,,92,134,0.687,,,196.0,88,,,,107,322,George Kaftan</t>
  </si>
  <si>
    <t>76847,1986-87,00,1610612752,NYK,25.0,15,0.0,166.0,20,54,0.37,0.0,3.0,0.0,9,11,0.818,6.0,11.0,17.0,27,7.0,1.0,22.0,17,49,Stewart Granger</t>
  </si>
  <si>
    <t>2201,2005-06,00,1610612752,NYK,23.0,72,69.0,1866.0,336,597,0.563,0.0,0.0,0.0,307,486,0.632,145.0,287.0,432.0,19,28.0,56.0,179.0,239,979,Eddy Curry</t>
  </si>
  <si>
    <t>2201,2006-07,00,1610612752,NYK,24.0,81,81.0,2849.0,585,1016,0.576,1.0,1.0,1.0,405,659,0.615,195.0,376.0,571.0,68,34.0,40.0,295.0,265,1576,Eddy Curry</t>
  </si>
  <si>
    <t>2201,2007-08,00,1610612752,NYK,25.0,59,58.0,1530.0,297,544,0.546,0.0,0.0,0.0,187,300,0.623,111.0,164.0,275.0,32,14.0,29.0,126.0,157,781,Eddy Curry</t>
  </si>
  <si>
    <t>2201,2008-09,00,1610612752,NYK,26.0,3,0.0,12.0,2,2,1.0,0.0,0.0,0.0,1,3,0.333,0.0,4.0,4.0,0,0.0,0.0,2.0,5,5,Eddy Curry</t>
  </si>
  <si>
    <t>2201,2009-10,00,1610612752,NYK,27.0,7,0.0,62.0,8,21,0.381,0.0,0.0,0.0,10,17,0.588,4.0,9.0,13.0,0,0.0,1.0,13.0,13,26,Eddy Curry</t>
  </si>
  <si>
    <t>317,1990-91,00,1610612752,NYK,25.0,61,10.0,1173.0,180,410,0.439,27.0,93.0,0.29,79,105,0.752,30.0,101.0,131.0,204,59.0,17.0,74.0,137,466,John Starks</t>
  </si>
  <si>
    <t>317,1991-92,00,1610612752,NYK,26.0,82,0.0,2118.0,405,902,0.449,94.0,270.0,0.348,235,302,0.778,45.0,146.0,191.0,276,103.0,18.0,150.0,231,1139,John Starks</t>
  </si>
  <si>
    <t>317,1992-93,00,1610612752,NYK,27.0,80,51.0,2477.0,513,1199,0.428,108.0,336.0,0.321,263,331,0.795,54.0,150.0,204.0,404,91.0,12.0,173.0,234,1397,John Starks</t>
  </si>
  <si>
    <t>317,1993-94,00,1610612752,NYK,28.0,59,54.0,2057.0,410,977,0.42,113.0,337.0,0.335,187,248,0.754,37.0,148.0,185.0,348,95.0,6.0,184.0,191,1120,John Starks</t>
  </si>
  <si>
    <t>317,1994-95,00,1610612752,NYK,29.0,80,78.0,2725.0,419,1062,0.395,217.0,611.0,0.355,168,228,0.737,34.0,185.0,219.0,411,92.0,4.0,160.0,257,1223,John Starks</t>
  </si>
  <si>
    <t>317,1995-96,00,1610612752,NYK,30.0,81,71.0,2491.0,375,846,0.443,143.0,396.0,0.361,131,174,0.753,31.0,206.0,237.0,315,103.0,11.0,156.0,226,1024,John Starks</t>
  </si>
  <si>
    <t>317,1996-97,00,1610612752,NYK,31.0,77,1.0,2046.0,369,856,0.431,150.0,407.0,0.369,173,225,0.769,36.0,169.0,205.0,217,90.0,11.0,158.0,196,1061,John Starks</t>
  </si>
  <si>
    <t>317,1997-98,00,1610612752,NYK,32.0,82,10.0,2188.0,372,947,0.393,130.0,398.0,0.327,185,235,0.787,48.0,182.0,230.0,219,78.0,5.0,143.0,205,1059,John Starks</t>
  </si>
  <si>
    <t>1629629,2021-22,00,1610612752,NYK,22.0,15,0.0,216.0,27,65,0.415,8.0,31.0,0.258,29,32,0.906,5.0,16.0,21.0,10,12.0,4.0,13.0,15,91,Cam Reddish</t>
  </si>
  <si>
    <t>1629629,2022-23,00,1610612752,NYK,23.0,20,8.0,438.0,61,136,0.449,17.0,56.0,0.304,29,33,0.879,7.0,24.0,31.0,20,15.0,8.0,15.0,32,168,Cam Reddish</t>
  </si>
  <si>
    <t>77210,1956-57,00,1610612752,NYK,23.0,9,,91.0,18,49,0.367,,,,8,12,0.667,,,34.0,2,,,,15,44,Phil Jordon</t>
  </si>
  <si>
    <t>77210,1961-62,00,1610612752,NYK,28.0,76,,2195.0,403,1028,0.392,,,,96,168,0.571,,,482.0,156,,,,258,902,Phil Jordon</t>
  </si>
  <si>
    <t>97,1994-95,00,1610612752,NYK,30.0,2,0.0,8.0,1,4,0.25,0.0,0.0,0.0,0,0,0.0,3.0,2.0,5.0,2,0.0,0.0,0.0,2,2,Ronnie Grandison</t>
  </si>
  <si>
    <t>97,1995-96,00,1610612752,NYK,31.0,6,0.0,57.0,7,15,0.467,0.0,0.0,0.0,4,6,0.667,5.0,8.0,13.0,2,4.0,1.0,1.0,4,18,Ronnie Grandison</t>
  </si>
  <si>
    <t>187,1997-98,00,1610612752,NYK,37.0,30,1.0,529.0,103,216,0.477,0.0,0.0,0.0,28,40,0.7,42.0,93.0,135.0,26,16.0,5.0,34.0,79,234,Terry Cummings</t>
  </si>
  <si>
    <t>202366,2011-12,00,1610612752,NYK,25.0,21,0.0,108.0,17,33,0.515,0.0,0.0,0.0,8,10,0.8,14.0,13.0,27.0,4,1.0,6.0,2.0,15,42,Jerome Jordan</t>
  </si>
  <si>
    <t>76836,1946-47,00,1610612752,NYK,26.0,57,,,149,494,0.302,,,,36,55,0.655,,,,24,,,,71,334,Leo Gottlieb</t>
  </si>
  <si>
    <t>76836,1947-48,00,1610612752,NYK,27.0,27,,,59,228,0.259,,,,13,21,0.619,,,,12,,,,36,131,Leo Gottlieb</t>
  </si>
  <si>
    <t>76483,1984-85,00,1610612752,NYK,28.0,63,63.0,2069.0,410,797,0.514,0.0,4.0,0.0,177,227,0.78,139.0,379.0,518.0,109,50.0,17.0,166.0,247,997,Pat Cummings</t>
  </si>
  <si>
    <t>76483,1985-86,00,1610612752,NYK,29.0,31,30.0,1007.0,195,408,0.478,0.0,2.0,0.0,97,139,0.698,92.0,188.0,280.0,47,27.0,12.0,87.0,136,487,Pat Cummings</t>
  </si>
  <si>
    <t>76483,1986-87,00,1610612752,NYK,30.0,49,11.0,1056.0,172,382,0.45,0.0,0.0,0.0,79,110,0.718,123.0,189.0,312.0,38,26.0,7.0,85.0,145,423,Pat Cummings</t>
  </si>
  <si>
    <t>76483,1987-88,00,1610612752,NYK,31.0,62,9.0,946.0,140,307,0.456,0.0,1.0,0.0,59,80,0.738,82.0,153.0,235.0,37,20.0,10.0,65.0,143,339,Pat Cummings</t>
  </si>
  <si>
    <t>78133,1976-77,00,1610612752,NYK,21.0,82,,2104.0,398,836,0.476,,,,159,225,0.707,220.0,413.0,633.0,149,125.0,98.0,,363,955,Lonnie Shelton</t>
  </si>
  <si>
    <t>78133,1977-78,00,1610612752,NYK,22.0,82,,2319.0,508,988,0.514,,,,203,276,0.736,204.0,376.0,580.0,195,109.0,112.0,228.0,350,1219,Lonnie Shelton</t>
  </si>
  <si>
    <t>77903,1952-53,00,1610612752,NYK,24.0,6,,63.0,3,21,0.143,,,,3,8,0.375,,,8.0,6,,,,10,9,Sherwin Raiken</t>
  </si>
  <si>
    <t>77843,1954-55,00,1610612752,NYK,23.0,37,,503.0,62,169,0.367,,,,30,45,0.667,,,154.0,31,,,,80,154,Bob Peterson</t>
  </si>
  <si>
    <t>77843,1955-56,00,1610612752,NYK,24.0,58,,779.0,121,303,0.399,,,,68,104,0.654,,,223.0,44,,,,123,310,Bob Peterson</t>
  </si>
  <si>
    <t>78162,1986-87,00,1610612752,NYK,25.0,2,0.0,10.0,2,3,0.667,0.0,1.0,0.0,0,0,0.0,0.0,0.0,0.0,1,0.0,0.0,0.0,1,4,Mckinley Singleton</t>
  </si>
  <si>
    <t>201599,2018-19,00,1610612752,NYK,30.0,19,19.0,493.0,78,123,0.634,0.0,0.0,0.0,51,66,0.773,64.0,152.0,216.0,57,9.0,20.0,42.0,42,207,DeAndre Jordan</t>
  </si>
  <si>
    <t>76830,1977-78,00,1610612752,NYK,22.0,72,,1017.0,131,339,0.386,,,,83,121,0.686,92.0,158.0,250.0,83,56.0,18.0,82.0,181,345,Glen Gondrezick</t>
  </si>
  <si>
    <t>76830,1978-79,00,1610612752,NYK,23.0,75,,1602.0,161,326,0.494,,,,55,97,0.567,147.0,277.0,424.0,106,98.0,18.0,95.0,226,377,Glen Gondrezick</t>
  </si>
  <si>
    <t>201621,2008-09,00,1610612752,NYK,23.0,2,0.0,23.0,3,10,0.3,1.0,4.0,0.25,2,2,1.0,1.0,3.0,4.0,1,1.0,0.0,0.0,2,9,Joe Crawford</t>
  </si>
  <si>
    <t>76233,1967-68,00,1610612752,NYK,24.0,45,,874.0,142,341,0.416,,,,76,104,0.731,,,113.0,137,,,,138,360,Bill Bradley</t>
  </si>
  <si>
    <t>76233,1968-69,00,1610612752,NYK,25.0,82,,2413.0,407,948,0.429,,,,206,253,0.814,,,350.0,302,,,,295,1020,Bill Bradley</t>
  </si>
  <si>
    <t>76233,1969-70,00,1610612752,NYK,26.0,67,,2098.0,413,897,0.46,,,,145,176,0.824,,,239.0,268,,,,219,971,Bill Bradley</t>
  </si>
  <si>
    <t>76233,1970-71,00,1610612752,NYK,27.0,78,,2300.0,413,912,0.453,,,,144,175,0.823,,,260.0,280,,,,245,970,Bill Bradley</t>
  </si>
  <si>
    <t>76233,1971-72,00,1610612752,NYK,28.0,78,,2780.0,504,1085,0.465,,,,169,199,0.849,,,250.0,315,,,,254,1177,Bill Bradley</t>
  </si>
  <si>
    <t>76233,1972-73,00,1610612752,NYK,29.0,82,,2998.0,575,1252,0.459,,,,169,194,0.871,,,301.0,367,,,,273,1319,Bill Bradley</t>
  </si>
  <si>
    <t>76233,1973-74,00,1610612752,NYK,30.0,82,,2813.0,502,1112,0.451,,,,146,167,0.874,59.0,194.0,253.0,242,42.0,21.0,,278,1150,Bill Bradley</t>
  </si>
  <si>
    <t>76233,1974-75,00,1610612752,NYK,31.0,79,,2787.0,452,1036,0.436,,,,144,165,0.873,65.0,186.0,251.0,247,74.0,18.0,,283,1048,Bill Bradley</t>
  </si>
  <si>
    <t>76233,1975-76,00,1610612752,NYK,32.0,82,,2709.0,392,906,0.433,,,,130,148,0.878,47.0,187.0,234.0,247,68.0,18.0,,256,914,Bill Bradley</t>
  </si>
  <si>
    <t>76233,1976-77,00,1610612752,NYK,33.0,67,,1027.0,127,274,0.464,,,,34,42,0.81,27.0,76.0,103.0,128,25.0,8.0,,122,288,Bill Bradley</t>
  </si>
  <si>
    <t>76210,1949-50,00,1610612752,NYK,23.0,59,,,204,600,0.34,,,,204,267,0.764,,,,95,,,,203,612,Vince Boryla</t>
  </si>
  <si>
    <t>76210,1950-51,00,1610612752,NYK,24.0,66,,,352,867,0.406,,,,278,332,0.837,,,249.0,182,,,,244,982,Vince Boryla</t>
  </si>
  <si>
    <t>76210,1951-52,00,1610612752,NYK,25.0,42,,1440.0,202,522,0.387,,,,96,115,0.835,,,219.0,90,,,,121,500,Vince Boryla</t>
  </si>
  <si>
    <t>76210,1952-53,00,1610612752,NYK,26.0,66,,2200.0,254,686,0.37,,,,165,201,0.821,,,233.0,166,,,,226,673,Vince Boryla</t>
  </si>
  <si>
    <t>76210,1953-54,00,1610612752,NYK,27.0,52,,1522.0,175,525,0.333,,,,70,81,0.864,,,130.0,77,,,,128,420,Vince Boryla</t>
  </si>
  <si>
    <t>1626171,2019-20,00,1610612752,NYK,25.0,66,5.0,1394.0,265,589,0.45,67.0,187.0,0.358,71,93,0.763,80.0,258.0,338.0,98,32.0,18.0,73.0,110,668,Bobby Portis</t>
  </si>
  <si>
    <t>200780,2012-13,00,1610612752,NYK,28.0,2,1.0,26.0,0,1,0.0,0.0,0.0,0.0,0,0,0.0,1.0,2.0,3.0,0,0.0,1.0,3.0,3,0,Solomon Jones</t>
  </si>
  <si>
    <t>76828,1962-63,00,1610612752,NYK,30.0,73,,2670.0,363,791,0.459,,,,170,219,0.776,,,517.0,298,,,,295,896,Tom Gola</t>
  </si>
  <si>
    <t>76828,1963-64,00,1610612752,NYK,31.0,74,,2156.0,258,602,0.429,,,,154,212,0.726,,,469.0,257,,,,278,670,Tom Gola</t>
  </si>
  <si>
    <t>76828,1964-65,00,1610612752,NYK,32.0,77,,1727.0,204,455,0.448,,,,133,180,0.739,,,319.0,220,,,,269,541,Tom Gola</t>
  </si>
  <si>
    <t>76828,1965-66,00,1610612752,NYK,33.0,74,,1127.0,122,271,0.45,,,,82,105,0.781,,,289.0,191,,,,207,326,Tom Gola</t>
  </si>
  <si>
    <t>2037,2004-05,00,1610612752,NYK,25.0,70,67.0,2688.0,437,1097,0.398,185.0,512.0,0.361,182,216,0.843,33.0,170.0,203.0,302,92.0,19.0,148.0,135,1241,Jamal Crawford</t>
  </si>
  <si>
    <t>2037,2005-06,00,1610612752,NYK,26.0,79,27.0,2555.0,366,879,0.416,101.0,293.0,0.345,295,357,0.826,36.0,212.0,248.0,301,87.0,15.0,175.0,150,1128,Jamal Crawford</t>
  </si>
  <si>
    <t>2037,2006-07,00,1610612752,NYK,27.0,59,36.0,2198.0,354,886,0.4,103.0,322.0,0.32,228,272,0.838,44.0,145.0,189.0,259,57.0,8.0,162.0,114,1039,Jamal Crawford</t>
  </si>
  <si>
    <t>2037,2007-08,00,1610612752,NYK,28.0,80,80.0,3190.0,570,1391,0.41,176.0,494.0,0.356,329,381,0.864,37.0,170.0,207.0,398,81.0,17.0,192.0,144,1645,Jamal Crawford</t>
  </si>
  <si>
    <t>2037,2008-09,00,1610612752,NYK,29.0,11,11.0,392.0,73,169,0.432,35.0,77.0,0.455,35,46,0.761,2.0,15.0,17.0,48,9.0,0.0,26.0,13,216,Jamal Crawford</t>
  </si>
  <si>
    <t>76243,1947-48,00,1610612752,NYK,20.0,47,,,276,854,0.323,,,,119,183,0.65,,,,61,,,,102,671,Carl Braun</t>
  </si>
  <si>
    <t>76243,1948-49,00,1610612752,NYK,21.0,57,,,299,906,0.33,,,,212,279,0.76,,,,173,,,,144,810,Carl Braun</t>
  </si>
  <si>
    <t>76243,1949-50,00,1610612752,NYK,22.0,67,,,373,1024,0.364,,,,285,374,0.762,,,,247,,,,188,1031,Carl Braun</t>
  </si>
  <si>
    <t>76243,1952-53,00,1610612752,NYK,25.0,70,,2316.0,323,807,0.4,,,,331,401,0.825,,,233.0,243,,,,287,977,Carl Braun</t>
  </si>
  <si>
    <t>76243,1953-54,00,1610612752,NYK,26.0,72,,2373.0,354,884,0.4,,,,354,429,0.825,,,246.0,209,,,,259,1062,Carl Braun</t>
  </si>
  <si>
    <t>76243,1954-55,00,1610612752,NYK,27.0,71,,2479.0,400,1032,0.388,,,,274,342,0.801,,,295.0,274,,,,208,1074,Carl Braun</t>
  </si>
  <si>
    <t>76243,1955-56,00,1610612752,NYK,28.0,72,,2316.0,396,1064,0.372,,,,320,382,0.838,,,259.0,298,,,,215,1112,Carl Braun</t>
  </si>
  <si>
    <t>76243,1956-57,00,1610612752,NYK,29.0,72,,2345.0,378,993,0.381,,,,245,303,0.809,,,259.0,256,,,,195,1001,Carl Braun</t>
  </si>
  <si>
    <t>76243,1957-58,00,1610612752,NYK,30.0,71,,2475.0,426,1018,0.418,,,,321,378,0.849,,,330.0,393,,,,183,1173,Carl Braun</t>
  </si>
  <si>
    <t>76243,1958-59,00,1610612752,NYK,31.0,72,,1959.0,287,684,0.42,,,,180,218,0.826,,,251.0,349,,,,178,754,Carl Braun</t>
  </si>
  <si>
    <t>76243,1959-60,00,1610612752,NYK,32.0,54,,1514.0,285,659,0.432,,,,129,154,0.838,,,168.0,270,,,,127,699,Carl Braun</t>
  </si>
  <si>
    <t>76243,1960-61,00,1610612752,NYK,33.0,15,,218.0,37,79,0.468,,,,11,14,0.786,,,31.0,48,,,,29,85,Carl Braun</t>
  </si>
  <si>
    <t>78238,1965-66,00,1610612752,NYK,24.0,80,,1893.0,373,820,0.455,,,,258,376,0.686,,,492.0,186,,,,237,1004,Dave Stallworth</t>
  </si>
  <si>
    <t>78238,1966-67,00,1610612752,NYK,25.0,76,,1889.0,380,816,0.466,,,,229,320,0.716,,,472.0,144,,,,226,989,Dave Stallworth</t>
  </si>
  <si>
    <t>78238,1969-70,00,1610612752,NYK,28.0,82,,1375.0,239,557,0.429,,,,161,225,0.716,,,323.0,139,,,,194,639,Dave Stallworth</t>
  </si>
  <si>
    <t>78238,1970-71,00,1610612752,NYK,29.0,81,,1565.0,295,685,0.431,,,,169,230,0.735,,,352.0,106,,,,175,759,Dave Stallworth</t>
  </si>
  <si>
    <t>78238,1971-72,00,1610612752,NYK,30.0,14,,225.0,33,88,0.375,,,,29,35,0.829,,,35.0,25,,,,31,95,Dave Stallworth</t>
  </si>
  <si>
    <t>78238,1974-75,00,1610612752,NYK,33.0,7,,57.0,5,18,0.278,,,,0,0,,6.0,14.0,20.0,2,3.0,3.0,,10,10,Dave Stallworth</t>
  </si>
  <si>
    <t>2410,2007-08,00,1610612752,NYK,29.0,70,26.0,1757.0,182,432,0.421,74.0,192.0,0.385,94,126,0.746,30.0,140.0,170.0,166,48.0,18.0,78.0,140,532,Fred Jones</t>
  </si>
  <si>
    <t>76822,1978-79,00,1610612752,NYK,23.0,75,,1171.0,263,486,0.541,,,,57,63,0.905,28.0,54.0,82.0,136,37.0,6.0,64.0,113,583,Mike Glenn</t>
  </si>
  <si>
    <t>76822,1979-80,00,1610612752,NYK,24.0,75,,800.0,188,364,0.516,2.0,10.0,0.2,63,73,0.863,21.0,45.0,66.0,85,35.0,7.0,38.0,79,441,Mike Glenn</t>
  </si>
  <si>
    <t>76822,1980-81,00,1610612752,NYK,25.0,82,,1506.0,285,511,0.558,4.0,11.0,0.364,98,110,0.891,27.0,61.0,88.0,108,72.0,5.0,62.0,126,672,Mike Glenn</t>
  </si>
  <si>
    <t>76466,1966-67,00,1610612752,NYK,26.0,19,,192.0,44,116,0.379,,,,24,38,0.632,,,48.0,12,,,,39,112,Freddie Crawford</t>
  </si>
  <si>
    <t>76466,1967-68,00,1610612752,NYK,27.0,31,,426.0,65,177,0.367,,,,37,59,0.627,,,83.0,46,,,,67,167,Freddie Crawford</t>
  </si>
  <si>
    <t>203112,2014-15,00,1610612752,NYK,24.0,68,22.0,1287.0,152,331,0.459,18.0,60.0,0.3,76,97,0.784,79.0,222.0,301.0,68,27.0,22.0,60.0,147,398,Quincy Acy</t>
  </si>
  <si>
    <t>200754,2008-09,00,1610612752,NYK,23.0,1,0.0,6.0,1,2,0.5,0.0,0.0,0.0,1,1,1.0,2.0,3.0,5.0,0,0.0,1.0,1.0,0,3,Mouhamed Sene</t>
  </si>
  <si>
    <t>77757,1986-87,00,1610612752,NYK,29.0,44,9.0,776.0,71,174,0.408,0.0,1.0,0.0,31,57,0.544,51.0,128.0,179.0,19,22.0,71.0,48.0,95,173,Jawann Oldham</t>
  </si>
  <si>
    <t>77161,1966-67,00,1610612752,NYK,24.0,51,,522.0,59,171,0.345,,,,57,86,0.663,,,167.0,38,,,,102,175,Neil Johnson</t>
  </si>
  <si>
    <t>77161,1967-68,00,1610612752,NYK,25.0,43,,286.0,44,106,0.415,,,,23,48,0.479,,,75.0,33,,,,63,111,Neil Johnson</t>
  </si>
  <si>
    <t>201592,2009-10,00,1610612752,NYK,25.0,11,0.0,140.0,19,39,0.487,0.0,8.0,0.0,7,11,0.636,12.0,19.0,31.0,7,5.0,1.0,10.0,19,45,J.R. Giddens</t>
  </si>
  <si>
    <t>76447,1979-80,00,1610612752,NYK,24.0,75,,1142.0,182,368,0.495,0.0,2.0,0.0,63,86,0.733,70.0,86.0,156.0,80,61.0,25.0,84.0,154,427,Hollis Copeland</t>
  </si>
  <si>
    <t>76447,1981-82,00,1610612752,NYK,26.0,18,0.0,118.0,16,38,0.421,0.0,0.0,,5,6,0.833,3.0,2.0,5.0,9,4.0,2.0,4.0,19,37,Hollis Copeland</t>
  </si>
  <si>
    <t>913,1996-97,00,1610612752,NYK,28.0,76,76.0,2613.0,376,735,0.512,34.0,105.0,0.324,190,274,0.693,165.0,228.0,393.0,174,64.0,36.0,136.0,249,976,Larry Johnson</t>
  </si>
  <si>
    <t>913,1997-98,00,1610612752,NYK,29.0,70,70.0,2412.0,429,884,0.485,15.0,63.0,0.238,214,283,0.756,175.0,226.0,401.0,150,40.0,13.0,127.0,193,1087,Larry Johnson</t>
  </si>
  <si>
    <t>913,1998-99,00,1610612752,NYK,30.0,49,48.0,1639.0,210,458,0.459,33.0,92.0,0.359,134,164,0.817,91.0,193.0,284.0,119,34.0,10.0,89.0,147,587,Larry Johnson</t>
  </si>
  <si>
    <t>913,1999-00,00,1610612752,NYK,31.0,70,68.0,2281.0,282,652,0.433,58.0,174.0,0.333,128,167,0.766,87.0,293.0,380.0,175,42.0,7.0,94.0,205,750,Larry Johnson</t>
  </si>
  <si>
    <t>913,2000-01,00,1610612752,NYK,32.0,65,65.0,2108.0,246,598,0.411,51.0,163.0,0.313,102,128,0.797,90.0,273.0,363.0,127,39.0,29.0,97.0,209,645,Larry Johnson</t>
  </si>
  <si>
    <t>201959,2019-20,00,1610612752,NYK,35.0,62,56.0,1025.0,167,286,0.584,4.0,14.0,0.286,41,56,0.732,111.0,156.0,267.0,52,27.0,30.0,47.0,122,379,Taj Gibson</t>
  </si>
  <si>
    <t>201959,2020-21,00,1610612752,NYK,36.0,45,3.0,936.0,99,158,0.627,3.0,15.0,0.2,40,55,0.727,99.0,151.0,250.0,36,31.0,49.0,22.0,99,241,Taj Gibson</t>
  </si>
  <si>
    <t>201959,2021-22,00,1610612752,NYK,37.0,52,4.0,946.0,86,166,0.518,15.0,38.0,0.395,42,52,0.808,88.0,141.0,229.0,32,22.0,40.0,27.0,137,229,Taj Gibson</t>
  </si>
  <si>
    <t>201959,2023-24,00,1610612752,NYK,39.0,16,1.0,165.0,7,23,0.304,0.0,6.0,0.0,2,2,1.0,10.0,18.0,28.0,9,2.0,6.0,5.0,28,16,Taj Gibson</t>
  </si>
  <si>
    <t>203142,2012-13,00,1610612752,NYK,29.0,56,13.0,862.0,182,380,0.479,59.0,140.0,0.421,63,83,0.759,34.0,85.0,119.0,27,16.0,12.0,50.0,104,486,Chris Copeland</t>
  </si>
  <si>
    <t>2035,2003-04,00,1610612752,NYK,24.0,21,1.0,287.0,36,97,0.371,13.0,36.0,0.361,28,31,0.903,5.0,34.0,39.0,11,8.0,7.0,16.0,32,113,DerMarr Johnson</t>
  </si>
  <si>
    <t>76806,1972-73,00,1610612752,NYK,23.0,52,,516.0,79,175,0.451,,,,23,33,0.697,,,150.0,25,,,,72,181,John Gianelli</t>
  </si>
  <si>
    <t>76806,1973-74,00,1610612752,NYK,24.0,70,,1423.0,208,434,0.479,,,,92,121,0.76,110.0,233.0,343.0,77,23.0,42.0,,159,508,John Gianelli</t>
  </si>
  <si>
    <t>76806,1974-75,00,1610612752,NYK,25.0,80,,2797.0,343,726,0.472,,,,135,195,0.692,214.0,475.0,689.0,163,38.0,118.0,,263,821,John Gianelli</t>
  </si>
  <si>
    <t>76806,1975-76,00,1610612752,NYK,26.0,82,,2332.0,325,687,0.473,,,,114,160,0.713,187.0,365.0,552.0,115,25.0,62.0,,194,764,John Gianelli</t>
  </si>
  <si>
    <t>76806,1976-77,00,1610612752,NYK,27.0,19,,630.0,86,182,0.473,,,,35,48,0.729,60.0,118.0,178.0,26,14.0,28.0,,54,207,John Gianelli</t>
  </si>
  <si>
    <t>76434,1954-55,00,1610612752,NYK,26.0,37,,424.0,42,133,0.316,,,,34,50,0.68,,,72.0,33,,,,39,118,Bert Cook</t>
  </si>
  <si>
    <t>1746,1999-00,00,1610612752,NYK,24.0,5,0.0,37.0,3,9,0.333,0.0,0.0,0.0,0,0,0.0,3.0,4.0,7.0,0,1.0,0.0,3.0,5,6,DeMarco Johnson</t>
  </si>
  <si>
    <t>76800,1959-60,00,1610612752,NYK,31.0,69,,1604.0,250,650,0.385,,,,155,202,0.767,,,197.0,240,,,,148,655,Jack George</t>
  </si>
  <si>
    <t>76800,1960-61,00,1610612752,NYK,32.0,16,,268.0,31,93,0.333,,,,20,30,0.667,,,32.0,39,,,,37,82,Jack George</t>
  </si>
  <si>
    <t>76428,1962-63,00,1610612752,NYK,32.0,70,,1544.0,254,651,0.39,,,,122,186,0.656,,,469.0,70,,,,263,630,Gene Conley</t>
  </si>
  <si>
    <t>76428,1963-64,00,1610612752,NYK,33.0,46,,551.0,74,189,0.392,,,,44,65,0.677,,,156.0,21,,,,124,192,Gene Conley</t>
  </si>
  <si>
    <t>202697,2011-12,00,1610612752,NYK,22.0,59,35.0,1705.0,214,534,0.401,48.0,157.0,0.306,87,109,0.798,42.0,144.0,186.0,164,101.0,8.0,111.0,173,563,Iman Shumpert</t>
  </si>
  <si>
    <t>202697,2012-13,00,1610612752,NYK,23.0,45,45.0,996.0,109,275,0.396,51.0,127.0,0.402,36,47,0.766,31.0,105.0,136.0,75,43.0,7.0,37.0,99,305,Iman Shumpert</t>
  </si>
  <si>
    <t>202697,2013-14,00,1610612752,NYK,24.0,74,58.0,1962.0,183,484,0.378,76.0,228.0,0.333,53,71,0.746,81.0,227.0,308.0,129,92.0,13.0,79.0,209,495,Iman Shumpert</t>
  </si>
  <si>
    <t>202697,2014-15,00,1610612752,NYK,25.0,24,24.0,625.0,88,215,0.409,23.0,66.0,0.348,25,37,0.676,22.0,59.0,81.0,78,30.0,3.0,42.0,67,224,Iman Shumpert</t>
  </si>
  <si>
    <t>1137,1996-97,00,1610612752,NYK,27.0,3,0.0,9.0,2,6,0.333,2.0,3.0,0.667,0,0,0.0,1.0,0.0,1.0,1,0.0,0.0,0.0,2,6,Chris Jent</t>
  </si>
  <si>
    <t>76788,1973-74,00,1610612752,NYK,27.0,25,,239.0,32,91,0.352,,,,10,13,0.769,10.0,16.0,26.0,14,7.0,1.0,,41,74,Eldo Garrett</t>
  </si>
  <si>
    <t>76422,1948-49,00,1610612752,NYK,23.0,15,,,35,113,0.31,,,,13,19,0.684,,,,9,,,,25,83,Joe Colone</t>
  </si>
  <si>
    <t>78223,1957-58,00,1610612752,NYK,25.0,72,,1661.0,318,838,0.379,,,,165,257,0.642,,,461.0,69,,,,232,801,Guy Sparrow</t>
  </si>
  <si>
    <t>78223,1958-59,00,1610612752,NYK,26.0,67,,842.0,129,406,0.318,,,,78,138,0.565,,,244.0,67,,,,158,336,Guy Sparrow</t>
  </si>
  <si>
    <t>203147,2013-14,00,1610612752,NYK,26.0,2,0.0,2.0,0,0,0.0,0.0,0.0,0.0,0,0,0.0,0.0,0.0,0.0,0,0.0,0.0,0.0,0,0,Chris Smith</t>
  </si>
  <si>
    <t>202360,2010-11,00,1610612752,NYK,24.0,5,0.0,24.0,3,7,0.429,1.0,4.0,0.25,1,2,0.5,0.0,1.0,1.0,3,1.0,0.0,7.0,0,8,Andy Rautins</t>
  </si>
  <si>
    <t>201943,2016-17,00,1610612752,NYK,27.0,58,11.0,1428.0,163,429,0.38,68.0,200.0,0.34,102,135,0.756,21.0,131.0,152.0,287,55.0,4.0,106.0,84,496,Brandon Jennings</t>
  </si>
  <si>
    <t>1628656,2018-19,00,1610612752,NYK,24.0,4,0.0,63.0,11,27,0.407,0.0,8.0,0.0,4,4,1.0,0.0,3.0,3.0,7,1.0,1.0,2.0,3,26,Billy Garrett</t>
  </si>
  <si>
    <t>200776,2006-07,00,1610612752,NYK,22.0,52,9.0,777.0,87,228,0.382,13.0,47.0,0.277,48,82,0.585,28.0,76.0,104.0,83,32.0,3.0,57.0,75,235,Mardy Collins</t>
  </si>
  <si>
    <t>200776,2007-08,00,1610612752,NYK,23.0,46,8.0,634.0,57,175,0.326,8.0,32.0,0.25,23,38,0.605,19.0,56.0,75.0,89,24.0,8.0,56.0,56,145,Mardy Collins</t>
  </si>
  <si>
    <t>200776,2008-09,00,1610612752,NYK,24.0,9,0.0,75.0,8,23,0.348,0.0,3.0,0.0,4,9,0.444,2.0,6.0,8.0,10,2.0,0.0,5.0,7,20,Mardy Collins</t>
  </si>
  <si>
    <t>203098,2018-19,00,1610612752,NYK,28.0,22,0.0,319.0,40,103,0.388,20.0,56.0,0.357,15,18,0.833,6.0,30.0,36.0,21,0.0,2.0,9.0,10,115,John Jenkins</t>
  </si>
  <si>
    <t>76783,1960-61,00,1610612752,NYK,28.0,71,,2238.0,415,943,0.44,,,,275,358,0.768,,,277.0,220,,,,240,1105,Dick Garmaker</t>
  </si>
  <si>
    <t>76411,1985-86,00,1610612752,NYK,24.0,45,1.0,469.0,75,184,0.408,3.0,15.0,0.2,12,20,0.6,6.0,40.0,46.0,82,20.0,3.0,49.0,65,165,Fred Cofield</t>
  </si>
  <si>
    <t>77966,1968-69,00,1610612752,NYK,23.0,54,,397.0,49,144,0.34,,,,28,42,0.667,,,57.0,46,,,,93,126,Mike Riordan</t>
  </si>
  <si>
    <t>77966,1969-70,00,1610612752,NYK,24.0,81,,1677.0,255,549,0.464,,,,114,165,0.691,,,194.0,201,,,,192,624,Mike Riordan</t>
  </si>
  <si>
    <t>77966,1970-71,00,1610612752,NYK,25.0,82,,1320.0,162,388,0.418,,,,67,108,0.62,,,169.0,121,,,,151,391,Mike Riordan</t>
  </si>
  <si>
    <t>77966,1971-72,00,1610612752,NYK,26.0,4,,33.0,4,11,0.364,,,,0,1,0.0,,,1.0,2,,,,2,8,Mike Riordan</t>
  </si>
  <si>
    <t>77894,1971-72,00,1610612752,NYK,26.0,62,,618.0,92,215,0.428,,,,49,84,0.583,,,187.0,18,,,,104,233,Luke Rackley</t>
  </si>
  <si>
    <t>77894,1972-73,00,1610612752,NYK,27.0,1,,2.0,0,0,,,,,0,0,,,,1.0,0,,,,2,0,Luke Rackley</t>
  </si>
  <si>
    <t>203658,2020-21,00,1610612752,NYK,28.0,9,0.0,52.0,5,7,0.714,0.0,0.0,0.0,1,2,0.5,2.0,9.0,11.0,1,1.0,6.0,0.0,4,11,Norvel Pelle</t>
  </si>
  <si>
    <t>2407,2006-07,00,1610612752,NYK,25.0,55,43.0,1307.0,95,206,0.461,2.0,20.0,0.1,31,68,0.456,111.0,127.0,238.0,67,44.0,30.0,61.0,150,223,Jared Jeffries</t>
  </si>
  <si>
    <t>2407,2007-08,00,1610612752,NYK,26.0,73,19.0,1325.0,108,270,0.4,4.0,25.0,0.16,49,93,0.527,118.0,125.0,243.0,66,36.0,23.0,64.0,132,269,Jared Jeffries</t>
  </si>
  <si>
    <t>2407,2008-09,00,1610612752,NYK,27.0,56,36.0,1310.0,120,273,0.44,1.0,12.0,0.083,55,90,0.611,128.0,103.0,231.0,80,47.0,33.0,65.0,153,296,Jared Jeffries</t>
  </si>
  <si>
    <t>2407,2009-10,00,1610612752,NYK,28.0,52,37.0,1462.0,102,230,0.443,20.0,62.0,0.323,60,93,0.645,99.0,124.0,223.0,83,53.0,58.0,62.0,157,284,Jared Jeffries</t>
  </si>
  <si>
    <t>2407,2010-11,00,1610612752,NYK,29.0,24,9.0,463.0,19,50,0.38,1.0,3.0,0.333,8,19,0.421,42.0,39.0,81.0,25,24.0,14.0,17.0,54,47,Jared Jeffries</t>
  </si>
  <si>
    <t>2407,2011-12,00,1610612752,NYK,30.0,39,4.0,729.0,59,144,0.41,3.0,16.0,0.188,49,72,0.681,69.0,83.0,152.0,26,29.0,25.0,29.0,89,170,Jared Jeffries</t>
  </si>
  <si>
    <t>204038,2014-15,00,1610612752,NYK,23.0,45,41.0,1457.0,204,511,0.399,62.0,176.0,0.352,63,78,0.808,37.0,153.0,190.0,150,52.0,12.0,61.0,129,533,Langston Galloway</t>
  </si>
  <si>
    <t>204038,2015-16,00,1610612752,NYK,24.0,82,7.0,2033.0,231,588,0.393,77.0,224.0,0.344,86,114,0.754,43.0,245.0,288.0,207,77.0,22.0,61.0,177,625,Langston Galloway</t>
  </si>
  <si>
    <t>76408,1946-47,00,1610612752,NYK,29.0,54,,,93,356,0.261,,,,52,91,0.571,,,,22,,,,113,238,Marion Cluggish</t>
  </si>
  <si>
    <t>76228,1981-82,00,1610612752,NYK,22.0,39,0.0,331.0,54,103,0.524,0.0,1.0,0.0,29,48,0.604,31.0,34.0,65.0,11,12.0,5.0,28.0,37,137,Alex Bradley</t>
  </si>
  <si>
    <t>2405,2010-11,00,1610612752,NYK,28.0,78,78.0,2870.0,744,1482,0.502,10.0,23.0,0.435,473,597,0.792,198.0,438.0,636.0,202,71.0,150.0,250.0,274,1971,Amar'e Stoudemire</t>
  </si>
  <si>
    <t>2405,2011-12,00,1610612752,NYK,29.0,47,47.0,1543.0,316,654,0.483,5.0,21.0,0.238,186,243,0.765,106.0,261.0,367.0,52,38.0,45.0,112.0,138,823,Amar'e Stoudemire</t>
  </si>
  <si>
    <t>2405,2012-13,00,1610612752,NYK,30.0,29,0.0,682.0,154,267,0.577,0.0,0.0,0.0,105,130,0.808,60.0,85.0,145.0,13,10.0,21.0,50.0,89,413,Amar'e Stoudemire</t>
  </si>
  <si>
    <t>2405,2013-14,00,1610612752,NYK,31.0,65,21.0,1466.0,311,558,0.557,0.0,0.0,0.0,150,203,0.739,112.0,208.0,320.0,34,23.0,37.0,91.0,159,772,Amar'e Stoudemire</t>
  </si>
  <si>
    <t>2405,2014-15,00,1610612752,NYK,32.0,36,14.0,865.0,169,311,0.543,0.0,3.0,0.0,94,127,0.74,83.0,162.0,245.0,37,20.0,34.0,63.0,111,432,Amar'e Stoudemire</t>
  </si>
  <si>
    <t>76404,1950-51,00,1610612752,NYK,28.0,65,,,211,656,0.322,,,,140,263,0.532,,,491.0,162,,,,269,562,Nat Clifton</t>
  </si>
  <si>
    <t>76404,1951-52,00,1610612752,NYK,29.0,62,,2101.0,244,729,0.335,,,,170,256,0.664,,,731.0,209,,,,227,658,Nat Clifton</t>
  </si>
  <si>
    <t>76404,1952-53,00,1610612752,NYK,30.0,70,,2496.0,272,794,0.343,,,,200,343,0.583,,,761.0,231,,,,274,744,Nat Clifton</t>
  </si>
  <si>
    <t>76404,1953-54,00,1610612752,NYK,31.0,72,,2179.0,257,699,0.368,,,,174,277,0.628,,,528.0,176,,,,215,688,Nat Clifton</t>
  </si>
  <si>
    <t>76404,1954-55,00,1610612752,NYK,32.0,72,,2390.0,360,932,0.386,,,,224,328,0.683,,,612.0,198,,,,221,944,Nat Clifton</t>
  </si>
  <si>
    <t>76404,1955-56,00,1610612752,NYK,33.0,64,,1537.0,213,541,0.394,,,,135,191,0.707,,,386.0,151,,,,189,561,Nat Clifton</t>
  </si>
  <si>
    <t>76404,1956-57,00,1610612752,NYK,34.0,71,,2231.0,308,818,0.377,,,,146,217,0.673,,,557.0,164,,,,243,762,Nat Clifton</t>
  </si>
  <si>
    <t>201568,2008-09,00,1610612752,NYK,20.0,28,2.0,412.0,56,125,0.448,32.0,72.0,0.444,26,27,0.963,13.0,42.0,55.0,15,14.0,4.0,15.0,48,170,Danilo Gallinari</t>
  </si>
  <si>
    <t>201568,2009-10,00,1610612752,NYK,21.0,81,74.0,2747.0,392,927,0.423,186.0,488.0,0.381,251,307,0.818,65.0,333.0,398.0,135,75.0,58.0,110.0,191,1221,Danilo Gallinari</t>
  </si>
  <si>
    <t>201568,2010-11,00,1610612752,NYK,22.0,48,48.0,1671.0,211,509,0.415,83.0,239.0,0.347,259,290,0.893,48.0,181.0,229.0,82,38.0,18.0,58.0,117,764,Danilo Gallinari</t>
  </si>
  <si>
    <t>1629610,2023-24,00,1610612752,NYK,26.0,17,0.0,46.0,6,17,0.353,2.0,10.0,0.2,0,2,0.0,0.0,5.0,5.0,5,0.0,1.0,3.0,2,14,DaQuan Jeffries</t>
  </si>
  <si>
    <t>76182,1961-62,00,1610612752,NYK,22.0,36,,363.0,54,142,0.38,,,,9,17,0.529,,,36.0,45,,,,34,117,George Blaney</t>
  </si>
  <si>
    <t>1744,2005-06,00,1610612752,NYK,30.0,45,9.0,406.0,56,121,0.463,0.0,0.0,0.0,25,40,0.625,39.0,52.0,91.0,12,3.0,23.0,51.0,104,137,Jerome James</t>
  </si>
  <si>
    <t>1744,2006-07,00,1610612752,NYK,31.0,41,11.0,273.0,33,79,0.418,0.0,0.0,0.0,10,18,0.556,21.0,45.0,66.0,3,6.0,15.0,23.0,73,76,Jerome James</t>
  </si>
  <si>
    <t>1744,2007-08,00,1610612752,NYK,32.0,2,0.0,5.0,1,1,1.0,0.0,0.0,0.0,2,2,1.0,0.0,3.0,3.0,0,0.0,0.0,0.0,0,4,Jerome James</t>
  </si>
  <si>
    <t>1744,2008-09,00,1610612752,NYK,33.0,2,0.0,10.0,3,8,0.375,0.0,0.0,0.0,0,0,0.0,1.0,2.0,3.0,0,1.0,1.0,1.0,2,6,Jerome James</t>
  </si>
  <si>
    <t>76773,1948-49,00,1610612752,NYK,22.0,52,,,157,479,0.328,,,,120,169,0.71,,,,63,,,,127,434,Harry Gallatin</t>
  </si>
  <si>
    <t>76773,1949-50,00,1610612752,NYK,23.0,68,,,263,664,0.396,,,,277,366,0.757,,,,56,,,,215,803,Harry Gallatin</t>
  </si>
  <si>
    <t>76773,1950-51,00,1610612752,NYK,24.0,66,,,293,705,0.416,,,,259,354,0.732,,,800.0,180,,,,244,845,Harry Gallatin</t>
  </si>
  <si>
    <t>76773,1951-52,00,1610612752,NYK,25.0,66,,1931.0,233,527,0.442,,,,275,341,0.806,,,661.0,115,,,,223,741,Harry Gallatin</t>
  </si>
  <si>
    <t>76773,1952-53,00,1610612752,NYK,26.0,70,,2333.0,282,635,0.444,,,,301,430,0.7,,,916.0,126,,,,224,865,Harry Gallatin</t>
  </si>
  <si>
    <t>76773,1953-54,00,1610612752,NYK,27.0,72,,2690.0,258,639,0.404,,,,433,552,0.784,,,1098.0,153,,,,208,949,Harry Gallatin</t>
  </si>
  <si>
    <t>76773,1954-55,00,1610612752,NYK,28.0,72,,2548.0,330,859,0.384,,,,393,483,0.814,,,995.0,176,,,,206,1053,Harry Gallatin</t>
  </si>
  <si>
    <t>76773,1955-56,00,1610612752,NYK,29.0,72,,2378.0,322,834,0.386,,,,358,455,0.787,,,740.0,168,,,,220,1002,Harry Gallatin</t>
  </si>
  <si>
    <t>76773,1956-57,00,1610612752,NYK,30.0,72,,1943.0,332,817,0.406,,,,415,519,0.8,,,725.0,85,,,,202,1079,Harry Gallatin</t>
  </si>
  <si>
    <t>76403,1965-66,00,1610612752,NYK,23.0,70,,877.0,161,391,0.412,,,,54,78,0.692,,,183.0,67,,,,113,376,John Clemens</t>
  </si>
  <si>
    <t>76162,1972-73,00,1610612752,NYK,23.0,55,,475.0,78,205,0.38,,,,73,86,0.849,,,82.0,64,,,,67,229,Henry Bibby</t>
  </si>
  <si>
    <t>76162,1973-74,00,1610612752,NYK,24.0,66,,986.0,210,465,0.452,,,,73,88,0.83,48.0,85.0,133.0,91,65.0,2.0,,123,493,Henry Bibby</t>
  </si>
  <si>
    <t>76162,1974-75,00,1610612752,NYK,25.0,47,,876.0,179,400,0.448,,,,69,96,0.719,29.0,58.0,87.0,105,29.0,3.0,,96,427,Henry Bibby</t>
  </si>
  <si>
    <t>1564,1999-00,00,1610612752,NYK,27.0,2,0.0,5.0,0,0,0.0,0.0,0.0,0.0,3,4,0.75,1.0,0.0,1.0,0,0.0,0.0,2.0,1,3,Etdrick Bohannon</t>
  </si>
  <si>
    <t>77116,1948-49,00,1610612752,NYK,24.0,11,,,18,48,0.375,,,,6,12,0.5,,,,5,,,,20,42,Gene James</t>
  </si>
  <si>
    <t>77116,1949-50,00,1610612752,NYK,25.0,29,,,19,64,0.297,,,,14,31,0.452,,,,20,,,,53,52,Gene James</t>
  </si>
  <si>
    <t>76770,1993-94,00,1610612752,NYK,29.0,18,0.0,78.0,9,20,0.45,2.0,5.0,0.4,13,15,0.867,3.0,10.0,13.0,30,2.0,0.0,5.0,12,33,Corey Gaines</t>
  </si>
  <si>
    <t>76402,1977-78,00,1610612752,NYK,28.0,79,,2009.0,215,448,0.48,,,,81,103,0.786,69.0,143.0,212.0,283,68.0,17.0,113.0,142,511,Jim Cleamons</t>
  </si>
  <si>
    <t>76402,1978-79,00,1610612752,NYK,29.0,79,,2390.0,311,657,0.473,,,,130,171,0.76,65.0,160.0,225.0,376,73.0,11.0,142.0,147,752,Jim Cleamons</t>
  </si>
  <si>
    <t>76402,1979-80,00,1610612752,NYK,30.0,22,,254.0,30,69,0.435,3.0,8.0,0.375,12,15,0.8,10.0,9.0,19.0,40,13.0,2.0,17.0,13,75,Jim Cleamons</t>
  </si>
  <si>
    <t>76156,1956-57,00,1610612752,NYK,24.0,6,,40.0,3,11,0.273,,,,2,2,1.0,,,8.0,1,,,,4,8,Gary Bergen</t>
  </si>
  <si>
    <t>202711,2023-24,00,1610612752,NYK,35.0,29,0.0,557.0,110,256,0.43,47.0,127.0,0.37,36,45,0.8,9.0,49.0,58.0,26,7.0,1.0,38.0,38,303,Bojan Bogdanovic</t>
  </si>
  <si>
    <t>77106,1967-68,00,1610612752,NYK,22.0,75,,1093.0,182,455,0.4,,,,99,168,0.589,,,338.0,55,,,,212,463,Phil Jackson</t>
  </si>
  <si>
    <t>77106,1968-69,00,1610612752,NYK,23.0,47,,924.0,126,294,0.429,,,,80,119,0.672,,,246.0,43,,,,168,332,Phil Jackson</t>
  </si>
  <si>
    <t>77106,1970-71,00,1610612752,NYK,25.0,71,,771.0,118,263,0.449,,,,95,133,0.714,,,238.0,31,,,,169,331,Phil Jackson</t>
  </si>
  <si>
    <t>77106,1971-72,00,1610612752,NYK,26.0,80,,1273.0,205,466,0.44,,,,167,228,0.732,,,326.0,72,,,,224,577,Phil Jackson</t>
  </si>
  <si>
    <t>77106,1972-73,00,1610612752,NYK,27.0,80,,1393.0,245,553,0.443,,,,154,195,0.79,,,344.0,94,,,,218,644,Phil Jackson</t>
  </si>
  <si>
    <t>77106,1973-74,00,1610612752,NYK,28.0,82,,2050.0,361,757,0.477,,,,191,246,0.776,123.0,355.0,478.0,134,42.0,67.0,,277,913,Phil Jackson</t>
  </si>
  <si>
    <t>77106,1974-75,00,1610612752,NYK,29.0,78,,2285.0,324,712,0.455,,,,193,253,0.763,137.0,463.0,600.0,136,84.0,53.0,,330,841,Phil Jackson</t>
  </si>
  <si>
    <t>77106,1975-76,00,1610612752,NYK,30.0,80,,1461.0,185,387,0.478,,,,110,150,0.733,80.0,263.0,343.0,105,41.0,20.0,,275,480,Phil Jackson</t>
  </si>
  <si>
    <t>77106,1976-77,00,1610612752,NYK,31.0,76,,1033.0,102,232,0.44,,,,51,71,0.718,75.0,154.0,229.0,85,33.0,18.0,,184,255,Phil Jackson</t>
  </si>
  <si>
    <t>77106,1977-78,00,1610612752,NYK,32.0,63,,654.0,55,115,0.478,,,,43,56,0.768,29.0,81.0,110.0,46,31.0,15.0,47.0,106,153,Phil Jackson</t>
  </si>
  <si>
    <t>2429,2011-12,00,1610612752,NYK,34.0,2,0.0,13.0,0,2,0.0,0.0,0.0,0.0,0,2,0.0,1.0,4.0,5.0,0,1.0,1.0,1.0,4,0,Dan Gadzuric</t>
  </si>
  <si>
    <t>201947,2013-14,00,1610612752,NYK,26.0,9,0.0,70.0,7,21,0.333,1.0,6.0,0.167,8,10,0.8,2.0,14.0,16.0,2,1.0,6.0,1.0,6,23,Earl Clark</t>
  </si>
  <si>
    <t>41,1993-94,00,1610612752,NYK,26.0,73,38.0,1402.0,162,288,0.563,0.0,0.0,0.0,50,105,0.476,150.0,194.0,344.0,88,76.0,13.0,89.0,175,374,Anthony Bonner</t>
  </si>
  <si>
    <t>41,1994-95,00,1610612752,NYK,27.0,58,23.0,1126.0,88,193,0.456,1.0,5.0,0.2,44,67,0.657,113.0,149.0,262.0,80,48.0,23.0,79.0,159,221,Anthony Bonner</t>
  </si>
  <si>
    <t>349,1987-88,00,1610612752,NYK,23.0,82,80.0,3249.0,438,1013,0.432,32.0,126.0,0.254,206,266,0.774,120.0,276.0,396.0,868,205.0,6.0,258.0,244,1114,Mark Jackson</t>
  </si>
  <si>
    <t>349,1988-89,00,1610612752,NYK,24.0,72,72.0,2477.0,479,1025,0.467,81.0,240.0,0.338,180,258,0.698,106.0,235.0,341.0,619,139.0,7.0,226.0,163,1219,Mark Jackson</t>
  </si>
  <si>
    <t>349,1989-90,00,1610612752,NYK,25.0,82,69.0,2428.0,327,749,0.437,35.0,131.0,0.267,120,165,0.727,106.0,212.0,318.0,604,109.0,4.0,211.0,121,809,Mark Jackson</t>
  </si>
  <si>
    <t>349,1990-91,00,1610612752,NYK,26.0,72,21.0,1595.0,250,508,0.492,13.0,51.0,0.255,117,160,0.731,62.0,135.0,197.0,452,60.0,9.0,135.0,81,630,Mark Jackson</t>
  </si>
  <si>
    <t>349,1991-92,00,1610612752,NYK,27.0,81,81.0,2461.0,367,747,0.491,11.0,43.0,0.256,171,222,0.77,95.0,210.0,305.0,694,112.0,13.0,211.0,153,916,Mark Jackson</t>
  </si>
  <si>
    <t>349,2000-01,00,1610612752,NYK,36.0,29,28.0,786.0,74,180,0.411,13.0,42.0,0.31,9,17,0.529,21.0,99.0,120.0,163,21.0,0.0,58.0,56,170,Mark Jackson</t>
  </si>
  <si>
    <t>349,2001-02,00,1610612752,NYK,37.0,82,82.0,2367.0,260,592,0.439,79.0,195.0,0.405,87,110,0.791,56.0,253.0,309.0,605,74.0,1.0,150.0,162,686,Mark Jackson</t>
  </si>
  <si>
    <t>101112,2005-06,00,1610612752,NYK,23.0,65,14.0,1572.0,305,640,0.477,3.0,9.0,0.333,189,229,0.825,138.0,236.0,374.0,53,30.0,47.0,97.0,200,802,Channing Frye</t>
  </si>
  <si>
    <t>101112,2006-07,00,1610612752,NYK,24.0,72,59.0,1899.0,298,689,0.433,3.0,18.0,0.167,85,108,0.787,91.0,304.0,395.0,67,36.0,42.0,100.0,216,684,Channing Frye</t>
  </si>
  <si>
    <t>57,1994-95,00,1610612752,NYK,25.0,12,0.0,79.0,5,22,0.227,1.0,7.0,0.143,4,5,0.8,3.0,10.0,13.0,8,2.0,1.0,13.0,18,15,Doug Christie</t>
  </si>
  <si>
    <t>57,1995-96,00,1610612752,NYK,26.0,23,0.0,218.0,35,73,0.479,10.0,19.0,0.526,13,22,0.591,8.0,26.0,34.0,25,12.0,3.0,19.0,41,93,Doug Christie</t>
  </si>
  <si>
    <t>1886,2009-10,00,1610612752,NYK,29.0,25,1.0,292.0,40,100,0.4,14.0,39.0,0.359,24,26,0.923,15.0,37.0,52.0,16,2.0,17.0,28.0,33,118,Jonathan Bender</t>
  </si>
  <si>
    <t>76144,1965-66,00,1610612752,NYK,26.0,72,,3084.0,639,1249,0.512,,,,390,622,0.627,,,1152.0,217,,,,262,1668,Walt Bellamy</t>
  </si>
  <si>
    <t>76144,1966-67,00,1610612752,NYK,27.0,79,,3010.0,565,1084,0.521,,,,369,580,0.636,,,1064.0,206,,,,275,1499,Walt Bellamy</t>
  </si>
  <si>
    <t>76144,1967-68,00,1610612752,NYK,28.0,82,,2695.0,511,944,0.541,,,,350,529,0.662,,,961.0,164,,,,259,1372,Walt Bellamy</t>
  </si>
  <si>
    <t>76144,1968-69,00,1610612752,NYK,29.0,35,,1136.0,204,402,0.507,,,,125,202,0.619,,,385.0,77,,,,123,533,Walt Bellamy</t>
  </si>
  <si>
    <t>1630173,2023-24,00,1610612752,NYK,24.0,49,18.0,1187.0,157,299,0.525,13.0,50.0,0.26,45,70,0.643,141.0,210.0,351.0,53,30.0,56.0,54.0,103,372,Precious Achiuwa</t>
  </si>
  <si>
    <t>78259,1961-62,00,1610612752,NYK,24.0,32,,440.0,59,162,0.364,,,,23,38,0.605,,,51.0,60,,,,55,141,Sam Stith</t>
  </si>
  <si>
    <t>76142,1973-74,00,1610612752,NYK,23.0,1,,4.0,0,1,0.0,,,,0,0,,0.0,0.0,0.0,0,0.0,0.0,,0,0,Dennis Bell</t>
  </si>
  <si>
    <t>76142,1974-75,00,1610612752,NYK,24.0,52,,465.0,68,181,0.376,,,,20,36,0.556,48.0,57.0,105.0,25,22.0,9.0,,54,156,Dennis Bell</t>
  </si>
  <si>
    <t>76142,1975-76,00,1610612752,NYK,25.0,10,,76.0,8,21,0.381,,,,3,7,0.429,4.0,10.0,14.0,3,6.0,1.0,,11,19,Dennis Bell</t>
  </si>
  <si>
    <t>1983,2004-05,00,1610612752,NYK,29.0,21,0.0,230.0,17,33,0.515,0.0,2.0,0.0,8,13,0.615,3.0,20.0,23.0,24,7.0,1.0,10.0,26,42,Jermaine Jackson</t>
  </si>
  <si>
    <t>76758,1957-58,00,1610612752,NYK,23.0,44,,569.0,74,226,0.327,,,,27,41,0.659,,,106.0,47,,,,54,175,Larry Friend</t>
  </si>
  <si>
    <t>76393,1954-55,00,1610612752,NYK,24.0,6,,48.0,5,18,0.278,,,,10,11,0.909,,,8.0,7,,,,3,20,Fred Christ</t>
  </si>
  <si>
    <t>76143,1959-60,00,1610612752,NYK,27.0,31,,449.0,70,185,0.378,,,,28,43,0.651,,,87.0,55,,,,59,168,William Bell</t>
  </si>
  <si>
    <t>76143,1960-61,00,1610612752,NYK,28.0,5,,45.0,7,18,0.389,,,,1,3,0.333,,,7.0,1,,,,7,15,William Bell</t>
  </si>
  <si>
    <t>77101,1974-75,00,1610612752,NYK,22.0,5,,27.0,4,10,0.4,,,,0,0,0.0,2.0,0.0,2.0,3,0.0,0.0,,5,8,Greg Jackson</t>
  </si>
  <si>
    <t>76757,1946-47,00,1610612752,NYK,25.0,23,,,28,97,0.289,,,,32,56,0.571,,,,14,,,,37,88,Frido Frey</t>
  </si>
  <si>
    <t>164,1996-97,00,1610612752,NYK,29.0,65,61.0,2076.0,211,510,0.414,70.0,181.0,0.387,113,149,0.758,22.0,169.0,191.0,398,78.0,11.0,180.0,213,605,Chris Childs</t>
  </si>
  <si>
    <t>164,1997-98,00,1610612752,NYK,30.0,68,0.0,1599.0,149,354,0.421,27.0,87.0,0.31,104,126,0.825,29.0,133.0,162.0,268,56.0,6.0,103.0,179,429,Chris Childs</t>
  </si>
  <si>
    <t>164,1998-99,00,1610612752,NYK,31.0,48,0.0,1297.0,114,267,0.427,36.0,94.0,0.383,64,78,0.821,18.0,115.0,133.0,193,44.0,1.0,85.0,156,328,Chris Childs</t>
  </si>
  <si>
    <t>164,1999-00,00,1610612752,NYK,32.0,71,2.0,1675.0,146,357,0.409,37.0,104.0,0.356,47,59,0.797,17.0,130.0,147.0,285,36.0,4.0,105.0,240,376,Chris Childs</t>
  </si>
  <si>
    <t>164,2000-01,00,1610612752,NYK,33.0,51,5.0,1306.0,93,222,0.419,20.0,64.0,0.313,39,46,0.848,14.0,124.0,138.0,236,37.0,7.0,98.0,160,245,Chris Childs</t>
  </si>
  <si>
    <t>200811,2014-15,00,1610612752,NYK,32.0,41,35.0,858.0,105,243,0.432,0.0,1.0,0.0,38,82,0.463,89.0,159.0,248.0,65,21.0,52.0,57.0,115,248,Lou Amundson</t>
  </si>
  <si>
    <t>200811,2015-16,00,1610612752,NYK,33.0,29,0.0,204.0,19,53,0.358,0.0,0.0,0.0,14,27,0.519,23.0,26.0,49.0,12,6.0,7.0,15.0,44,52,Lou Amundson</t>
  </si>
  <si>
    <t>2047,2005-06,00,1610612752,NYK,26.0,55,43.0,1442.0,163,459,0.355,64.0,188.0,0.34,61,91,0.67,65.0,165.0,230.0,88,39.0,6.0,56.0,134,451,Quentin Richardson</t>
  </si>
  <si>
    <t>2047,2006-07,00,1610612752,NYK,27.0,49,47.0,1621.0,228,545,0.418,97.0,258.0,0.376,83,120,0.692,65.0,287.0,352.0,108,36.0,7.0,70.0,133,636,Quentin Richardson</t>
  </si>
  <si>
    <t>2047,2007-08,00,1610612752,NYK,28.0,65,65.0,1841.0,199,555,0.359,69.0,214.0,0.322,60,88,0.682,56.0,259.0,315.0,116,44.0,15.0,69.0,153,527,Quentin Richardson</t>
  </si>
  <si>
    <t>2047,2008-09,00,1610612752,NYK,29.0,72,51.0,1894.0,262,667,0.393,120.0,329.0,0.365,89,117,0.761,71.0,248.0,319.0,117,47.0,7.0,74.0,132,733,Quentin Richardson</t>
  </si>
  <si>
    <t>2047,2012-13,00,1610612752,NYK,33.0,1,0.0,29.0,1,11,0.091,1.0,4.0,0.25,2,2,1.0,5.0,5.0,10.0,1,0.0,0.0,2.0,1,5,Quentin Richardson</t>
  </si>
  <si>
    <t>2216,2007-08,00,1610612752,NYK,26.0,69,68.0,2244.0,486,1058,0.459,22.0,80.0,0.275,223,289,0.772,184.0,526.0,710.0,140,59.0,16.0,186.0,194,1217,Zach Randolph</t>
  </si>
  <si>
    <t>2216,2008-09,00,1610612752,NYK,27.0,11,11.0,388.0,82,189,0.434,7.0,24.0,0.292,55,67,0.821,40.0,97.0,137.0,15,13.0,3.0,23.0,28,226,Zach Randolph</t>
  </si>
  <si>
    <t>101127,2017-18,00,1610612752,NYK,34.0,62,56.0,1548.0,189,443,0.427,25.0,86.0,0.291,63,75,0.84,22.0,169.0,191.0,348,35.0,4.0,115.0,98,466,Jarrett Jack</t>
  </si>
  <si>
    <t>202683,2017-18,00,1610612752,NYK,26.0,71,71.0,1830.0,422,713,0.592,0.0,2.0,0.0,156,184,0.848,273.0,507.0,780.0,105,36.0,37.0,122.0,187,1000,Enes Freedom</t>
  </si>
  <si>
    <t>202683,2018-19,00,1610612752,NYK,27.0,44,23.0,1128.0,251,468,0.536,7.0,22.0,0.318,105,129,0.814,171.0,290.0,461.0,84,18.0,17.0,79.0,106,614,Enes Freedom</t>
  </si>
  <si>
    <t>76385,1989-90,00,1610612752,NYK,33.0,31,13.0,753.0,92,159,0.579,3.0,7.0,0.429,57,65,0.877,11.0,62.0,73.0,151,42.0,5.0,36.0,32,244,Maurice Cheeks</t>
  </si>
  <si>
    <t>76385,1990-91,00,1610612752,NYK,34.0,76,64.0,2147.0,241,483,0.499,5.0,20.0,0.25,105,129,0.814,22.0,151.0,173.0,435,128.0,10.0,108.0,138,592,Maurice Cheeks</t>
  </si>
  <si>
    <t>76206,1963-64,00,1610612752,NYK,27.0,49,,1652.0,329,762,0.432,,,,198,257,0.77,,,418.0,63,,,,148,856,Bob Boozer</t>
  </si>
  <si>
    <t>76206,1964-65,00,1610612752,NYK,28.0,80,,2139.0,424,963,0.44,,,,288,375,0.768,,,604.0,108,,,,183,1136,Bob Boozer</t>
  </si>
  <si>
    <t>202690,2015-16,00,1610612752,NYK,27.0,2,0.0,5.0,1,1,1.0,1.0,1.0,1.0,4,5,0.8,0.0,0.0,0.0,0,0.0,0.0,1.0,1,7,Jimmer Fredette</t>
  </si>
  <si>
    <t>76382,1963-64,00,1610612752,NYK,23.0,78,,2489.0,531,1183,0.449,,,,287,401,0.716,,,767.0,83,,,,212,1349,Len Chappell</t>
  </si>
  <si>
    <t>76382,1964-65,00,1610612752,NYK,24.0,43,,655.0,145,367,0.395,,,,68,100,0.68,,,140.0,15,,,,73,358,Len Chappell</t>
  </si>
  <si>
    <t>76382,1965-66,00,1610612752,NYK,25.0,46,,545.0,100,238,0.42,,,,46,78,0.59,,,127.0,26,,,,64,246,Len Chappell</t>
  </si>
  <si>
    <t>77093,1960-61,00,1610612752,NYK,22.0,62,,994.0,122,310,0.394,,,,49,96,0.51,,,296.0,51,,,,143,293,Darrall Imhoff</t>
  </si>
  <si>
    <t>77093,1961-62,00,1610612752,NYK,23.0,76,,1481.0,186,482,0.386,,,,80,139,0.576,,,470.0,82,,,,230,452,Darrall Imhoff</t>
  </si>
  <si>
    <t>393,1988-89,00,1610612752,NYK,22.0,81,10.0,1358.0,265,567,0.467,19.0,59.0,0.322,172,231,0.745,51.0,109.0,160.0,319,98.0,3.0,148.0,142,721,Rod Strickland</t>
  </si>
  <si>
    <t>393,1989-90,00,1610612752,NYK,23.0,51,0.0,1019.0,170,386,0.44,6.0,21.0,0.286,83,130,0.638,43.0,83.0,126.0,219,70.0,8.0,85.0,71,429,Rod Strickland</t>
  </si>
  <si>
    <t>78276,1946-47,00,1610612752,NYK,27.0,60,,,172,641,0.268,,,,133,170,0.782,,,,49,,,,127,477,Stan Stutz</t>
  </si>
  <si>
    <t>78276,1947-48,00,1610612752,NYK,28.0,47,,,109,501,0.218,,,,113,135,0.837,,,,57,,,,121,331,Stan Stutz</t>
  </si>
  <si>
    <t>1743,2003-04,00,1610612752,NYK,24.0,1,0.0,4.0,1,1,1.0,0.0,0.0,0.0,0,0,0.0,0.0,0.0,0.0,1,0.0,0.0,0.0,2,2,Bruno Sundov</t>
  </si>
  <si>
    <t>1743,2004-05,00,1610612752,NYK,25.0,21,0.0,73.0,11,37,0.297,1.0,3.0,0.333,2,2,1.0,6.0,7.0,13.0,2,2.0,2.0,6.0,16,25,Bruno Sundov</t>
  </si>
  <si>
    <t>78280,1952-53,00,1610612752,NYK,23.0,26,,187.0,13,61,0.213,,,,19,30,0.633,,,25.0,9,,,,36,45,Dick Surhoff</t>
  </si>
  <si>
    <t>2552,2003-04,00,1610612752,NYK,21.0,42,1.0,495.0,69,140,0.493,0.0,1.0,0.0,42,58,0.724,68.0,89.0,157.0,14,18.0,12.0,32.0,57,180,Michael Sweetney</t>
  </si>
  <si>
    <t>2552,2004-05,00,1610612752,NYK,22.0,77,28.0,1509.0,237,446,0.531,0.0,1.0,0.0,176,235,0.749,169.0,249.0,418.0,44,27.0,28.0,108.0,224,650,Michael Sweetney</t>
  </si>
  <si>
    <t>78291,1947-48,00,1610612752,NYK,22.0,24,,,90,360,0.25,,,,62,74,0.838,,,,37,,,,33,242,Sid Tannenbaum</t>
  </si>
  <si>
    <t>78291,1948-49,00,1610612752,NYK,23.0,32,,0.0,96,339,0.283,,,,65,77,0.844,,,0.0,71,,,,53,257,Sid Tannenbaum</t>
  </si>
  <si>
    <t>1508,2004-05,00,1610612752,NYK,28.0,27,0.0,431.0,76,154,0.494,0.0,1.0,0.0,24,43,0.558,26.0,67.0,93.0,14,11.0,8.0,31.0,57,176,Maurice Taylor</t>
  </si>
  <si>
    <t>1508,2005-06,00,1610612752,NYK,29.0,67,13.0,1210.0,182,389,0.468,0.0,1.0,0.0,58,83,0.699,65.0,164.0,229.0,53,21.0,14.0,103.0,177,422,Maurice Taylor</t>
  </si>
  <si>
    <t>78303,1982-83,00,1610612752,NYK,22.0,31,0.0,321.0,37,102,0.363,0.0,0.0,0.0,21,32,0.656,19.0,17.0,36.0,41,20.0,2.0,30.0,54,95,Vince Taylor</t>
  </si>
  <si>
    <t>703,1998-99,00,1610612752,NYK,26.0,50,44.0,1182.0,170,368,0.462,0.0,1.0,0.0,66,108,0.611,82.0,204.0,286.0,55,45.0,17.0,73.0,159,406,Kurt Thomas</t>
  </si>
  <si>
    <t>703,1999-00,00,1610612752,NYK,27.0,80,21.0,1971.0,270,535,0.505,1.0,3.0,0.333,100,128,0.781,144.0,361.0,505.0,82,51.0,42.0,105.0,278,641,Kurt Thomas</t>
  </si>
  <si>
    <t>703,2000-01,00,1610612752,NYK,28.0,77,29.0,2128.0,314,614,0.511,1.0,3.0,0.333,171,210,0.814,172.0,343.0,515.0,63,61.0,69.0,99.0,287,800,Kurt Thomas</t>
  </si>
  <si>
    <t>703,2001-02,00,1610612752,NYK,29.0,82,82.0,2769.0,463,938,0.494,1.0,6.0,0.167,216,265,0.815,214.0,533.0,747.0,87,71.0,79.0,153.0,341,1143,Kurt Thomas</t>
  </si>
  <si>
    <t>703,2002-03,00,1610612752,NYK,30.0,81,81.0,2575.0,497,1028,0.483,2.0,3.0,0.667,138,184,0.75,160.0,477.0,637.0,162,81.0,97.0,138.0,344,1134,Kurt Thomas</t>
  </si>
  <si>
    <t>703,2003-04,00,1610612752,NYK,31.0,80,75.0,2549.0,392,829,0.473,0.0,3.0,0.0,106,127,0.835,145.0,517.0,662.0,149,56.0,80.0,132.0,298,890,Kurt Thomas</t>
  </si>
  <si>
    <t>703,2004-05,00,1610612752,NYK,32.0,80,80.0,2855.0,424,901,0.471,2.0,4.0,0.5,66,84,0.786,170.0,661.0,831.0,160,70.0,79.0,99.0,310,916,Kurt Thomas</t>
  </si>
  <si>
    <t>703,2012-13,00,1610612752,NYK,40.0,39,17.0,392.0,45,83,0.542,1.0,1.0,1.0,6,13,0.462,24.0,65.0,89.0,21,10.0,16.0,8.0,52,97,Kurt Thomas</t>
  </si>
  <si>
    <t>202498,2014-15,00,1610612752,NYK,27.0,40,24.0,1040.0,137,316,0.434,7.0,21.0,0.333,49,66,0.742,37.0,83.0,120.0,49,26.0,8.0,57.0,63,330,Lance Thomas</t>
  </si>
  <si>
    <t>202498,2015-16,00,1610612752,NYK,28.0,59,5.0,1313.0,169,382,0.442,44.0,109.0,0.404,102,119,0.857,34.0,97.0,131.0,53,22.0,7.0,57.0,109,484,Lance Thomas</t>
  </si>
  <si>
    <t>202498,2016-17,00,1610612752,NYK,29.0,46,15.0,968.0,97,244,0.398,38.0,85.0,0.447,43,51,0.843,32.0,110.0,142.0,35,21.0,5.0,25.0,85,275,Lance Thomas</t>
  </si>
  <si>
    <t>202498,2017-18,00,1610612752,NYK,30.0,73,31.0,1353.0,102,267,0.382,50.0,124.0,0.403,44,53,0.83,44.0,131.0,175.0,44,30.0,14.0,41.0,134,298,Lance Thomas</t>
  </si>
  <si>
    <t>202498,2018-19,00,1610612752,NYK,31.0,46,17.0,783.0,78,197,0.396,22.0,79.0,0.278,27,36,0.75,21.0,96.0,117.0,27,17.0,7.0,24.0,83,205,Lance Thomas</t>
  </si>
  <si>
    <t>1501,2003-04,00,1610612752,NYK,27.0,24,23.0,746.0,137,303,0.452,26.0,64.0,0.406,78,96,0.813,26.0,89.0,115.0,34,24.0,5.0,43.0,69,378,Tim Thomas</t>
  </si>
  <si>
    <t>1501,2004-05,00,1610612752,NYK,28.0,71,68.0,1940.0,315,718,0.439,85.0,208.0,0.409,136,173,0.786,45.0,192.0,237.0,110,41.0,17.0,113.0,222,851,Tim Thomas</t>
  </si>
  <si>
    <t>1501,2008-09,00,1610612752,NYK,32.0,36,1.0,773.0,119,258,0.461,53.0,126.0,0.421,54,67,0.806,20.0,93.0,113.0,46,22.0,10.0,46.0,91,345,Tim Thomas</t>
  </si>
  <si>
    <t>240,1997-98,00,1610612752,NYK,27.0,17,0.0,121.0,13,29,0.448,4.0,14.0,0.286,3,5,0.6,0.0,10.0,10.0,24,6.0,1.0,11.0,16,33,Brooks Thompson</t>
  </si>
  <si>
    <t>738,1985-86,00,1610612752,NYK,23.0,71,23.0,1323.0,125,274,0.456,0.0,0.0,0.0,86,162,0.531,113.0,177.0,290.0,43,30.0,7.0,83.0,209,336,Bob Thornton</t>
  </si>
  <si>
    <t>738,1986-87,00,1610612752,NYK,24.0,33,4.0,282.0,29,67,0.433,0.0,1.0,0.0,13,20,0.65,18.0,38.0,56.0,8,4.0,3.0,24.0,48,71,Bob Thornton</t>
  </si>
  <si>
    <t>738,1987-88,00,1610612752,NYK,25.0,7,0.0,85.0,6,19,0.316,0.0,0.0,0.0,5,8,0.625,5.0,8.0,13.0,4,2.0,0.0,8.0,23,17,Bob Thornton</t>
  </si>
  <si>
    <t>78348,1987-88,00,1610612752,NYK,29.0,11,0.0,177.0,19,41,0.463,0.0,0.0,0.0,9,17,0.529,14.0,21.0,35.0,5,5.0,2.0,10.0,25,47,Ray Tolbert</t>
  </si>
  <si>
    <t>78352,1987-88,00,1610612752,NYK,26.0,21,0.0,139.0,21,48,0.438,5.0,14.0,0.357,10,11,0.909,3.0,5.0,8.0,24,9.0,1.0,12.0,20,57,Sedric Toney</t>
  </si>
  <si>
    <t>1631210,2023-24,00,1610612752,NYK,24.0,9,0.0,38.0,5,9,0.556,1.0,4.0,0.25,2,2,1.0,3.0,4.0,7.0,3,0.0,1.0,1.0,3,13,Jacob Toppin</t>
  </si>
  <si>
    <t>1630167,2020-21,00,1610612752,NYK,23.0,62,0.0,683.0,104,209,0.498,26.0,85.0,0.306,19,26,0.731,26.0,112.0,138.0,29,17.0,15.0,23.0,55,253,Obi Toppin</t>
  </si>
  <si>
    <t>1630167,2021-22,00,1610612752,NYK,24.0,72,10.0,1230.0,251,473,0.531,52.0,169.0,0.308,94,124,0.758,69.0,199.0,268.0,77,25.0,33.0,56.0,102,648,Obi Toppin</t>
  </si>
  <si>
    <t>1630167,2022-23,00,1610612752,NYK,25.0,67,5.0,1051.0,187,419,0.446,85.0,247.0,0.344,38,47,0.809,29.0,158.0,187.0,66,23.0,12.0,38.0,68,497,Obi Toppin</t>
  </si>
  <si>
    <t>1629019,2018-19,00,1610612752,NYK,23.0,64,3.0,1459.0,232,518,0.448,52.0,132.0,0.394,179,223,0.803,31.0,166.0,197.0,119,28.0,14.0,116.0,117,695,Allonzo Trier</t>
  </si>
  <si>
    <t>1629019,2019-20,00,1610612752,NYK,24.0,24,1.0,291.0,51,106,0.481,19.0,53.0,0.358,34,43,0.791,6.0,23.0,29.0,28,3.0,4.0,22.0,29,155,Allonzo Trier</t>
  </si>
  <si>
    <t>2456,2003-04,00,1610612752,NYK,24.0,3,0.0,5.0,0,2,0.0,0.0,0.0,0.0,1,2,0.5,0.0,0.0,0.0,0,1.0,0.0,0.0,2,1,Cezary Trybanski</t>
  </si>
  <si>
    <t>78375,1982-83,00,1610612752,NYK,23.0,78,59.0,1830.0,299,647,0.462,14.0,30.0,0.467,43,64,0.672,75.0,141.0,216.0,195,56.0,6.0,70.0,235,655,Trent Tucker</t>
  </si>
  <si>
    <t>78375,1983-84,00,1610612752,NYK,24.0,63,21.0,1228.0,225,450,0.5,6.0,16.0,0.375,25,33,0.758,43.0,87.0,130.0,138,63.0,8.0,54.0,124,481,Trent Tucker</t>
  </si>
  <si>
    <t>78375,1984-85,00,1610612752,NYK,25.0,77,46.0,1819.0,293,606,0.483,29.0,72.0,0.403,38,48,0.792,74.0,114.0,188.0,199,75.0,15.0,64.0,195,653,Trent Tucker</t>
  </si>
  <si>
    <t>78375,1985-86,00,1610612752,NYK,26.0,77,23.0,1788.0,349,740,0.472,41.0,91.0,0.451,79,100,0.79,70.0,99.0,169.0,192,65.0,8.0,70.0,167,818,Trent Tucker</t>
  </si>
  <si>
    <t>78375,1986-87,00,1610612752,NYK,27.0,70,15.0,1691.0,325,691,0.47,68.0,161.0,0.422,77,101,0.762,49.0,86.0,135.0,166,116.0,13.0,78.0,169,795,Trent Tucker</t>
  </si>
  <si>
    <t>78375,1987-88,00,1610612752,NYK,28.0,71,4.0,1248.0,193,455,0.424,69.0,167.0,0.413,51,71,0.718,32.0,87.0,119.0,117,53.0,6.0,47.0,158,506,Trent Tucker</t>
  </si>
  <si>
    <t>78375,1988-89,00,1610612752,NYK,29.0,81,24.0,1824.0,263,579,0.454,118.0,296.0,0.399,43,55,0.782,55.0,121.0,176.0,132,88.0,6.0,59.0,163,687,Trent Tucker</t>
  </si>
  <si>
    <t>78375,1989-90,00,1610612752,NYK,30.0,81,2.0,1725.0,253,606,0.417,95.0,245.0,0.388,66,86,0.767,57.0,117.0,174.0,173,74.0,8.0,73.0,159,667,Trent Tucker</t>
  </si>
  <si>
    <t>78375,1990-91,00,1610612752,NYK,31.0,65,13.0,1194.0,191,434,0.44,64.0,153.0,0.418,17,27,0.63,33.0,72.0,105.0,111,44.0,9.0,46.0,120,463,Trent Tucker</t>
  </si>
  <si>
    <t>101142,2010-11,00,1610612752,NYK,28.0,64,21.0,1141.0,103,163,0.632,0.0,0.0,0.0,61,98,0.622,64.0,143.0,207.0,92,35.0,73.0,41.0,160,267,Ronny Turiaf</t>
  </si>
  <si>
    <t>1726,1999-00,00,1610612752,NYK,24.0,7,0.0,25.0,2,10,0.2,0.0,2.0,0.0,0,0,0.0,2.0,8.0,10.0,1,2.0,0.0,1.0,4,4,Mirsad Turkcan</t>
  </si>
  <si>
    <t>78380,1954-55,00,1610612752,NYK,25.0,65,,922.0,111,308,0.36,,,,60,76,0.789,,,154.0,77,,,,76,282,Jack Turner</t>
  </si>
  <si>
    <t>202719,2013-14,00,1610612752,NYK,23.0,41,0.0,398.0,60,116,0.517,0.0,0.0,0.0,26,48,0.542,38.0,71.0,109.0,8,6.0,20.0,26.0,70,146,Jeremy Tyler</t>
  </si>
  <si>
    <t>2137,2005-06,00,1610612752,NYK,28.0,8,0.0,114.0,9,24,0.375,1.0,3.0,0.333,3,6,0.5,3.0,14.0,17.0,6,1.0,0.0,2.0,8,22,Ime Udoka</t>
  </si>
  <si>
    <t>1065,2000-01,00,1610612752,NYK,27.0,28,0.0,421.0,40,131,0.305,16.0,47.0,0.34,24,28,0.857,9.0,43.0,52.0,29,22.0,1.0,21.0,46,120,Erick Strickland</t>
  </si>
  <si>
    <t>78398,1965-66,00,1610612752,NYK,23.0,79,,2289.0,359,838,0.428,,,,251,351,0.715,,,376.0,184,,,,235,969,Dick Van Arsdale</t>
  </si>
  <si>
    <t>78398,1966-67,00,1610612752,NYK,24.0,79,,2892.0,410,913,0.449,,,,371,509,0.729,,,555.0,247,,,,264,1191,Dick Van Arsdale</t>
  </si>
  <si>
    <t>78398,1967-68,00,1610612752,NYK,25.0,78,,2348.0,316,725,0.436,,,,227,339,0.67,,,424.0,230,,,,225,859,Dick Van Arsdale</t>
  </si>
  <si>
    <t>78401,1946-47,00,1610612752,NYK,24.0,16,,,7,34,0.206,,,,11,17,0.647,,,,6,,,,10,25,Butch Van Breda Kolff</t>
  </si>
  <si>
    <t>78401,1947-48,00,1610612752,NYK,25.0,44,,,53,192,0.276,,,,74,120,0.617,,,,29,,,,81,180,Butch Van Breda Kolff</t>
  </si>
  <si>
    <t>78401,1948-49,00,1610612752,NYK,26.0,59,,,127,401,0.317,,,,161,240,0.671,,,,143,,,,148,415,Butch Van Breda Kolff</t>
  </si>
  <si>
    <t>78401,1949-50,00,1610612752,NYK,27.0,56,,,55,167,0.329,,,,96,134,0.716,,,,78,,,,111,206,Butch Van Breda Kolff</t>
  </si>
  <si>
    <t>1496,2003-04,00,1610612752,NYK,28.0,47,47.0,1578.0,273,613,0.445,60.0,161.0,0.373,163,199,0.819,98.0,245.0,343.0,83,52.0,18.0,119.0,151,769,Keith Van Horn</t>
  </si>
  <si>
    <t>78405,1949-50,00,1610612752,NYK,21.0,42,,,164,390,0.421,,,,93,140,0.664,,,,78,,,,126,421,Ernie Vandeweghe</t>
  </si>
  <si>
    <t>78405,1950-51,00,1610612752,NYK,22.0,44,,,135,336,0.402,,,,68,97,0.701,,,195.0,121,,,,144,338,Ernie Vandeweghe</t>
  </si>
  <si>
    <t>78405,1951-52,00,1610612752,NYK,23.0,57,,1507.0,200,457,0.438,,,,124,160,0.775,,,264.0,164,,,,188,524,Ernie Vandeweghe</t>
  </si>
  <si>
    <t>78405,1952-53,00,1610612752,NYK,24.0,61,,1745.0,272,625,0.435,,,,187,244,0.766,,,342.0,144,,,,242,731,Ernie Vandeweghe</t>
  </si>
  <si>
    <t>78405,1953-54,00,1610612752,NYK,25.0,15,,271.0,37,103,0.359,,,,25,31,0.806,,,39.0,29,,,,38,99,Ernie Vandeweghe</t>
  </si>
  <si>
    <t>78405,1955-56,00,1610612752,NYK,27.0,5,,77.0,10,31,0.323,,,,2,2,1.0,,,13.0,12,,,,15,22,Ernie Vandeweghe</t>
  </si>
  <si>
    <t>78391,1957-58,00,1610612752,NYK,22.0,68,,1182.0,175,490,0.357,,,,150,224,0.67,,,480.0,34,,,,175,500,Charlie Tyra</t>
  </si>
  <si>
    <t>78391,1958-59,00,1610612752,NYK,23.0,69,,1586.0,240,606,0.396,,,,129,190,0.679,,,485.0,33,,,,180,609,Charlie Tyra</t>
  </si>
  <si>
    <t>78391,1959-60,00,1610612752,NYK,24.0,74,,2033.0,406,952,0.426,,,,133,189,0.704,,,598.0,80,,,,258,945,Charlie Tyra</t>
  </si>
  <si>
    <t>78391,1960-61,00,1610612752,NYK,25.0,59,,1404.0,199,549,0.362,,,,120,173,0.694,,,394.0,82,,,,164,518,Charlie Tyra</t>
  </si>
  <si>
    <t>203943,2018-19,00,1610612752,NYK,23.0,68,57.0,1722.0,207,440,0.47,46.0,137.0,0.336,111,156,0.712,113.0,415.0,528.0,129,46.0,51.0,88.0,174,571,Noah Vonleh</t>
  </si>
  <si>
    <t>2756,2015-16,00,1610612752,NYK,32.0,61,25.0,908.0,106,277,0.383,52.0,143.0,0.364,32,39,0.821,26.0,123.0,149.0,84,34.0,5.0,44.0,83,296,Sasha Vujacic</t>
  </si>
  <si>
    <t>2756,2016-17,00,1610612752,NYK,33.0,42,4.0,408.0,42,136,0.309,23.0,74.0,0.311,17,24,0.708,12.0,47.0,59.0,52,13.0,2.0,16.0,38,124,Sasha Vujacic</t>
  </si>
  <si>
    <t>78432,1974-75,00,1610612752,NYK,26.0,30,,274.0,47,115,0.409,,,,22,25,0.88,18.0,59.0,77.0,22,7.0,3.0,,55,116,Neal Walk</t>
  </si>
  <si>
    <t>78432,1975-76,00,1610612752,NYK,27.0,82,,1340.0,262,607,0.432,,,,79,99,0.798,98.0,291.0,389.0,119,26.0,22.0,,209,603,Neal Walk</t>
  </si>
  <si>
    <t>78432,1976-77,00,1610612752,NYK,28.0,11,,135.0,28,57,0.491,,,,6,7,0.857,5.0,22.0,27.0,6,4.0,3.0,,22,62,Neal Walk</t>
  </si>
  <si>
    <t>78404,1988-89,00,1610612752,NYK,30.0,27,0.0,502.0,97,209,0.464,3.0,10.0,0.3,51,56,0.911,15.0,21.0,36.0,35,12.0,7.0,23.0,38,248,Kiki Vandeweghe</t>
  </si>
  <si>
    <t>78404,1989-90,00,1610612752,NYK,31.0,22,13.0,563.0,102,231,0.442,10.0,19.0,0.526,44,48,0.917,15.0,38.0,53.0,41,15.0,3.0,26.0,28,258,Kiki Vandeweghe</t>
  </si>
  <si>
    <t>78404,1990-91,00,1610612752,NYK,32.0,75,72.0,2420.0,458,927,0.494,51.0,141.0,0.362,259,288,0.899,78.0,102.0,180.0,110,42.0,10.0,108.0,122,1226,Kiki Vandeweghe</t>
  </si>
  <si>
    <t>78404,1991-92,00,1610612752,NYK,33.0,67,0.0,956.0,188,383,0.491,26.0,66.0,0.394,65,81,0.802,31.0,57.0,88.0,57,15.0,8.0,27.0,87,467,Kiki Vandeweghe</t>
  </si>
  <si>
    <t>201611,2009-10,00,1610612752,NYK,22.0,27,13.0,739.0,117,226,0.518,50.0,116.0,0.431,37,47,0.787,15.0,68.0,83.0,37,23.0,3.0,26.0,79,321,Henry Walker</t>
  </si>
  <si>
    <t>201611,2010-11,00,1610612752,NYK,23.0,61,1.0,784.0,104,236,0.441,59.0,153.0,0.386,31,44,0.705,16.0,106.0,122.0,34,21.0,6.0,37.0,81,298,Henry Walker</t>
  </si>
  <si>
    <t>201611,2011-12,00,1610612752,NYK,24.0,32,8.0,620.0,68,171,0.398,36.0,113.0,0.319,17,20,0.85,9.0,71.0,80.0,37,19.0,7.0,35.0,84,189,Henry Walker</t>
  </si>
  <si>
    <t>202689,2021-22,00,1610612752,NYK,32.0,37,37.0,948.0,149,370,0.403,73.0,199.0,0.367,60,71,0.845,14.0,97.0,111.0,131,26.0,7.0,48.0,37,431,Kemba Walker</t>
  </si>
  <si>
    <t>78440,1986-87,00,1610612752,NYK,22.0,68,64.0,1719.0,285,581,0.491,0.0,4.0,0.0,140,185,0.757,118.0,220.0,338.0,75,49.0,49.0,75.0,236,710,Kenny Walker</t>
  </si>
  <si>
    <t>78440,1987-88,00,1610612752,NYK,23.0,82,61.0,2139.0,344,728,0.473,0.0,1.0,0.0,138,178,0.775,192.0,197.0,389.0,86,63.0,59.0,83.0,290,826,Kenny Walker</t>
  </si>
  <si>
    <t>78440,1988-89,00,1610612752,NYK,24.0,79,2.0,1163.0,174,356,0.489,5.0,20.0,0.25,66,85,0.776,101.0,129.0,230.0,36,41.0,45.0,44.0,190,419,Kenny Walker</t>
  </si>
  <si>
    <t>78440,1989-90,00,1610612752,NYK,25.0,68,21.0,1595.0,204,384,0.531,2.0,5.0,0.4,125,173,0.723,131.0,212.0,343.0,49,33.0,52.0,60.0,178,535,Kenny Walker</t>
  </si>
  <si>
    <t>78440,1990-91,00,1610612752,NYK,26.0,54,8.0,771.0,83,191,0.435,0.0,1.0,0.0,64,82,0.78,63.0,94.0,157.0,13,18.0,30.0,30.0,92,230,Kenny Walker</t>
  </si>
  <si>
    <t>961,1996-97,00,1610612752,NYK,23.0,68,6.0,787.0,122,236,0.517,2.0,4.0,0.5,79,110,0.718,51.0,104.0,155.0,37,21.0,25.0,76.0,102,325,John Wallace</t>
  </si>
  <si>
    <t>961,1999-00,00,1610612752,NYK,26.0,60,0.0,798.0,155,332,0.467,0.0,3.0,0.0,82,102,0.804,42.0,93.0,135.0,22,10.0,14.0,63.0,103,392,John Wallace</t>
  </si>
  <si>
    <t>739,2012-13,00,1610612752,NYK,38.0,21,0.0,296.0,55,142,0.387,22.0,69.0,0.319,14,20,0.7,11.0,72.0,83.0,6,13.0,15.0,10.0,40,146,Rasheed Wallace</t>
  </si>
  <si>
    <t>369,1994-95,00,1610612752,NYK,24.0,10,0.0,44.0,4,19,0.211,1.0,10.0,0.1,7,10,0.7,1.0,5.0,6.0,4,2.0,0.0,8.0,7,16,Charlie Ward</t>
  </si>
  <si>
    <t>369,1995-96,00,1610612752,NYK,25.0,62,1.0,787.0,87,218,0.399,33.0,99.0,0.333,37,54,0.685,29.0,73.0,102.0,132,54.0,6.0,79.0,98,244,Charlie Ward</t>
  </si>
  <si>
    <t>369,1996-97,00,1610612752,NYK,26.0,79,21.0,1765.0,133,337,0.395,48.0,154.0,0.312,95,125,0.76,45.0,175.0,220.0,326,83.0,15.0,147.0,188,409,Charlie Ward</t>
  </si>
  <si>
    <t>369,1997-98,00,1610612752,NYK,27.0,82,82.0,2317.0,235,516,0.455,81.0,215.0,0.377,91,113,0.805,32.0,242.0,274.0,466,144.0,37.0,175.0,195,642,Charlie Ward</t>
  </si>
  <si>
    <t>369,1998-99,00,1610612752,NYK,28.0,50,50.0,1556.0,135,334,0.404,53.0,149.0,0.356,55,78,0.705,23.0,149.0,172.0,271,103.0,8.0,131.0,105,378,Charlie Ward</t>
  </si>
  <si>
    <t>369,1999-00,00,1610612752,NYK,29.0,72,69.0,1986.0,189,447,0.423,102.0,264.0,0.386,48,58,0.828,22.0,206.0,228.0,300,95.0,16.0,102.0,176,528,Charlie Ward</t>
  </si>
  <si>
    <t>369,2000-01,00,1610612752,NYK,30.0,61,33.0,1495.0,155,373,0.416,67.0,175.0,0.383,56,70,0.8,32.0,127.0,159.0,273,70.0,10.0,112.0,132,433,Charlie Ward</t>
  </si>
  <si>
    <t>369,2001-02,00,1610612752,NYK,31.0,63,0.0,1058.0,113,303,0.373,53.0,164.0,0.323,47,58,0.81,15.0,112.0,127.0,203,68.0,14.0,75.0,100,326,Charlie Ward</t>
  </si>
  <si>
    <t>369,2002-03,00,1610612752,NYK,32.0,66,6.0,1467.0,165,414,0.399,101.0,267.0,0.378,41,53,0.774,25.0,152.0,177.0,306,78.0,11.0,95.0,146,472,Charlie Ward</t>
  </si>
  <si>
    <t>369,2003-04,00,1610612752,NYK,33.0,35,10.0,828.0,115,260,0.442,59.0,138.0,0.428,16,21,0.762,10.0,86.0,96.0,170,47.0,8.0,69.0,74,305,Charlie Ward</t>
  </si>
  <si>
    <t>78461,1969-70,00,1610612752,NYK,22.0,44,,272.0,44,108,0.407,,,,24,35,0.686,,,40.0,30,,,,53,112,Johnny Warren</t>
  </si>
  <si>
    <t>204037,2014-15,00,1610612752,NYK,24.0,51,1.0,672.0,84,209,0.402,11.0,30.0,0.367,20,26,0.769,31.0,75.0,106.0,40,15.0,11.0,35.0,55,199,Travis Wear</t>
  </si>
  <si>
    <t>2757,2013-14,00,1610612752,NYK,31.0,31,12.0,588.0,68,160,0.425,17.0,40.0,0.425,20,24,0.833,10.0,47.0,57.0,110,22.0,3.0,42.0,46,173,Beno Udrih</t>
  </si>
  <si>
    <t>78479,1946-47,00,1610612752,NYK,29.0,11,,0.0,7,24,0.292,,,,6,8,0.75,,,0.0,1,,,,20,20,Forest Weber</t>
  </si>
  <si>
    <t>78481,1978-79,00,1610612752,NYK,27.0,60,,2027.0,264,558,0.473,,,,150,262,0.573,198.0,457.0,655.0,172,24.0,112.0,170.0,183,678,Marvin Webster</t>
  </si>
  <si>
    <t>78481,1979-80,00,1610612752,NYK,28.0,20,,298.0,38,79,0.481,0.0,0.0,,12,16,0.75,28.0,52.0,80.0,9,3.0,11.0,20.0,39,88,Marvin Webster</t>
  </si>
  <si>
    <t>78481,1980-81,00,1610612752,NYK,29.0,82,,1708.0,159,341,0.466,1.0,4.0,0.25,104,163,0.638,162.0,303.0,465.0,72,27.0,97.0,103.0,187,423,Marvin Webster</t>
  </si>
  <si>
    <t>78481,1981-82,00,1610612752,NYK,30.0,82,32.0,1883.0,199,405,0.491,0.0,0.0,,108,170,0.635,184.0,306.0,490.0,99,22.0,90.0,90.0,211,506,Marvin Webster</t>
  </si>
  <si>
    <t>78481,1982-83,00,1610612752,NYK,31.0,82,0.0,1472.0,168,331,0.508,0.0,1.0,0.0,106,180,0.589,176.0,267.0,443.0,49,35.0,131.0,102.0,210,442,Marvin Webster</t>
  </si>
  <si>
    <t>78481,1983-84,00,1610612752,NYK,32.0,76,5.0,1290.0,112,239,0.469,0.0,0.0,0.0,66,117,0.564,146.0,220.0,366.0,53,34.0,100.0,85.0,187,290,Marvin Webster</t>
  </si>
  <si>
    <t>78500,1981-82,00,1610612752,NYK,31.0,18,12.0,451.0,86,194,0.443,2.0,8.0,0.25,36,47,0.766,9.0,13.0,22.0,100,19.0,8.0,47.0,61,210,Paul Westphal</t>
  </si>
  <si>
    <t>78500,1982-83,00,1610612752,NYK,32.0,80,59.0,1978.0,318,693,0.459,14.0,48.0,0.292,148,184,0.804,19.0,96.0,115.0,439,87.0,16.0,196.0,180,798,Paul Westphal</t>
  </si>
  <si>
    <t>200778,2012-13,00,1610612752,NYK,30.0,57,16.0,435.0,50,116,0.431,14.0,41.0,0.341,11,19,0.579,5.0,43.0,48.0,29,13.0,4.0,17.0,44,125,James White</t>
  </si>
  <si>
    <t>78514,1987-88,00,1610612752,NYK,23.0,12,0.0,117.0,17,46,0.37,0.0,1.0,0.0,9,13,0.692,1.0,2.0,3.0,10,1.0,0.0,13.0,14,43,Tony White</t>
  </si>
  <si>
    <t>2404,2008-09,00,1610612752,NYK,26.0,25,0.0,330.0,54,102,0.529,0.0,1.0,0.0,27,53,0.509,31.0,51.0,82.0,14,8.0,5.0,20.0,48,135,Chris Wilcox</t>
  </si>
  <si>
    <t>78534,1984-85,00,1610612752,NYK,23.0,54,16.0,917.0,116,233,0.498,0.0,2.0,0.0,66,122,0.541,86.0,176.0,262.0,16,21.0,16.0,64.0,155,298,Eddielee Wilkins</t>
  </si>
  <si>
    <t>78534,1986-87,00,1610612752,NYK,25.0,24,10.0,454.0,56,127,0.441,0.0,1.0,0.0,27,58,0.466,45.0,62.0,107.0,6,9.0,2.0,28.0,67,139,Eddielee Wilkins</t>
  </si>
  <si>
    <t>78534,1988-89,00,1610612752,NYK,27.0,71,2.0,584.0,114,245,0.465,0.0,1.0,0.0,61,111,0.55,72.0,76.0,148.0,7,10.0,16.0,56.0,110,289,Eddielee Wilkins</t>
  </si>
  <si>
    <t>78534,1989-90,00,1610612752,NYK,28.0,79,0.0,972.0,141,310,0.455,0.0,2.0,0.0,89,147,0.605,114.0,151.0,265.0,16,18.0,18.0,73.0,152,371,Eddielee Wilkins</t>
  </si>
  <si>
    <t>78534,1990-91,00,1610612752,NYK,29.0,68,1.0,668.0,114,255,0.447,0.0,1.0,0.0,51,90,0.567,69.0,111.0,180.0,15,17.0,7.0,50.0,91,279,Eddielee Wilkins</t>
  </si>
  <si>
    <t>202682,2015-16,00,1610612752,NYK,25.0,80,9.0,1435.0,254,565,0.45,44.0,150.0,0.293,194,256,0.758,47.0,249.0,296.0,75,29.0,9.0,61.0,69,746,Derrick Williams</t>
  </si>
  <si>
    <t>2421,2002-03,00,1610612752,NYK,23.0,21,0.0,167.0,9,33,0.273,6.0,16.0,0.375,4,6,0.667,3.0,15.0,18.0,34,7.0,2.0,17.0,20,28,Frank Williams</t>
  </si>
  <si>
    <t>2421,2003-04,00,1610612752,NYK,24.0,56,3.0,711.0,80,208,0.385,18.0,60.0,0.3,41,48,0.854,8.0,45.0,53.0,121,25.0,6.0,63.0,58,219,Frank Williams</t>
  </si>
  <si>
    <t>1006,1992-93,00,1610612752,NYK,35.0,55,0.0,571.0,72,175,0.411,0.0,0.0,0.0,14,21,0.667,44.0,102.0,146.0,19,21.0,28.0,22.0,78,158,Herb Williams</t>
  </si>
  <si>
    <t>1006,1993-94,00,1610612752,NYK,36.0,70,3.0,774.0,103,233,0.442,0.0,1.0,0.0,27,42,0.643,56.0,126.0,182.0,28,18.0,43.0,39.0,108,233,Herb Williams</t>
  </si>
  <si>
    <t>1006,1994-95,00,1610612752,NYK,37.0,56,3.0,743.0,82,180,0.456,0.0,0.0,0.0,23,37,0.622,23.0,109.0,132.0,27,13.0,45.0,40.0,108,187,Herb Williams</t>
  </si>
  <si>
    <t>1006,1995-96,00,1610612752,NYK,38.0,43,2.0,540.0,59,144,0.41,1.0,4.0,0.25,13,20,0.65,14.0,68.0,82.0,27,13.0,31.0,22.0,75,132,Herb Williams</t>
  </si>
  <si>
    <t>1006,1996-97,00,1610612752,NYK,39.0,21,2.0,184.0,18,46,0.391,0.0,1.0,0.0,3,4,0.75,9.0,22.0,31.0,5,4.0,5.0,5.0,18,39,Herb Williams</t>
  </si>
  <si>
    <t>1006,1997-98,00,1610612752,NYK,40.0,27,0.0,178.0,18,43,0.419,0.0,0.0,0.0,1,8,0.125,6.0,23.0,29.0,4,6.0,9.0,5.0,34,37,Herb Williams</t>
  </si>
  <si>
    <t>1006,1998-99,00,1610612752,NYK,41.0,6,0.0,34.0,4,8,0.5,0.0,0.0,0.0,2,2,1.0,3.0,3.0,6.0,0,0.0,2.0,2.0,2,10,Herb Williams</t>
  </si>
  <si>
    <t>786,1985-86,00,1610612752,NYK,22.0,81,53.0,2025.0,437,934,0.468,7.0,25.0,0.28,132,237,0.557,92.0,116.0,208.0,161,68.0,9.0,157.0,155,1013,Gerald Wilkins</t>
  </si>
  <si>
    <t>786,1986-87,00,1610612752,NYK,23.0,80,73.0,2758.0,633,1302,0.486,26.0,74.0,0.351,235,335,0.701,120.0,174.0,294.0,354,88.0,18.0,214.0,165,1527,Gerald Wilkins</t>
  </si>
  <si>
    <t>786,1987-88,00,1610612752,NYK,24.0,81,78.0,2703.0,591,1324,0.446,39.0,129.0,0.302,191,243,0.786,106.0,164.0,270.0,326,90.0,22.0,212.0,183,1412,Gerald Wilkins</t>
  </si>
  <si>
    <t>786,1988-89,00,1610612752,NYK,25.0,81,58.0,2414.0,462,1025,0.451,51.0,172.0,0.297,186,246,0.756,95.0,149.0,244.0,274,115.0,22.0,169.0,166,1161,Gerald Wilkins</t>
  </si>
  <si>
    <t>786,1989-90,00,1610612752,NYK,26.0,82,80.0,2609.0,472,1032,0.457,39.0,125.0,0.312,208,259,0.803,133.0,238.0,371.0,330,95.0,21.0,194.0,188,1191,Gerald Wilkins</t>
  </si>
  <si>
    <t>786,1990-91,00,1610612752,NYK,27.0,68,56.0,2164.0,380,804,0.473,9.0,43.0,0.209,169,206,0.82,78.0,129.0,207.0,275,82.0,23.0,161.0,181,938,Gerald Wilkins</t>
  </si>
  <si>
    <t>786,1991-92,00,1610612752,NYK,28.0,82,82.0,2344.0,431,964,0.447,38.0,108.0,0.352,116,159,0.73,74.0,132.0,206.0,219,76.0,17.0,113.0,195,1016,Gerald Wilkins</t>
  </si>
  <si>
    <t>78560,1970-71,00,1610612752,NYK,25.0,5,,13.0,1,1,1.0,,,,2,3,0.667,,,0.0,2,,,,3,4,Milt Williams</t>
  </si>
  <si>
    <t>42,1994-95,00,1610612752,NYK,23.0,41,23.0,503.0,60,133,0.451,0.0,8.0,0.0,17,38,0.447,42.0,56.0,98.0,49,20.0,4.0,41.0,87,137,Monty Williams</t>
  </si>
  <si>
    <t>42,1995-96,00,1610612752,NYK,24.0,14,0.0,62.0,7,22,0.318,0.0,0.0,0.0,5,8,0.625,9.0,8.0,17.0,4,2.0,0.0,5.0,9,19,Monty Williams</t>
  </si>
  <si>
    <t>78571,1977-78,00,1610612752,NYK,23.0,81,,1550.0,305,689,0.443,,,,146,207,0.705,85.0,124.0,209.0,363,108.0,15.0,242.0,211,756,Ray Williams</t>
  </si>
  <si>
    <t>78571,1978-79,00,1610612752,NYK,24.0,81,,2370.0,575,1257,0.457,,,,251,313,0.802,104.0,187.0,291.0,504,128.0,19.0,285.0,274,1401,Ray Williams</t>
  </si>
  <si>
    <t>78571,1979-80,00,1610612752,NYK,25.0,82,,2582.0,687,1384,0.496,7.0,37.0,0.189,333,423,0.787,149.0,263.0,412.0,512,167.0,24.0,256.0,295,1714,Ray Williams</t>
  </si>
  <si>
    <t>78571,1980-81,00,1610612752,NYK,26.0,79,,2742.0,616,1335,0.461,16.0,68.0,0.235,312,382,0.817,122.0,199.0,321.0,432,185.0,37.0,235.0,270,1560,Ray Williams</t>
  </si>
  <si>
    <t>78571,1983-84,00,1610612752,NYK,29.0,76,63.0,2230.0,418,939,0.445,25.0,81.0,0.309,263,318,0.827,67.0,200.0,267.0,449,162.0,26.0,219.0,274,1124,Ray Williams</t>
  </si>
  <si>
    <t>200761,2010-11,00,1610612752,NYK,25.0,64,11.0,1323.0,164,385,0.426,85.0,212.0,0.401,41,49,0.837,60.0,179.0,239.0,47,39.0,51.0,46.0,164,454,Shawne Williams</t>
  </si>
  <si>
    <t>200749,2010-11,00,1610612752,NYK,27.0,17,6.0,198.0,21,39,0.538,0.0,0.0,0.0,24,29,0.828,19.0,31.0,50.0,13,5.0,4.0,6.0,34,66,Shelden Williams</t>
  </si>
  <si>
    <t>78570,1979-80,00,1610612752,NYK,22.0,57,,556.0,104,267,0.39,0.0,4.0,0.0,58,90,0.644,65.0,56.0,121.0,36,19.0,8.0,49.0,73,266,Sly Williams</t>
  </si>
  <si>
    <t>78570,1980-81,00,1610612752,NYK,23.0,67,,1976.0,349,708,0.493,2.0,8.0,0.25,185,268,0.69,159.0,257.0,416.0,180,116.0,18.0,141.0,199,885,Sly Williams</t>
  </si>
  <si>
    <t>78570,1981-82,00,1610612752,NYK,24.0,60,27.0,1521.0,349,628,0.556,2.0,9.0,0.222,131,173,0.757,100.0,127.0,227.0,142,77.0,16.0,114.0,153,831,Sly Williams</t>
  </si>
  <si>
    <t>78570,1982-83,00,1610612752,NYK,25.0,68,6.0,1385.0,314,647,0.485,2.0,19.0,0.105,176,259,0.68,94.0,196.0,290.0,133,73.0,3.0,133.0,166,806,Sly Williams</t>
  </si>
  <si>
    <t>1627786,2017-18,00,1610612752,NYK,23.0,17,1.0,290.0,49,100,0.49,11.0,33.0,0.333,19,27,0.704,21.0,38.0,59.0,15,19.0,4.0,18.0,32,128,Troy Williams</t>
  </si>
  <si>
    <t>78589,1991-92,00,1610612752,NYK,25.0,15,0.0,64.0,12,27,0.444,1.0,2.0,0.5,8,10,0.8,6.0,9.0,15.0,8,2.0,2.0,2.0,4,33,Kennard Winchester</t>
  </si>
  <si>
    <t>1629685,2023-24,00,1610612752,NYK,27.0,3,0.0,7.0,1,2,0.5,1.0,2.0,0.5,0,0,0.0,0.0,1.0,1.0,1,0.0,0.0,0.0,1,3,Dylan Windler</t>
  </si>
  <si>
    <t>766,1998-99,00,1610612752,NYK,35.0,20,0.0,92.0,7,16,0.438,0.0,0.0,0.0,0,0,0.0,3.0,5.0,8.0,5,4.0,0.0,6.0,10,14,David Wingate</t>
  </si>
  <si>
    <t>766,1999-00,00,1610612752,NYK,36.0,7,0.0,32.0,1,9,0.111,0.0,0.0,0.0,0,0,0.0,1.0,1.0,2.0,3,1.0,2.0,2.0,7,2,David Wingate</t>
  </si>
  <si>
    <t>78596,1972-73,00,1610612752,NYK,25.0,13,,59.0,9,22,0.409,,,,2,6,0.333,,,16.0,1,,,,9,20,Harthorne Wingo</t>
  </si>
  <si>
    <t>78596,1973-74,00,1610612752,NYK,26.0,60,,536.0,82,172,0.477,,,,48,76,0.632,72.0,94.0,166.0,25,7.0,14.0,,85,212,Harthorne Wingo</t>
  </si>
  <si>
    <t>78596,1974-75,00,1610612752,NYK,27.0,82,,1686.0,233,506,0.46,,,,141,187,0.754,163.0,293.0,456.0,84,48.0,35.0,,215,607,Harthorne Wingo</t>
  </si>
  <si>
    <t>78596,1975-76,00,1610612752,NYK,28.0,57,,533.0,72,163,0.442,,,,40,60,0.667,46.0,61.0,107.0,18,19.0,8.0,,59,184,Harthorne Wingo</t>
  </si>
  <si>
    <t>2417,2005-06,00,1610612752,NYK,25.0,49,16.0,1013.0,129,254,0.508,22.0,60.0,0.367,49,76,0.645,44.0,146.0,190.0,47,32.0,13.0,61.0,96,329,Qyntel Woods</t>
  </si>
  <si>
    <t>78614,1980-81,00,1610612752,NYK,23.0,81,,949.0,165,373,0.442,1.0,5.0,0.2,49,64,0.766,33.0,64.0,97.0,75,36.0,12.0,54.0,95,380,Mike Woodson</t>
  </si>
  <si>
    <t>1897,2013-14,00,1610612752,NYK,34.0,29,1.0,388.0,56,141,0.397,17.0,54.0,0.315,10,16,0.625,18.0,41.0,59.0,17,24.0,8.0,19.0,44,139,Metta World Peace</t>
  </si>
  <si>
    <t>78620,1986-87,00,1610612752,NYK,25.0,14,0.0,138.0,20,46,0.435,0.0,1.0,0.0,12,28,0.429,25.0,28.0,53.0,1,3.0,6.0,13.0,20,52,Brad Wright</t>
  </si>
  <si>
    <t>78638,1950-51,00,1610612752,NYK,25.0,66,,,302,853,0.354,,,,231,298,0.775,,,228.0,136,,,,150,835,Max Zaslofsky</t>
  </si>
  <si>
    <t>78638,1951-52,00,1610612752,NYK,26.0,66,,2113.0,322,958,0.336,,,,287,380,0.755,,,194.0,156,,,,183,931,Max Zaslofsky</t>
  </si>
  <si>
    <t>78638,1952-53,00,1610612752,NYK,27.0,29,,722.0,123,320,0.384,,,,98,142,0.69,,,75.0,55,,,,81,344,Max Zaslofsky</t>
  </si>
  <si>
    <t>221,2001-02,00,1610612752,NYK,31.0,56,41.0,1726.0,189,452,0.418,0.0,0.0,0.0,116,146,0.795,149.0,311.0,460.0,60,37.0,48.0,47.0,132,494,Clar. Weatherspoon</t>
  </si>
  <si>
    <t>221,2002-03,00,1610612752,NYK,32.0,79,19.0,2026.0,186,414,0.449,0.0,0.0,0.0,149,194,0.768,214.0,385.0,599.0,68,69.0,36.0,63.0,174,521,Clar. Weatherspoon</t>
  </si>
  <si>
    <t>221,2003-04,00,1610612752,NYK,33.0,15,1.0,218.0,18,40,0.45,0.0,0.0,0.0,18,19,0.947,14.0,36.0,50.0,13,8.0,2.0,9.0,19,54,Clar. Weatherspoon</t>
  </si>
  <si>
    <t>78437,1983-84,00,1610612752,NYK,23.0,82,0.0,1324.0,216,518,0.417,4.0,15.0,0.267,208,263,0.791,74.0,93.0,167.0,284,127.0,15.0,194.0,202,644,Darrell Walker</t>
  </si>
  <si>
    <t>78437,1984-85,00,1610612752,NYK,24.0,82,66.0,2489.0,430,989,0.435,0.0,17.0,0.0,243,347,0.7,128.0,150.0,278.0,408,167.0,21.0,204.0,244,1103,Darrell Walker</t>
  </si>
  <si>
    <t>78437,1985-86,00,1610612752,NYK,25.0,81,35.0,2023.0,324,753,0.43,0.0,10.0,0.0,190,277,0.686,100.0,120.0,220.0,337,146.0,36.0,192.0,216,838,Darrell Walker</t>
  </si>
  <si>
    <t>966,2004-05,00,1610612752,NYK,32.0,79,4.0,1211.0,122,243,0.502,0.0,5.0,0.0,115,172,0.669,115.0,168.0,283.0,41,55.0,10.0,65.0,155,359,Jerome Williams</t>
  </si>
  <si>
    <t>433,1996-97,00,1610612752,NYK,37.0,74,4.0,1502.0,175,326,0.537,0.0,1.0,0.0,115,179,0.642,166.0,231.0,397.0,53,40.0,38.0,79.0,204,465,Buck Williams</t>
  </si>
  <si>
    <t>433,1997-98,00,1610612752,NYK,38.0,41,6.0,738.0,75,149,0.503,0.0,0.0,0.0,52,71,0.732,78.0,105.0,183.0,21,17.0,15.0,38.0,93,202,Buck Williams</t>
  </si>
  <si>
    <t>PLAYER_ID</t>
  </si>
  <si>
    <t>SEASON_ID</t>
  </si>
  <si>
    <t>LEAGUE_ID</t>
  </si>
  <si>
    <t>TEAM_ID</t>
  </si>
  <si>
    <t>TEAM_ABBREVIATION</t>
  </si>
  <si>
    <t>PLAYER_AGE</t>
  </si>
  <si>
    <t>GP</t>
  </si>
  <si>
    <t>GS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</si>
  <si>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</si>
  <si>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</si>
  <si>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</si>
  <si>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</si>
  <si>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</si>
  <si>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</si>
  <si>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</si>
  <si>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</si>
  <si>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</si>
  <si>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</si>
  <si>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</si>
  <si>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</si>
  <si>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</si>
  <si>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</si>
  <si>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STL</t>
  </si>
  <si>
    <t>BLK</t>
  </si>
  <si>
    <t>TOV</t>
  </si>
  <si>
    <t>PF</t>
  </si>
  <si>
    <t>PTS</t>
  </si>
  <si>
    <t>PLAYER_NAME</t>
  </si>
  <si>
    <t>1951-52</t>
  </si>
  <si>
    <t>NYK</t>
  </si>
  <si>
    <t>Herb Scherer</t>
  </si>
  <si>
    <t>1958-59</t>
  </si>
  <si>
    <t>Jerry Bird</t>
  </si>
  <si>
    <t>Frank Selvy</t>
  </si>
  <si>
    <t>1987-88</t>
  </si>
  <si>
    <t>Carey Scurry</t>
  </si>
  <si>
    <t>1962-63</t>
  </si>
  <si>
    <t>John Rudometkin</t>
  </si>
  <si>
    <t>1963-64</t>
  </si>
  <si>
    <t>1964-65</t>
  </si>
  <si>
    <t>2017-18</t>
  </si>
  <si>
    <t>Michael Beasley</t>
  </si>
  <si>
    <t>1975-76</t>
  </si>
  <si>
    <t>Butch Beard</t>
  </si>
  <si>
    <t>1976-77</t>
  </si>
  <si>
    <t>1977-78</t>
  </si>
  <si>
    <t>1978-79</t>
  </si>
  <si>
    <t>1949-50</t>
  </si>
  <si>
    <t>Ed Bartels</t>
  </si>
  <si>
    <t>1988-89</t>
  </si>
  <si>
    <t>Charles Oakley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</si>
  <si>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</si>
  <si>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</si>
  <si>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</si>
  <si>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</si>
  <si>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</si>
  <si>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</si>
  <si>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</si>
  <si>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</si>
  <si>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</si>
  <si>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2015-16</t>
  </si>
  <si>
    <t>Kyle O'Quinn</t>
  </si>
  <si>
    <t>2016-17</t>
  </si>
  <si>
    <t>1980-81</t>
  </si>
  <si>
    <t>Dewayne Scales</t>
  </si>
  <si>
    <t>1981-82</t>
  </si>
  <si>
    <t>Anthony Bowie</t>
  </si>
  <si>
    <t>Frank Ntilikina</t>
  </si>
  <si>
    <t>2018-19</t>
  </si>
  <si>
    <t>2019-20</t>
  </si>
  <si>
    <t>2020-21</t>
  </si>
  <si>
    <t>2011-12</t>
  </si>
  <si>
    <t>Steve Novak</t>
  </si>
  <si>
    <t>2012-13</t>
  </si>
  <si>
    <t>2003-04</t>
  </si>
  <si>
    <t>Moochie Norris</t>
  </si>
  <si>
    <t>2004-05</t>
  </si>
  <si>
    <t>Eric Anderson</t>
  </si>
  <si>
    <t>1947-48</t>
  </si>
  <si>
    <t>Paul Noel</t>
  </si>
  <si>
    <t>1948-49</t>
  </si>
  <si>
    <t>2005-06</t>
  </si>
  <si>
    <t>Nate Robinson</t>
  </si>
  <si>
    <t>2006-07</t>
  </si>
  <si>
    <t>2007-08</t>
  </si>
  <si>
    <t>2008-09</t>
  </si>
  <si>
    <t>2009-10</t>
  </si>
  <si>
    <t>Kristaps Porzingis</t>
  </si>
  <si>
    <t>Nerlens Noel</t>
  </si>
  <si>
    <t>2021-22</t>
  </si>
  <si>
    <t>Joakim Noah</t>
  </si>
  <si>
    <t>Demetris Nichols</t>
  </si>
  <si>
    <t>Renaldo Balkman</t>
  </si>
  <si>
    <t>2010-11</t>
  </si>
  <si>
    <t>Johnny Newman</t>
  </si>
  <si>
    <t>Mike Newlin</t>
  </si>
  <si>
    <t>1955-56</t>
  </si>
  <si>
    <t>Richard Atha</t>
  </si>
  <si>
    <t>Maurice Ndour</t>
  </si>
  <si>
    <t>1956-57</t>
  </si>
  <si>
    <t>Willie Naulls</t>
  </si>
  <si>
    <t>1957-58</t>
  </si>
  <si>
    <t>1959-60</t>
  </si>
  <si>
    <t>1960-61</t>
  </si>
  <si>
    <t>1961-62</t>
  </si>
  <si>
    <t>Earl Barron</t>
  </si>
  <si>
    <t>2002-03</t>
  </si>
  <si>
    <t>Lee Nailon</t>
  </si>
  <si>
    <t>2022-23</t>
  </si>
  <si>
    <t>Svi Mykhailiuk</t>
  </si>
  <si>
    <t>Jalen Rose</t>
  </si>
  <si>
    <t>2001-02</t>
  </si>
  <si>
    <t>Larry Robinson</t>
  </si>
  <si>
    <t>Pete Myers</t>
  </si>
  <si>
    <t>Randy Smith</t>
  </si>
  <si>
    <t>Dikembe Mutombo</t>
  </si>
  <si>
    <t>Mike Bibby</t>
  </si>
  <si>
    <t>Jerrod Mustaf</t>
  </si>
  <si>
    <t>2013-14</t>
  </si>
  <si>
    <t>Toure' Murry</t>
  </si>
  <si>
    <t>1946-47</t>
  </si>
  <si>
    <t>John Murphy</t>
  </si>
  <si>
    <t>Dick Murphy</t>
  </si>
  <si>
    <t>Andrea Bargnani</t>
  </si>
  <si>
    <t>2014-15</t>
  </si>
  <si>
    <t>Bob Mullens</t>
  </si>
  <si>
    <t>Emmanuel Mudiay</t>
  </si>
  <si>
    <t>Timofey Mozgov</t>
  </si>
  <si>
    <t>Austin Rivers</t>
  </si>
  <si>
    <t>Marcus Morris Sr.</t>
  </si>
  <si>
    <t>1953-54</t>
  </si>
  <si>
    <t>Fred Schaus</t>
  </si>
  <si>
    <t>Randolph Morris</t>
  </si>
  <si>
    <t>Courtney Sims</t>
  </si>
  <si>
    <t>Matt Mooney</t>
  </si>
  <si>
    <t>1971-72</t>
  </si>
  <si>
    <t>Earl Monroe</t>
  </si>
  <si>
    <t>1972-73</t>
  </si>
  <si>
    <t>1973-74</t>
  </si>
  <si>
    <t>1974-75</t>
  </si>
  <si>
    <t>1979-80</t>
  </si>
  <si>
    <t>1966-67</t>
  </si>
  <si>
    <t>Wayne Molis</t>
  </si>
  <si>
    <t>1954-55</t>
  </si>
  <si>
    <t>Don Anielak</t>
  </si>
  <si>
    <t>Nazr Mohammed</t>
  </si>
  <si>
    <t>John Rudd</t>
  </si>
  <si>
    <t>Wat Misaka</t>
  </si>
  <si>
    <t>Ossie Schectman</t>
  </si>
  <si>
    <t>Trevor Ariza</t>
  </si>
  <si>
    <t>2023-24</t>
  </si>
  <si>
    <t>Shake Milton</t>
  </si>
  <si>
    <t>Rolando Blackman</t>
  </si>
  <si>
    <t>Alexey Shved</t>
  </si>
  <si>
    <t>Chris Mills</t>
  </si>
  <si>
    <t>Arron Afflalo</t>
  </si>
  <si>
    <t>Ramon Sessions</t>
  </si>
  <si>
    <t>Nat Militzok</t>
  </si>
  <si>
    <t>Goebel Ritter</t>
  </si>
  <si>
    <t>1950-51</t>
  </si>
  <si>
    <t>Darko Milicic</t>
  </si>
  <si>
    <t>Irv Rothenberg</t>
  </si>
  <si>
    <t>Hank Rosenstein</t>
  </si>
  <si>
    <t>Eddie Miles</t>
  </si>
  <si>
    <t>Joe Meriweather</t>
  </si>
  <si>
    <t>Matt Barnes</t>
  </si>
  <si>
    <t>Phil Rollins</t>
  </si>
  <si>
    <t>Dean Meminger</t>
  </si>
  <si>
    <t>Bob McNeill</t>
  </si>
  <si>
    <t>Vin Baker</t>
  </si>
  <si>
    <t>Connie Simmons</t>
  </si>
  <si>
    <t>1952-53</t>
  </si>
  <si>
    <t>Sergio Rodriguez</t>
  </si>
  <si>
    <t>1985-86</t>
  </si>
  <si>
    <t>Chris McNealy</t>
  </si>
  <si>
    <t>1986-87</t>
  </si>
  <si>
    <t>RJ Barrett</t>
  </si>
  <si>
    <t>Jim McMillian</t>
  </si>
  <si>
    <t>Ron Behagen</t>
  </si>
  <si>
    <t>Ken Sears</t>
  </si>
  <si>
    <t>Jim Barnett</t>
  </si>
  <si>
    <t>Tom McMillen</t>
  </si>
  <si>
    <t>Kevin Seraphin</t>
  </si>
  <si>
    <t>Carlton McKinney</t>
  </si>
  <si>
    <t>Tom Riker</t>
  </si>
  <si>
    <t>Pablo Prigioni</t>
  </si>
  <si>
    <t>Dick McGuire</t>
  </si>
  <si>
    <t>1984-85</t>
  </si>
  <si>
    <t>Ken Bannister</t>
  </si>
  <si>
    <t>Derrick Rose</t>
  </si>
  <si>
    <t>Allie McGuire</t>
  </si>
  <si>
    <t>Jim Baechtold</t>
  </si>
  <si>
    <t>Al McGuire</t>
  </si>
  <si>
    <t>1965-66</t>
  </si>
  <si>
    <t>Dick Barnett</t>
  </si>
  <si>
    <t>1967-68</t>
  </si>
  <si>
    <t>1968-69</t>
  </si>
  <si>
    <t>1969-70</t>
  </si>
  <si>
    <t>1970-71</t>
  </si>
  <si>
    <t>Tracy McGrady</t>
  </si>
  <si>
    <t>Carmelo Anthony</t>
  </si>
  <si>
    <t>Bill McGill</t>
  </si>
  <si>
    <t>Cole Aldrich</t>
  </si>
  <si>
    <t>Tom Barker</t>
  </si>
  <si>
    <t>Mel McGaha</t>
  </si>
  <si>
    <t>Ryan Arcidiacono</t>
  </si>
  <si>
    <t>Chauncey Billups</t>
  </si>
  <si>
    <t>Antonio McDyess</t>
  </si>
  <si>
    <t>Doug McDermott</t>
  </si>
  <si>
    <t>Bob Santini</t>
  </si>
  <si>
    <t>1998-99</t>
  </si>
  <si>
    <t>Dennis Scott</t>
  </si>
  <si>
    <t>Xavier McDaniel</t>
  </si>
  <si>
    <t>Bob Anderegg</t>
  </si>
  <si>
    <t>Wayne Selden</t>
  </si>
  <si>
    <t>Tim McCormick</t>
  </si>
  <si>
    <t>Walter McCarty</t>
  </si>
  <si>
    <t>Thanasis Antetokounmpo</t>
  </si>
  <si>
    <t>Brendan McCann</t>
  </si>
  <si>
    <t>Miles McBride</t>
  </si>
  <si>
    <t>Brian Quinnett</t>
  </si>
  <si>
    <t>Elfrid Payton</t>
  </si>
  <si>
    <t>Bill Smith</t>
  </si>
  <si>
    <t>Campy Russell</t>
  </si>
  <si>
    <t>Bob McAdoo</t>
  </si>
  <si>
    <t>Mel Hutchins</t>
  </si>
  <si>
    <t>Walt Frazier</t>
  </si>
  <si>
    <t>Wilson Chandler</t>
  </si>
  <si>
    <t>Ken Mayfield</t>
  </si>
  <si>
    <t>Geoff Huston</t>
  </si>
  <si>
    <t>Steve Francis</t>
  </si>
  <si>
    <t>Tyson Chandler</t>
  </si>
  <si>
    <t>JR Smith</t>
  </si>
  <si>
    <t>Cazzie Russell</t>
  </si>
  <si>
    <t>Don May</t>
  </si>
  <si>
    <t>Feron Hunt</t>
  </si>
  <si>
    <t>Evan Fournier</t>
  </si>
  <si>
    <t>Ron Cavenall</t>
  </si>
  <si>
    <t>Ron Baker</t>
  </si>
  <si>
    <t>Wesley Matthews</t>
  </si>
  <si>
    <t>Larry Hughes</t>
  </si>
  <si>
    <t>Jack Foley</t>
  </si>
  <si>
    <t>Kelvin Cato</t>
  </si>
  <si>
    <t>Eddie Mast</t>
  </si>
  <si>
    <t>Allan Houston</t>
  </si>
  <si>
    <t>1999-00</t>
  </si>
  <si>
    <t>2000-01</t>
  </si>
  <si>
    <t>Larry Fogle</t>
  </si>
  <si>
    <t>Bill Cartwright</t>
  </si>
  <si>
    <t>1982-83</t>
  </si>
  <si>
    <t>1983-84</t>
  </si>
  <si>
    <t>Cheikh Samb</t>
  </si>
  <si>
    <t>Roger Mason Jr.</t>
  </si>
  <si>
    <t>Danuel House Jr.</t>
  </si>
  <si>
    <t>Malachi Flynn</t>
  </si>
  <si>
    <t>Reggie Carter</t>
  </si>
  <si>
    <t>Micheal Ray Richardson</t>
  </si>
  <si>
    <t>Anthony Mason</t>
  </si>
  <si>
    <t>Eddie House</t>
  </si>
  <si>
    <t>Bob Fitzgerald</t>
  </si>
  <si>
    <t>Butch Carter</t>
  </si>
  <si>
    <t>Ronald Martin</t>
  </si>
  <si>
    <t>Wilmer Hosket</t>
  </si>
  <si>
    <t>Matt Fish</t>
  </si>
  <si>
    <t>Anthony Carter</t>
  </si>
  <si>
    <t>Anthony Randolph</t>
  </si>
  <si>
    <t>Theo Pinson</t>
  </si>
  <si>
    <t>Kenyon Martin</t>
  </si>
  <si>
    <t>Tom Hoover</t>
  </si>
  <si>
    <t>Greg Fillmore</t>
  </si>
  <si>
    <t>Rick Carlisle</t>
  </si>
  <si>
    <t>OG Anunoby</t>
  </si>
  <si>
    <t>Dennis Smith Jr.</t>
  </si>
  <si>
    <t>Bill Martin</t>
  </si>
  <si>
    <t>Dick Holub</t>
  </si>
  <si>
    <t>Landry Fields</t>
  </si>
  <si>
    <t>Tony Campbell</t>
  </si>
  <si>
    <t>Immanuel Quickley</t>
  </si>
  <si>
    <t>Charlie Paulk</t>
  </si>
  <si>
    <t>Stephon Marbury</t>
  </si>
  <si>
    <t>Justin Holiday</t>
  </si>
  <si>
    <t>Eric Fernsten</t>
  </si>
  <si>
    <t>Marcus Camby</t>
  </si>
  <si>
    <t>Jim Barnes</t>
  </si>
  <si>
    <t>Frank Mangiapane</t>
  </si>
  <si>
    <t>Paul Hogue</t>
  </si>
  <si>
    <t>Raymond Felton</t>
  </si>
  <si>
    <t>Jim Caldwell</t>
  </si>
  <si>
    <t>Rudy Macklin</t>
  </si>
  <si>
    <t>Jordan Hill</t>
  </si>
  <si>
    <t>Ray Felix</t>
  </si>
  <si>
    <t>Jose Calderon</t>
  </si>
  <si>
    <t>Ray Lumpp</t>
  </si>
  <si>
    <t>Isaiah Hicks</t>
  </si>
  <si>
    <t>Mike Farmer</t>
  </si>
  <si>
    <t>Tommy Byrnes</t>
  </si>
  <si>
    <t>Willie Anderson</t>
  </si>
  <si>
    <t>Maurice Lucas</t>
  </si>
  <si>
    <t>Mario Hezonja</t>
  </si>
  <si>
    <t>Patrick Ewing</t>
  </si>
  <si>
    <t>Jackie Butler</t>
  </si>
  <si>
    <t>Jerry Lucas</t>
  </si>
  <si>
    <t>Art Heyman</t>
  </si>
  <si>
    <t>Len Elmore</t>
  </si>
  <si>
    <t>Greg Butler</t>
  </si>
  <si>
    <t>Glen Rice</t>
  </si>
  <si>
    <t>Robin Lopez</t>
  </si>
  <si>
    <t>Sidney Hertzberg</t>
  </si>
  <si>
    <t>Wayne Ellington</t>
  </si>
  <si>
    <t>Al Butler</t>
  </si>
  <si>
    <t>Luc Longley</t>
  </si>
  <si>
    <t>Willy Hernangomez</t>
  </si>
  <si>
    <t>Henry Ellenson</t>
  </si>
  <si>
    <t>Donnie Butcher</t>
  </si>
  <si>
    <t>Jason Smith</t>
  </si>
  <si>
    <t>Mitchell Robinson</t>
  </si>
  <si>
    <t>Julius Randle</t>
  </si>
  <si>
    <t>Brad Lohaus</t>
  </si>
  <si>
    <t>Gerald Henderson</t>
  </si>
  <si>
    <t>Ray Ellefson</t>
  </si>
  <si>
    <t>Ed Burton</t>
  </si>
  <si>
    <t>Mike Price</t>
  </si>
  <si>
    <t>Jeremy Lin</t>
  </si>
  <si>
    <t>Greg Anthony</t>
  </si>
  <si>
    <t>Herm Hedderick</t>
  </si>
  <si>
    <t>Howard Eisley</t>
  </si>
  <si>
    <t>Alec Burks</t>
  </si>
  <si>
    <t>John Palmer</t>
  </si>
  <si>
    <t>David Lee</t>
  </si>
  <si>
    <t>Donald Ackerman</t>
  </si>
  <si>
    <t>Spencer Haywood</t>
  </si>
  <si>
    <t>Johnny Egan</t>
  </si>
  <si>
    <t>Trey Burke</t>
  </si>
  <si>
    <t>Jericho Sims</t>
  </si>
  <si>
    <t>Courtney Lee</t>
  </si>
  <si>
    <t>Scott Hastings</t>
  </si>
  <si>
    <t>Patrick Eddie</t>
  </si>
  <si>
    <t>Luther Burden</t>
  </si>
  <si>
    <t>Ricky Ledo</t>
  </si>
  <si>
    <t>Isaiah Hartenstein</t>
  </si>
  <si>
    <t>Cleanthony Early</t>
  </si>
  <si>
    <t>Greg Bunch</t>
  </si>
  <si>
    <t>Dennis Layton</t>
  </si>
  <si>
    <t>Josh Hart</t>
  </si>
  <si>
    <t>Walter Dukes</t>
  </si>
  <si>
    <t>Reggie Bullock Jr.</t>
  </si>
  <si>
    <t>Tony Lavelli</t>
  </si>
  <si>
    <t>Othella Harrington</t>
  </si>
  <si>
    <t>Chris Duhon</t>
  </si>
  <si>
    <t>Dave Budd</t>
  </si>
  <si>
    <t>James Bailey</t>
  </si>
  <si>
    <t>Shane Larkin</t>
  </si>
  <si>
    <t>Al Harrington</t>
  </si>
  <si>
    <t>Chris Dudley</t>
  </si>
  <si>
    <t>Cleveland Buckner</t>
  </si>
  <si>
    <t>J.R. Reid</t>
  </si>
  <si>
    <t>Andrew Lang</t>
  </si>
  <si>
    <t>Josh Harrellson</t>
  </si>
  <si>
    <t>Toney Douglas</t>
  </si>
  <si>
    <t>Emmette Bryant</t>
  </si>
  <si>
    <t>Dmytro Skapintsev</t>
  </si>
  <si>
    <t>Gene Shue</t>
  </si>
  <si>
    <t>Marcus Landry</t>
  </si>
  <si>
    <t>Jared Harper</t>
  </si>
  <si>
    <t>Damyean Dotson</t>
  </si>
  <si>
    <t>Rick Brunson</t>
  </si>
  <si>
    <t>Kadeem Allen</t>
  </si>
  <si>
    <t>Chasson Randle</t>
  </si>
  <si>
    <t>Gene Short</t>
  </si>
  <si>
    <t>Mindaugas Kuzminskas</t>
  </si>
  <si>
    <t>Derek Harper</t>
  </si>
  <si>
    <t>Harry Donovan</t>
  </si>
  <si>
    <t>Jalen Brunson</t>
  </si>
  <si>
    <t>Lavor Postell</t>
  </si>
  <si>
    <t>Howard Porter</t>
  </si>
  <si>
    <t>Ray Kuka</t>
  </si>
  <si>
    <t>Jerry Harkness</t>
  </si>
  <si>
    <t>Billy Donovan</t>
  </si>
  <si>
    <t>Charlie Brown Jr.</t>
  </si>
  <si>
    <t>Jim Palmer</t>
  </si>
  <si>
    <t>Truck Robinson</t>
  </si>
  <si>
    <t>Latrell Sprewell</t>
  </si>
  <si>
    <t>Shannon Brown</t>
  </si>
  <si>
    <t>Barry Kramer</t>
  </si>
  <si>
    <t>Maurice Harkless</t>
  </si>
  <si>
    <t>James Donaldson</t>
  </si>
  <si>
    <t>Derrick Brown</t>
  </si>
  <si>
    <t>Luke Kornet</t>
  </si>
  <si>
    <t>Tim Hardaway Jr.</t>
  </si>
  <si>
    <t>Michael Doleac</t>
  </si>
  <si>
    <t>Scott Brooks</t>
  </si>
  <si>
    <t>Tom Stith</t>
  </si>
  <si>
    <t>Howard Komives</t>
  </si>
  <si>
    <t>Anfernee Hardaway</t>
  </si>
  <si>
    <t>Mamadi Diakite</t>
  </si>
  <si>
    <t>Audley Brindley</t>
  </si>
  <si>
    <t>Nate Bowman</t>
  </si>
  <si>
    <t>Kevin Knox II</t>
  </si>
  <si>
    <t>Tyler Hall</t>
  </si>
  <si>
    <t>Donte DiVincenzo</t>
  </si>
  <si>
    <t>Lee Knorek</t>
  </si>
  <si>
    <t>Ronnie Brewer</t>
  </si>
  <si>
    <t>Richie Guerin</t>
  </si>
  <si>
    <t>Dave Deutsch</t>
  </si>
  <si>
    <t>Henry Akin</t>
  </si>
  <si>
    <t>Jamison Brewer</t>
  </si>
  <si>
    <t>Travis Knight</t>
  </si>
  <si>
    <t>Ernie Grunfeld</t>
  </si>
  <si>
    <t>Larry Demic</t>
  </si>
  <si>
    <t>Willis Reed</t>
  </si>
  <si>
    <t>Toby Knight</t>
  </si>
  <si>
    <t>Quentin Grimes</t>
  </si>
  <si>
    <t>Dave DeBusschere</t>
  </si>
  <si>
    <t>Shandon Anderson</t>
  </si>
  <si>
    <t>Pete Brennan</t>
  </si>
  <si>
    <t>Ron Sobie</t>
  </si>
  <si>
    <t>Edmund Sherod</t>
  </si>
  <si>
    <t>Ignas Brazdeikis</t>
  </si>
  <si>
    <t>Gerald Paddio</t>
  </si>
  <si>
    <t>Bob Knight</t>
  </si>
  <si>
    <t>Chuck Grigsby</t>
  </si>
  <si>
    <t>Michael Davis</t>
  </si>
  <si>
    <t>Cal Ramsey</t>
  </si>
  <si>
    <t>Louis Orr</t>
  </si>
  <si>
    <t>Charles Smith</t>
  </si>
  <si>
    <t>Greg Kite</t>
  </si>
  <si>
    <t>Sidney Green</t>
  </si>
  <si>
    <t>Mel Davis</t>
  </si>
  <si>
    <t>Dick Shrider</t>
  </si>
  <si>
    <t>Marshall Plumlee</t>
  </si>
  <si>
    <t>Doug Kistler</t>
  </si>
  <si>
    <t>Ken Green</t>
  </si>
  <si>
    <t>Hubert Davis</t>
  </si>
  <si>
    <t>Anthony Roberson</t>
  </si>
  <si>
    <t>Rory Sparrow</t>
  </si>
  <si>
    <t>Bernard King</t>
  </si>
  <si>
    <t>Johnny Green</t>
  </si>
  <si>
    <t>Ben Davis</t>
  </si>
  <si>
    <t>Bo Kimble</t>
  </si>
  <si>
    <t>Stuart Gray</t>
  </si>
  <si>
    <t>Baron Davis</t>
  </si>
  <si>
    <t>Jason Kidd</t>
  </si>
  <si>
    <t>Jerian Grant</t>
  </si>
  <si>
    <t>Antonio Davis</t>
  </si>
  <si>
    <t>Malik Rose</t>
  </si>
  <si>
    <t>Ron Shavlik</t>
  </si>
  <si>
    <t>Trevor Keels</t>
  </si>
  <si>
    <t>Greg Grant</t>
  </si>
  <si>
    <t>Jesse Dark</t>
  </si>
  <si>
    <t>Ed Smith</t>
  </si>
  <si>
    <t>Ralph Kaplowitz</t>
  </si>
  <si>
    <t>Gary Grant</t>
  </si>
  <si>
    <t>Samuel Dalembert</t>
  </si>
  <si>
    <t>Doc Rivers</t>
  </si>
  <si>
    <t>Felton Spencer</t>
  </si>
  <si>
    <t>George Kaftan</t>
  </si>
  <si>
    <t>Stewart Granger</t>
  </si>
  <si>
    <t>Eddy Curry</t>
  </si>
  <si>
    <t>John Starks</t>
  </si>
  <si>
    <t>Cam Reddish</t>
  </si>
  <si>
    <t>Phil Jordon</t>
  </si>
  <si>
    <t>Ronnie Grandison</t>
  </si>
  <si>
    <t>Terry Cummings</t>
  </si>
  <si>
    <t>Jerome Jordan</t>
  </si>
  <si>
    <t>Leo Gottlieb</t>
  </si>
  <si>
    <t>Pat Cummings</t>
  </si>
  <si>
    <t>Lonnie Shelton</t>
  </si>
  <si>
    <t>Sherwin Raiken</t>
  </si>
  <si>
    <t>Bob Peterson</t>
  </si>
  <si>
    <t>Mckinley Singleton</t>
  </si>
  <si>
    <t>DeAndre Jordan</t>
  </si>
  <si>
    <t>Glen Gondrezick</t>
  </si>
  <si>
    <t>Joe Crawford</t>
  </si>
  <si>
    <t>Bill Bradley</t>
  </si>
  <si>
    <t>Vince Boryla</t>
  </si>
  <si>
    <t>Bobby Portis</t>
  </si>
  <si>
    <t>Solomon Jones</t>
  </si>
  <si>
    <t>Tom Gola</t>
  </si>
  <si>
    <t>Jamal Crawford</t>
  </si>
  <si>
    <t>Carl Braun</t>
  </si>
  <si>
    <t>Dave Stallworth</t>
  </si>
  <si>
    <t>Fred Jones</t>
  </si>
  <si>
    <t>Mike Glenn</t>
  </si>
  <si>
    <t>Freddie Crawford</t>
  </si>
  <si>
    <t>Quincy Acy</t>
  </si>
  <si>
    <t>Mouhamed Sene</t>
  </si>
  <si>
    <t>Jawann Oldham</t>
  </si>
  <si>
    <t>Neil Johnson</t>
  </si>
  <si>
    <t>J.R. Giddens</t>
  </si>
  <si>
    <t>Hollis Copeland</t>
  </si>
  <si>
    <t>Larry Johnson</t>
  </si>
  <si>
    <t>Taj Gibson</t>
  </si>
  <si>
    <t>Chris Copeland</t>
  </si>
  <si>
    <t>DerMarr Johnson</t>
  </si>
  <si>
    <t>John Gianelli</t>
  </si>
  <si>
    <t>Bert Cook</t>
  </si>
  <si>
    <t>DeMarco Johnson</t>
  </si>
  <si>
    <t>Jack George</t>
  </si>
  <si>
    <t>Gene Conley</t>
  </si>
  <si>
    <t>Iman Shumpert</t>
  </si>
  <si>
    <t>Chris Jent</t>
  </si>
  <si>
    <t>Eldo Garrett</t>
  </si>
  <si>
    <t>Joe Colone</t>
  </si>
  <si>
    <t>Guy Sparrow</t>
  </si>
  <si>
    <t>Chris Smith</t>
  </si>
  <si>
    <t>Andy Rautins</t>
  </si>
  <si>
    <t>Brandon Jennings</t>
  </si>
  <si>
    <t>Billy Garrett</t>
  </si>
  <si>
    <t>Mardy Collins</t>
  </si>
  <si>
    <t>John Jenkins</t>
  </si>
  <si>
    <t>Dick Garmaker</t>
  </si>
  <si>
    <t>Fred Cofield</t>
  </si>
  <si>
    <t>Mike Riordan</t>
  </si>
  <si>
    <t>Luke Rackley</t>
  </si>
  <si>
    <t>Norvel Pelle</t>
  </si>
  <si>
    <t>Jared Jeffries</t>
  </si>
  <si>
    <t>Langston Galloway</t>
  </si>
  <si>
    <t>Marion Cluggish</t>
  </si>
  <si>
    <t>Alex Bradley</t>
  </si>
  <si>
    <t>Amar'e Stoudemire</t>
  </si>
  <si>
    <t>Nat Clifton</t>
  </si>
  <si>
    <t>Danilo Gallinari</t>
  </si>
  <si>
    <t>DaQuan Jeffries</t>
  </si>
  <si>
    <t>George Blaney</t>
  </si>
  <si>
    <t>Jerome James</t>
  </si>
  <si>
    <t>Harry Gallatin</t>
  </si>
  <si>
    <t>John Clemens</t>
  </si>
  <si>
    <t>Henry Bibby</t>
  </si>
  <si>
    <t>Etdrick Bohannon</t>
  </si>
  <si>
    <t>Gene James</t>
  </si>
  <si>
    <t>Corey Gaines</t>
  </si>
  <si>
    <t>Jim Cleamons</t>
  </si>
  <si>
    <t>Gary Bergen</t>
  </si>
  <si>
    <t>Bojan Bogdanovic</t>
  </si>
  <si>
    <t>Phil Jackson</t>
  </si>
  <si>
    <t>Dan Gadzuric</t>
  </si>
  <si>
    <t>Earl Clark</t>
  </si>
  <si>
    <t>Anthony Bonner</t>
  </si>
  <si>
    <t>Mark Jackson</t>
  </si>
  <si>
    <t>Channing Frye</t>
  </si>
  <si>
    <t>Doug Christie</t>
  </si>
  <si>
    <t>Jonathan Bender</t>
  </si>
  <si>
    <t>Walt Bellamy</t>
  </si>
  <si>
    <t>Precious Achiuwa</t>
  </si>
  <si>
    <t>Sam Stith</t>
  </si>
  <si>
    <t>Dennis Bell</t>
  </si>
  <si>
    <t>Jermaine Jackson</t>
  </si>
  <si>
    <t>Larry Friend</t>
  </si>
  <si>
    <t>Fred Christ</t>
  </si>
  <si>
    <t>William Bell</t>
  </si>
  <si>
    <t>Greg Jackson</t>
  </si>
  <si>
    <t>Frido Frey</t>
  </si>
  <si>
    <t>Chris Childs</t>
  </si>
  <si>
    <t>Lou Amundson</t>
  </si>
  <si>
    <t>Quentin Richardson</t>
  </si>
  <si>
    <t>Zach Randolph</t>
  </si>
  <si>
    <t>Jarrett Jack</t>
  </si>
  <si>
    <t>Enes Freedom</t>
  </si>
  <si>
    <t>Maurice Cheeks</t>
  </si>
  <si>
    <t>Bob Boozer</t>
  </si>
  <si>
    <t>Jimmer Fredette</t>
  </si>
  <si>
    <t>Len Chappell</t>
  </si>
  <si>
    <t>Darrall Imhoff</t>
  </si>
  <si>
    <t>Rod Strickland</t>
  </si>
  <si>
    <t>Stan Stutz</t>
  </si>
  <si>
    <t>Bruno Sundov</t>
  </si>
  <si>
    <t>Dick Surhoff</t>
  </si>
  <si>
    <t>Michael Sweetney</t>
  </si>
  <si>
    <t>Sid Tannenbaum</t>
  </si>
  <si>
    <t>Maurice Taylor</t>
  </si>
  <si>
    <t>Vince Taylor</t>
  </si>
  <si>
    <t>Kurt Thomas</t>
  </si>
  <si>
    <t>Lance Thomas</t>
  </si>
  <si>
    <t>Tim Thomas</t>
  </si>
  <si>
    <t>Brooks Thompson</t>
  </si>
  <si>
    <t>Bob Thornton</t>
  </si>
  <si>
    <t>Ray Tolbert</t>
  </si>
  <si>
    <t>Sedric Toney</t>
  </si>
  <si>
    <t>Jacob Toppin</t>
  </si>
  <si>
    <t>Obi Toppin</t>
  </si>
  <si>
    <t>Allonzo Trier</t>
  </si>
  <si>
    <t>Cezary Trybanski</t>
  </si>
  <si>
    <t>Trent Tucker</t>
  </si>
  <si>
    <t>Ronny Turiaf</t>
  </si>
  <si>
    <t>Mirsad Turkcan</t>
  </si>
  <si>
    <t>Jack Turner</t>
  </si>
  <si>
    <t>Jeremy Tyler</t>
  </si>
  <si>
    <t>Ime Udoka</t>
  </si>
  <si>
    <t>Erick Strickland</t>
  </si>
  <si>
    <t>Dick Van Arsdale</t>
  </si>
  <si>
    <t>Butch Van Breda Kolff</t>
  </si>
  <si>
    <t>Keith Van Horn</t>
  </si>
  <si>
    <t>Ernie Vandeweghe</t>
  </si>
  <si>
    <t>Charlie Tyra</t>
  </si>
  <si>
    <t>Noah Vonleh</t>
  </si>
  <si>
    <t>Sasha Vujacic</t>
  </si>
  <si>
    <t>Neal Walk</t>
  </si>
  <si>
    <t>Kiki Vandeweghe</t>
  </si>
  <si>
    <t>Henry Walker</t>
  </si>
  <si>
    <t>Kemba Walker</t>
  </si>
  <si>
    <t>Kenny Walker</t>
  </si>
  <si>
    <t>John Wallace</t>
  </si>
  <si>
    <t>Rasheed Wallace</t>
  </si>
  <si>
    <t>Charlie Ward</t>
  </si>
  <si>
    <t>Johnny Warren</t>
  </si>
  <si>
    <t>Travis Wear</t>
  </si>
  <si>
    <t>Beno Udrih</t>
  </si>
  <si>
    <t>Forest Weber</t>
  </si>
  <si>
    <t>Marvin Webster</t>
  </si>
  <si>
    <t>Paul Westphal</t>
  </si>
  <si>
    <t>James White</t>
  </si>
  <si>
    <t>Tony White</t>
  </si>
  <si>
    <t>Chris Wilcox</t>
  </si>
  <si>
    <t>Eddielee Wilkins</t>
  </si>
  <si>
    <t>Derrick Williams</t>
  </si>
  <si>
    <t>Frank Williams</t>
  </si>
  <si>
    <t>Herb Williams</t>
  </si>
  <si>
    <t>Gerald Wilkins</t>
  </si>
  <si>
    <t>Milt Williams</t>
  </si>
  <si>
    <t>Monty Williams</t>
  </si>
  <si>
    <t>Ray Williams</t>
  </si>
  <si>
    <t>Shawne Williams</t>
  </si>
  <si>
    <t>Shelden Williams</t>
  </si>
  <si>
    <t>Sly Williams</t>
  </si>
  <si>
    <t>Troy Williams</t>
  </si>
  <si>
    <t>Kennard Winchester</t>
  </si>
  <si>
    <t>Dylan Windler</t>
  </si>
  <si>
    <t>David Wingate</t>
  </si>
  <si>
    <t>Harthorne Wingo</t>
  </si>
  <si>
    <t>Qyntel Woods</t>
  </si>
  <si>
    <t>Mike Woodson</t>
  </si>
  <si>
    <t>Metta World Peace</t>
  </si>
  <si>
    <t>Brad Wright</t>
  </si>
  <si>
    <t>Max Zaslofsky</t>
  </si>
  <si>
    <t>Clar. Weatherspoon</t>
  </si>
  <si>
    <t>Darrell Walker</t>
  </si>
  <si>
    <t>Jerome Williams</t>
  </si>
  <si>
    <t>Buck Williams</t>
  </si>
  <si>
    <t>SEASON</t>
  </si>
  <si>
    <t>NAME</t>
  </si>
  <si>
    <t>AGE</t>
  </si>
  <si>
    <t>OREB22</t>
  </si>
  <si>
    <t>DREB33</t>
  </si>
  <si>
    <t>REB44</t>
  </si>
  <si>
    <t>PTSPG</t>
  </si>
  <si>
    <t>ASTPG</t>
  </si>
  <si>
    <t>STLPG</t>
  </si>
  <si>
    <t>BLK2</t>
  </si>
  <si>
    <t>BLKPG</t>
  </si>
  <si>
    <t>TOV2</t>
  </si>
  <si>
    <t>TOVPG</t>
  </si>
  <si>
    <t>PFPG</t>
  </si>
  <si>
    <t>VALORATION</t>
  </si>
  <si>
    <t>STL2</t>
  </si>
  <si>
    <t>VALORATIONPG</t>
  </si>
  <si>
    <t>Etiquetas de fila</t>
  </si>
  <si>
    <t>Total general</t>
  </si>
  <si>
    <t>Suma de VALORATIONPG</t>
  </si>
  <si>
    <t>Carmelo Anthony (2013-14)</t>
  </si>
  <si>
    <t>David Lee (2009-10)</t>
  </si>
  <si>
    <t>Earl Barron (2012-13)</t>
  </si>
  <si>
    <t>Jalen Brunson (2023-24)</t>
  </si>
  <si>
    <t>Julius Randle (2020-21)</t>
  </si>
  <si>
    <t>Julius Randle (2022-23)</t>
  </si>
  <si>
    <t>Marcus Camby (2000-01)</t>
  </si>
  <si>
    <t>Marcus Camby (2001-02)</t>
  </si>
  <si>
    <t>Zach Randolph (2008-09)</t>
  </si>
  <si>
    <t>PLAYER_SEASON</t>
  </si>
  <si>
    <t>Suma de GP</t>
  </si>
  <si>
    <t>MEJORES ANOTADORES 2000 AL 2024</t>
  </si>
  <si>
    <t>Suma de PTS</t>
  </si>
  <si>
    <t>MEJORES TEMPORADAS DEL 2000 AL 2024</t>
  </si>
  <si>
    <t>MEJORES TEMPORADAS DEFENSIVAS DEL 2000 AL 2024</t>
  </si>
  <si>
    <t>REBPG</t>
  </si>
  <si>
    <t>DEFRTNGPG</t>
  </si>
  <si>
    <t>Suma de DEFRTNGPG</t>
  </si>
  <si>
    <t>JUGADORES QUE HAN PASADO POR LOS KNICKS DEL 2000 AL 2024</t>
  </si>
  <si>
    <t>JUGADORES CON MÁS PARTIDOS DEL 2000 AL 2024</t>
  </si>
  <si>
    <t>PEORES JUGADORES DEL 2000 AL 2024</t>
  </si>
  <si>
    <t>Suma de VALORATION</t>
  </si>
  <si>
    <t>FG3M2</t>
  </si>
  <si>
    <t>FG3A2</t>
  </si>
  <si>
    <t>PLAYERS</t>
  </si>
  <si>
    <t>MEDIUM_AGE</t>
  </si>
  <si>
    <t>3P_PCT</t>
  </si>
  <si>
    <t xml:space="preserve">EVOLUCIÓN DEL TRIPLE EN EL EQUIPO </t>
  </si>
  <si>
    <t>Suma de FG3A</t>
  </si>
  <si>
    <t>Suma de REB</t>
  </si>
  <si>
    <t>Suma de AST</t>
  </si>
  <si>
    <t>MÁXIMOS REBOTEADORES 2000 AL 2024</t>
  </si>
  <si>
    <t>MÁXIMOS ASISTENTES 2000 AL 2024</t>
  </si>
  <si>
    <t>ANOTACIONES DE CADA TEMPORADA</t>
  </si>
  <si>
    <t>Temporadas</t>
  </si>
  <si>
    <t>Jugadores únicos (listado completo en columnas P:Q 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</si>
</sst>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C0E6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3" fontId="0" fillId="0" borderId="0" xfId="0" applyNumberFormat="1"/>
    <xf numFmtId="165" fontId="0" fillId="0" borderId="0" xfId="0" applyNumberFormat="1"/>
    <xf numFmtId="164" fontId="0" fillId="0" borderId="0" xfId="1" applyNumberFormat="1" applyFont="1" applyFill="1"/>
    <xf numFmtId="10" fontId="0" fillId="0" borderId="0" xfId="1" applyNumberFormat="1" applyFont="1" applyFill="1"/>
    <xf numFmtId="164" fontId="0" fillId="0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Fill="1"/>
    <xf numFmtId="2" fontId="0" fillId="0" borderId="0" xfId="1" applyNumberFormat="1" applyFont="1" applyFill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0" fillId="0" borderId="0" xfId="0" applyNumberFormat="1"/>
    <xf numFmtId="0" fontId="23" fillId="0" borderId="0" xfId="0" applyFont="1"/>
    <xf numFmtId="0" fontId="25" fillId="35" borderId="0" xfId="0" applyFont="1" applyFill="1"/>
    <xf numFmtId="0" fontId="24" fillId="34" borderId="0" xfId="0" applyFont="1" applyFill="1" applyAlignment="1">
      <alignment horizontal="center"/>
    </xf>
    <xf numFmtId="0" fontId="0" fillId="0" borderId="0" xfId="0"/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49"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164" formatCode="0.0%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</dxf>
    <dxf>
      <numFmt numFmtId="165" formatCode="0.0"/>
      <alignment horizontal="center" vertical="center" textRotation="0" indent="0" justifyLastLine="0" shrinkToFit="0" readingOrder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fill>
        <patternFill patternType="none">
          <fgColor indexed="64"/>
          <bgColor indexed="65"/>
        </patternFill>
      </fill>
    </dxf>
    <dxf>
      <numFmt numFmtId="0" formatCode="General"/>
    </dxf>
    <dxf>
      <numFmt numFmtId="14" formatCode="0.00%"/>
    </dxf>
    <dxf>
      <numFmt numFmtId="164" formatCode="0.0%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colors>
    <mruColors>
      <color rgb="FF000000"/>
      <color rgb="FFFF9933"/>
      <color rgb="FF8ACFFA"/>
      <color rgb="FFFF9966"/>
      <color rgb="FFD1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07/relationships/slicerCache" Target="slicerCaches/slicerCache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microsoft.com/office/2007/relationships/slicerCache" Target="slicerCaches/slicerCache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[KNICKS_LIMPIO.xlsx]TABLAS_DINÁMICAS!PT_Puntos2223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s-ES"/>
              <a:t>Reparto de puntos por jugador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7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8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10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1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2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3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4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5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6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7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8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0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1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2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3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4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5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6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7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28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9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0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1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2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3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4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5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6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8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9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0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1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2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3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4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5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46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7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8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9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0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1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2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3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TABLAS_DINÁMICAS!$C$71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chemeClr val="accent4">
                  <a:tint val="3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A-40A6-A138-222858321FC0}"/>
              </c:ext>
            </c:extLst>
          </c:dPt>
          <c:dPt>
            <c:idx val="1"/>
            <c:bubble3D val="0"/>
            <c:spPr>
              <a:solidFill>
                <a:schemeClr val="accent4">
                  <a:tint val="4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A-40A6-A138-222858321FC0}"/>
              </c:ext>
            </c:extLst>
          </c:dPt>
          <c:dPt>
            <c:idx val="2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5A-40A6-A138-222858321FC0}"/>
              </c:ext>
            </c:extLst>
          </c:dPt>
          <c:dPt>
            <c:idx val="3"/>
            <c:bubble3D val="0"/>
            <c:spPr>
              <a:solidFill>
                <a:schemeClr val="accent4">
                  <a:tint val="6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A-40A6-A138-222858321FC0}"/>
              </c:ext>
            </c:extLst>
          </c:dPt>
          <c:dPt>
            <c:idx val="4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5A-40A6-A138-222858321FC0}"/>
              </c:ext>
            </c:extLst>
          </c:dPt>
          <c:dPt>
            <c:idx val="5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5A-40A6-A138-222858321FC0}"/>
              </c:ext>
            </c:extLst>
          </c:dPt>
          <c:dPt>
            <c:idx val="6"/>
            <c:bubble3D val="0"/>
            <c:spPr>
              <a:solidFill>
                <a:schemeClr val="accent4">
                  <a:tint val="8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15A-40A6-A138-222858321FC0}"/>
              </c:ext>
            </c:extLst>
          </c:dPt>
          <c:dPt>
            <c:idx val="7"/>
            <c:bubble3D val="0"/>
            <c:spPr>
              <a:solidFill>
                <a:schemeClr val="accent4">
                  <a:tint val="9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15A-40A6-A138-222858321FC0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15A-40A6-A138-222858321FC0}"/>
              </c:ext>
            </c:extLst>
          </c:dPt>
          <c:dPt>
            <c:idx val="9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15A-40A6-A138-222858321FC0}"/>
              </c:ext>
            </c:extLst>
          </c:dPt>
          <c:dPt>
            <c:idx val="10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15A-40A6-A138-222858321FC0}"/>
              </c:ext>
            </c:extLst>
          </c:dPt>
          <c:dPt>
            <c:idx val="1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15A-40A6-A138-222858321FC0}"/>
              </c:ext>
            </c:extLst>
          </c:dPt>
          <c:dPt>
            <c:idx val="12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15A-40A6-A138-222858321FC0}"/>
              </c:ext>
            </c:extLst>
          </c:dPt>
          <c:dPt>
            <c:idx val="1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15A-40A6-A138-222858321FC0}"/>
              </c:ext>
            </c:extLst>
          </c:dPt>
          <c:dPt>
            <c:idx val="1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15A-40A6-A138-222858321FC0}"/>
              </c:ext>
            </c:extLst>
          </c:dPt>
          <c:dPt>
            <c:idx val="15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15A-40A6-A138-222858321FC0}"/>
              </c:ext>
            </c:extLst>
          </c:dPt>
          <c:dPt>
            <c:idx val="16"/>
            <c:bubble3D val="0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15A-40A6-A138-222858321FC0}"/>
              </c:ext>
            </c:extLst>
          </c:dPt>
          <c:cat>
            <c:strRef>
              <c:f>TABLAS_DINÁMICAS!$B$72:$B$89</c:f>
              <c:strCache>
                <c:ptCount val="17"/>
                <c:pt idx="0">
                  <c:v>Julius Randle</c:v>
                </c:pt>
                <c:pt idx="1">
                  <c:v>Jalen Brunson</c:v>
                </c:pt>
                <c:pt idx="2">
                  <c:v>RJ Barrett</c:v>
                </c:pt>
                <c:pt idx="3">
                  <c:v>Immanuel Quickley</c:v>
                </c:pt>
                <c:pt idx="4">
                  <c:v>Quentin Grimes</c:v>
                </c:pt>
                <c:pt idx="5">
                  <c:v>Obi Toppin</c:v>
                </c:pt>
                <c:pt idx="6">
                  <c:v>Mitchell Robinson</c:v>
                </c:pt>
                <c:pt idx="7">
                  <c:v>Isaiah Hartenstein</c:v>
                </c:pt>
                <c:pt idx="8">
                  <c:v>Josh Hart</c:v>
                </c:pt>
                <c:pt idx="9">
                  <c:v>Miles McBride</c:v>
                </c:pt>
                <c:pt idx="10">
                  <c:v>Jericho Sims</c:v>
                </c:pt>
                <c:pt idx="11">
                  <c:v>Cam Reddish</c:v>
                </c:pt>
                <c:pt idx="12">
                  <c:v>Evan Fournier</c:v>
                </c:pt>
                <c:pt idx="13">
                  <c:v>Derrick Rose</c:v>
                </c:pt>
                <c:pt idx="14">
                  <c:v>Svi Mykhailiuk</c:v>
                </c:pt>
                <c:pt idx="15">
                  <c:v>Trevor Keels</c:v>
                </c:pt>
                <c:pt idx="16">
                  <c:v>Ryan Arcidiacono</c:v>
                </c:pt>
              </c:strCache>
            </c:strRef>
          </c:cat>
          <c:val>
            <c:numRef>
              <c:f>TABLAS_DINÁMICAS!$C$72:$C$89</c:f>
              <c:numCache>
                <c:formatCode>#,##0</c:formatCode>
                <c:ptCount val="17"/>
                <c:pt idx="0">
                  <c:v>1936</c:v>
                </c:pt>
                <c:pt idx="1">
                  <c:v>1633</c:v>
                </c:pt>
                <c:pt idx="2">
                  <c:v>1431</c:v>
                </c:pt>
                <c:pt idx="3">
                  <c:v>1209</c:v>
                </c:pt>
                <c:pt idx="4">
                  <c:v>799</c:v>
                </c:pt>
                <c:pt idx="5">
                  <c:v>497</c:v>
                </c:pt>
                <c:pt idx="6">
                  <c:v>435</c:v>
                </c:pt>
                <c:pt idx="7">
                  <c:v>406</c:v>
                </c:pt>
                <c:pt idx="8">
                  <c:v>256</c:v>
                </c:pt>
                <c:pt idx="9">
                  <c:v>222</c:v>
                </c:pt>
                <c:pt idx="10">
                  <c:v>178</c:v>
                </c:pt>
                <c:pt idx="11">
                  <c:v>168</c:v>
                </c:pt>
                <c:pt idx="12">
                  <c:v>165</c:v>
                </c:pt>
                <c:pt idx="13">
                  <c:v>152</c:v>
                </c:pt>
                <c:pt idx="14">
                  <c:v>21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15A-40A6-A138-222858321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44905680198313"/>
          <c:y val="1.3506205210116771E-2"/>
          <c:w val="0.2572681680491789"/>
          <c:h val="0.9729044881832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Evolución del triple del equipo  (intentos por temporada)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39288340582397"/>
          <c:y val="0.13938414623919987"/>
          <c:w val="0.8424168149622997"/>
          <c:h val="0.61943329476745346"/>
        </c:manualLayout>
      </c:layout>
      <c:lineChart>
        <c:grouping val="standard"/>
        <c:varyColors val="0"/>
        <c:ser>
          <c:idx val="0"/>
          <c:order val="0"/>
          <c:tx>
            <c:strRef>
              <c:f>TABLAS_DINÁMICAS!$C$43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89000"/>
                    </a:schemeClr>
                  </a:gs>
                  <a:gs pos="23000">
                    <a:schemeClr val="accent2">
                      <a:lumMod val="89000"/>
                    </a:schemeClr>
                  </a:gs>
                  <a:gs pos="69000">
                    <a:schemeClr val="accent2">
                      <a:lumMod val="75000"/>
                    </a:schemeClr>
                  </a:gs>
                  <a:gs pos="97000">
                    <a:schemeClr val="accent2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cat>
            <c:strRef>
              <c:f>TABLAS_DINÁMICAS!$B$44:$B$66</c:f>
              <c:strCache>
                <c:ptCount val="22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2020-21</c:v>
                </c:pt>
                <c:pt idx="19">
                  <c:v>2021-22</c:v>
                </c:pt>
                <c:pt idx="20">
                  <c:v>2022-23</c:v>
                </c:pt>
                <c:pt idx="21">
                  <c:v>2023-24</c:v>
                </c:pt>
              </c:strCache>
            </c:strRef>
          </c:cat>
          <c:val>
            <c:numRef>
              <c:f>TABLAS_DINÁMICAS!$C$44:$C$66</c:f>
              <c:numCache>
                <c:formatCode>#,##0</c:formatCode>
                <c:ptCount val="22"/>
                <c:pt idx="0">
                  <c:v>1115</c:v>
                </c:pt>
                <c:pt idx="1">
                  <c:v>1344</c:v>
                </c:pt>
                <c:pt idx="2">
                  <c:v>1582</c:v>
                </c:pt>
                <c:pt idx="3">
                  <c:v>1115</c:v>
                </c:pt>
                <c:pt idx="4">
                  <c:v>1240</c:v>
                </c:pt>
                <c:pt idx="5">
                  <c:v>884</c:v>
                </c:pt>
                <c:pt idx="6">
                  <c:v>1370</c:v>
                </c:pt>
                <c:pt idx="7">
                  <c:v>1454</c:v>
                </c:pt>
                <c:pt idx="8">
                  <c:v>2284</c:v>
                </c:pt>
                <c:pt idx="9">
                  <c:v>2145</c:v>
                </c:pt>
                <c:pt idx="10">
                  <c:v>2081</c:v>
                </c:pt>
                <c:pt idx="11">
                  <c:v>1538</c:v>
                </c:pt>
                <c:pt idx="12">
                  <c:v>2371</c:v>
                </c:pt>
                <c:pt idx="13">
                  <c:v>2038</c:v>
                </c:pt>
                <c:pt idx="14">
                  <c:v>1614</c:v>
                </c:pt>
                <c:pt idx="15">
                  <c:v>1762</c:v>
                </c:pt>
                <c:pt idx="16">
                  <c:v>2022</c:v>
                </c:pt>
                <c:pt idx="17">
                  <c:v>1914</c:v>
                </c:pt>
                <c:pt idx="18">
                  <c:v>2163</c:v>
                </c:pt>
                <c:pt idx="19">
                  <c:v>3029</c:v>
                </c:pt>
                <c:pt idx="20">
                  <c:v>2930</c:v>
                </c:pt>
                <c:pt idx="21">
                  <c:v>2936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6D-4E28-907D-2DD80E41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940623"/>
        <c:axId val="907955023"/>
      </c:lineChart>
      <c:catAx>
        <c:axId val="9079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Temporada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55023"/>
        <c:crosses val="autoZero"/>
        <c:auto val="1"/>
        <c:lblAlgn val="ctr"/>
        <c:lblOffset val="100"/>
        <c:noMultiLvlLbl val="0"/>
      </c:catAx>
      <c:valAx>
        <c:axId val="90795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Intentos de 3P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Peores temporadas</a:t>
            </a:r>
            <a:r>
              <a:rPr lang="en-US" baseline="0"/>
              <a:t> de un jugador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3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4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4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5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3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32759571698266"/>
          <c:y val="0.20476867365478807"/>
          <c:w val="0.85376769353956661"/>
          <c:h val="0.505008211170675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TABLAS_DINÁMICAS!$J$16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17-4885-9243-7C8B117ACC9A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17-4885-9243-7C8B117ACC9A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17-4885-9243-7C8B117ACC9A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17-4885-9243-7C8B117ACC9A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17-4885-9243-7C8B117ACC9A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17-4885-9243-7C8B117ACC9A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17-4885-9243-7C8B117ACC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TABLAS_DINÁMICAS!$I$17:$I$24</c:f>
              <c:strCache>
                <c:ptCount val="7"/>
                <c:pt idx="0">
                  <c:v>Jared Harper</c:v>
                </c:pt>
                <c:pt idx="1">
                  <c:v>Bruno Sundov</c:v>
                </c:pt>
                <c:pt idx="2">
                  <c:v>Solomon Jones</c:v>
                </c:pt>
                <c:pt idx="3">
                  <c:v>Cezary Trybanski</c:v>
                </c:pt>
                <c:pt idx="4">
                  <c:v>Cheikh Samb</c:v>
                </c:pt>
                <c:pt idx="5">
                  <c:v>Theo Pinson</c:v>
                </c:pt>
                <c:pt idx="6">
                  <c:v>Charlie Brown Jr.</c:v>
                </c:pt>
              </c:strCache>
            </c:strRef>
          </c:cat>
          <c:val>
            <c:numRef>
              <c:f>TABLAS_DINÁMICAS!$J$17:$J$24</c:f>
              <c:numCache>
                <c:formatCode>General</c:formatCode>
                <c:ptCount val="7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817-4885-9243-7C8B117AC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72367"/>
        <c:axId val="40079567"/>
      </c:barChart>
      <c:catAx>
        <c:axId val="4007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9567"/>
        <c:crosses val="autoZero"/>
        <c:auto val="1"/>
        <c:lblAlgn val="ctr"/>
        <c:lblOffset val="100"/>
        <c:noMultiLvlLbl val="0"/>
      </c:catAx>
      <c:valAx>
        <c:axId val="4007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Mejores anotadores (PTS)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TABLAS_DINÁMICAS!$J$5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TABLAS_DINÁMICAS!$I$6:$I$11</c:f>
              <c:strCache>
                <c:ptCount val="5"/>
                <c:pt idx="0">
                  <c:v>Carmelo Anthony</c:v>
                </c:pt>
                <c:pt idx="1">
                  <c:v>Julius Randle</c:v>
                </c:pt>
                <c:pt idx="2">
                  <c:v>Allan Houston</c:v>
                </c:pt>
                <c:pt idx="3">
                  <c:v>Jamal Crawford</c:v>
                </c:pt>
                <c:pt idx="4">
                  <c:v>Stephon Marbury</c:v>
                </c:pt>
              </c:strCache>
            </c:strRef>
          </c:cat>
          <c:val>
            <c:numRef>
              <c:f>TABLAS_DINÁMICAS!$J$6:$J$11</c:f>
              <c:numCache>
                <c:formatCode>General</c:formatCode>
                <c:ptCount val="5"/>
                <c:pt idx="0">
                  <c:v>10186</c:v>
                </c:pt>
                <c:pt idx="1">
                  <c:v>6197</c:v>
                </c:pt>
                <c:pt idx="2">
                  <c:v>6032</c:v>
                </c:pt>
                <c:pt idx="3">
                  <c:v>5269</c:v>
                </c:pt>
                <c:pt idx="4">
                  <c:v>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D-4898-96BF-69E3CE3D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2431"/>
        <c:axId val="794875311"/>
      </c:barChart>
      <c:catAx>
        <c:axId val="79487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5311"/>
        <c:crosses val="autoZero"/>
        <c:auto val="1"/>
        <c:lblAlgn val="ctr"/>
        <c:lblOffset val="100"/>
        <c:noMultiLvlLbl val="0"/>
      </c:catAx>
      <c:valAx>
        <c:axId val="794875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Puntos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Jugadores con más partidos (PJ)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TABLAS_DINÁMICAS!$C$31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TABLAS_DINÁMICAS!$B$32:$B$37</c:f>
              <c:strCache>
                <c:ptCount val="5"/>
                <c:pt idx="0">
                  <c:v>Kurt Thomas</c:v>
                </c:pt>
                <c:pt idx="1">
                  <c:v>Carmelo Anthony</c:v>
                </c:pt>
                <c:pt idx="2">
                  <c:v>David Lee</c:v>
                </c:pt>
                <c:pt idx="3">
                  <c:v>Nate Robinson</c:v>
                </c:pt>
                <c:pt idx="4">
                  <c:v>Allan Houston</c:v>
                </c:pt>
              </c:strCache>
            </c:strRef>
          </c:cat>
          <c:val>
            <c:numRef>
              <c:f>TABLAS_DINÁMICAS!$C$32:$C$37</c:f>
              <c:numCache>
                <c:formatCode>General</c:formatCode>
                <c:ptCount val="5"/>
                <c:pt idx="0">
                  <c:v>439</c:v>
                </c:pt>
                <c:pt idx="1">
                  <c:v>412</c:v>
                </c:pt>
                <c:pt idx="2">
                  <c:v>368</c:v>
                </c:pt>
                <c:pt idx="3">
                  <c:v>312</c:v>
                </c:pt>
                <c:pt idx="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0-4FDF-9553-16D8072B7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9151"/>
        <c:axId val="794871951"/>
      </c:barChart>
      <c:catAx>
        <c:axId val="79487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1951"/>
        <c:crosses val="autoZero"/>
        <c:auto val="1"/>
        <c:lblAlgn val="ctr"/>
        <c:lblOffset val="100"/>
        <c:noMultiLvlLbl val="0"/>
      </c:catAx>
      <c:valAx>
        <c:axId val="794871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Partidos jugados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Mejores temporadas (valoración/partido)</a:t>
            </a:r>
          </a:p>
        </c:rich>
      </c:tx>
      <c:layout>
        <c:manualLayout>
          <c:xMode val="edge"/>
          <c:yMode val="edge"/>
          <c:x val="0.19856533362368589"/>
          <c:y val="1.800593486955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TABLAS_DINÁMICAS!$B$6:$B$11</c:f>
              <c:strCache>
                <c:ptCount val="5"/>
                <c:pt idx="0">
                  <c:v>David Lee (2009-10)</c:v>
                </c:pt>
                <c:pt idx="1">
                  <c:v>Jalen Brunson (2023-24)</c:v>
                </c:pt>
                <c:pt idx="2">
                  <c:v>Julius Randle (2020-21)</c:v>
                </c:pt>
                <c:pt idx="3">
                  <c:v>Julius Randle (2022-23)</c:v>
                </c:pt>
                <c:pt idx="4">
                  <c:v>Carmelo Anthony (2013-14)</c:v>
                </c:pt>
              </c:strCache>
            </c:strRef>
          </c:cat>
          <c:val>
            <c:numRef>
              <c:f>TABLAS_DINÁMICAS!$C$6:$C$11</c:f>
              <c:numCache>
                <c:formatCode>0.00</c:formatCode>
                <c:ptCount val="5"/>
                <c:pt idx="0">
                  <c:v>23.814814814814813</c:v>
                </c:pt>
                <c:pt idx="1">
                  <c:v>23.740259740259742</c:v>
                </c:pt>
                <c:pt idx="2">
                  <c:v>23.64788732394366</c:v>
                </c:pt>
                <c:pt idx="3">
                  <c:v>22.558441558441558</c:v>
                </c:pt>
                <c:pt idx="4">
                  <c:v>22.311688311688311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B-436B-9D03-7CD71B9E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81551"/>
        <c:axId val="794876271"/>
      </c:barChart>
      <c:catAx>
        <c:axId val="7948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6271"/>
        <c:crosses val="autoZero"/>
        <c:auto val="1"/>
        <c:lblAlgn val="ctr"/>
        <c:lblOffset val="100"/>
        <c:noMultiLvlLbl val="0"/>
      </c:catAx>
      <c:valAx>
        <c:axId val="794876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 por 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Mejores temporadas defensivas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TABLAS_DINÁMICAS!$B$17:$B$22</c:f>
              <c:strCache>
                <c:ptCount val="5"/>
                <c:pt idx="0">
                  <c:v>Earl Barron (2012-13)</c:v>
                </c:pt>
                <c:pt idx="1">
                  <c:v>Marcus Camby (2000-01)</c:v>
                </c:pt>
                <c:pt idx="2">
                  <c:v>Marcus Camby (2001-02)</c:v>
                </c:pt>
                <c:pt idx="3">
                  <c:v>Zach Randolph (2008-09)</c:v>
                </c:pt>
                <c:pt idx="4">
                  <c:v>David Lee (2009-10)</c:v>
                </c:pt>
              </c:strCache>
            </c:strRef>
          </c:cat>
          <c:val>
            <c:numRef>
              <c:f>TABLAS_DINÁMICAS!$C$17:$C$22</c:f>
              <c:numCache>
                <c:formatCode>0.00</c:formatCode>
                <c:ptCount val="5"/>
                <c:pt idx="0">
                  <c:v>19</c:v>
                </c:pt>
                <c:pt idx="1">
                  <c:v>14.682539682539684</c:v>
                </c:pt>
                <c:pt idx="2">
                  <c:v>14</c:v>
                </c:pt>
                <c:pt idx="3">
                  <c:v>13.90909090909091</c:v>
                </c:pt>
                <c:pt idx="4">
                  <c:v>13.25925925925926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6-482D-8293-E96D6AD1C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190095"/>
        <c:axId val="890192015"/>
      </c:barChart>
      <c:catAx>
        <c:axId val="89019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2015"/>
        <c:crosses val="autoZero"/>
        <c:auto val="1"/>
        <c:lblAlgn val="ctr"/>
        <c:lblOffset val="100"/>
        <c:noMultiLvlLbl val="0"/>
      </c:catAx>
      <c:valAx>
        <c:axId val="89019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Rating defensivo/partido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[KNICKS_LIMPIO.xlsx]TABLAS_DINÁMICAS!PT_Puntos2223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s-ES"/>
              <a:t>Reparto de puntos por jugador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tint val="3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2"/>
        <c:spPr>
          <a:solidFill>
            <a:schemeClr val="accent4">
              <a:tint val="4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3"/>
        <c:spPr>
          <a:solidFill>
            <a:schemeClr val="accent4">
              <a:tint val="5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4"/>
        <c:spPr>
          <a:solidFill>
            <a:schemeClr val="accent4">
              <a:tint val="6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5"/>
        <c:spPr>
          <a:solidFill>
            <a:schemeClr val="accent4">
              <a:tint val="69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7"/>
        <c:spPr>
          <a:solidFill>
            <a:schemeClr val="accent4">
              <a:tint val="8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8"/>
        <c:spPr>
          <a:solidFill>
            <a:schemeClr val="accent4">
              <a:tint val="9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9"/>
        <c:spPr>
          <a:solidFill>
            <a:schemeClr val="accent4"/>
          </a:solidFill>
          <a:ln w="19050">
            <a:solidFill>
              <a:srgbClr val="000000"/>
            </a:solidFill>
          </a:ln>
          <a:effectLst/>
        </c:spPr>
      </c:pivotFmt>
      <c:pivotFmt>
        <c:idx val="10"/>
        <c:spPr>
          <a:solidFill>
            <a:schemeClr val="accent4">
              <a:shade val="92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1"/>
        <c:spPr>
          <a:solidFill>
            <a:schemeClr val="accent4">
              <a:shade val="84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2"/>
        <c:spPr>
          <a:solidFill>
            <a:schemeClr val="accent4">
              <a:shade val="76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3"/>
        <c:spPr>
          <a:solidFill>
            <a:schemeClr val="accent4">
              <a:shade val="68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4"/>
        <c:spPr>
          <a:solidFill>
            <a:schemeClr val="accent4">
              <a:shade val="61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5"/>
        <c:spPr>
          <a:solidFill>
            <a:schemeClr val="accent4">
              <a:shade val="53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6"/>
        <c:spPr>
          <a:solidFill>
            <a:schemeClr val="accent4">
              <a:shade val="45000"/>
            </a:schemeClr>
          </a:solidFill>
          <a:ln w="19050">
            <a:solidFill>
              <a:srgbClr val="000000"/>
            </a:solidFill>
          </a:ln>
          <a:effectLst/>
        </c:spPr>
      </c:pivotFmt>
      <c:pivotFmt>
        <c:idx val="17"/>
        <c:spPr>
          <a:solidFill>
            <a:schemeClr val="accent4">
              <a:shade val="37000"/>
            </a:schemeClr>
          </a:solidFill>
          <a:ln w="19050">
            <a:solidFill>
              <a:srgbClr val="000000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TABLAS_DINÁMICAS!$C$71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chemeClr val="accent4">
                  <a:tint val="3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94-4005-AAF4-95341B8D426A}"/>
              </c:ext>
            </c:extLst>
          </c:dPt>
          <c:dPt>
            <c:idx val="1"/>
            <c:bubble3D val="0"/>
            <c:spPr>
              <a:solidFill>
                <a:schemeClr val="accent4">
                  <a:tint val="4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4-4005-AAF4-95341B8D426A}"/>
              </c:ext>
            </c:extLst>
          </c:dPt>
          <c:dPt>
            <c:idx val="2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94-4005-AAF4-95341B8D426A}"/>
              </c:ext>
            </c:extLst>
          </c:dPt>
          <c:dPt>
            <c:idx val="3"/>
            <c:bubble3D val="0"/>
            <c:spPr>
              <a:solidFill>
                <a:schemeClr val="accent4">
                  <a:tint val="6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94-4005-AAF4-95341B8D426A}"/>
              </c:ext>
            </c:extLst>
          </c:dPt>
          <c:dPt>
            <c:idx val="4"/>
            <c:bubble3D val="0"/>
            <c:spPr>
              <a:solidFill>
                <a:schemeClr val="accent4">
                  <a:tint val="69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B94-4005-AAF4-95341B8D426A}"/>
              </c:ext>
            </c:extLst>
          </c:dPt>
          <c:dPt>
            <c:idx val="5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94-4005-AAF4-95341B8D426A}"/>
              </c:ext>
            </c:extLst>
          </c:dPt>
          <c:dPt>
            <c:idx val="6"/>
            <c:bubble3D val="0"/>
            <c:spPr>
              <a:solidFill>
                <a:schemeClr val="accent4">
                  <a:tint val="8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B94-4005-AAF4-95341B8D426A}"/>
              </c:ext>
            </c:extLst>
          </c:dPt>
          <c:dPt>
            <c:idx val="7"/>
            <c:bubble3D val="0"/>
            <c:spPr>
              <a:solidFill>
                <a:schemeClr val="accent4">
                  <a:tint val="9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94-4005-AAF4-95341B8D426A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B94-4005-AAF4-95341B8D426A}"/>
              </c:ext>
            </c:extLst>
          </c:dPt>
          <c:dPt>
            <c:idx val="9"/>
            <c:bubble3D val="0"/>
            <c:spPr>
              <a:solidFill>
                <a:schemeClr val="accent4">
                  <a:shade val="92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94-4005-AAF4-95341B8D426A}"/>
              </c:ext>
            </c:extLst>
          </c:dPt>
          <c:dPt>
            <c:idx val="10"/>
            <c:bubble3D val="0"/>
            <c:spPr>
              <a:solidFill>
                <a:schemeClr val="accent4">
                  <a:shade val="84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B94-4005-AAF4-95341B8D426A}"/>
              </c:ext>
            </c:extLst>
          </c:dPt>
          <c:dPt>
            <c:idx val="11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94-4005-AAF4-95341B8D426A}"/>
              </c:ext>
            </c:extLst>
          </c:dPt>
          <c:dPt>
            <c:idx val="12"/>
            <c:bubble3D val="0"/>
            <c:spPr>
              <a:solidFill>
                <a:schemeClr val="accent4">
                  <a:shade val="68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B94-4005-AAF4-95341B8D426A}"/>
              </c:ext>
            </c:extLst>
          </c:dPt>
          <c:dPt>
            <c:idx val="13"/>
            <c:bubble3D val="0"/>
            <c:spPr>
              <a:solidFill>
                <a:schemeClr val="accent4">
                  <a:shade val="61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94-4005-AAF4-95341B8D426A}"/>
              </c:ext>
            </c:extLst>
          </c:dPt>
          <c:dPt>
            <c:idx val="1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B94-4005-AAF4-95341B8D426A}"/>
              </c:ext>
            </c:extLst>
          </c:dPt>
          <c:dPt>
            <c:idx val="15"/>
            <c:bubble3D val="0"/>
            <c:spPr>
              <a:solidFill>
                <a:schemeClr val="accent4">
                  <a:shade val="45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94-4005-AAF4-95341B8D426A}"/>
              </c:ext>
            </c:extLst>
          </c:dPt>
          <c:dPt>
            <c:idx val="16"/>
            <c:bubble3D val="0"/>
            <c:spPr>
              <a:solidFill>
                <a:schemeClr val="accent4">
                  <a:shade val="37000"/>
                </a:schemeClr>
              </a:solidFill>
              <a:ln w="1905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B94-4005-AAF4-95341B8D426A}"/>
              </c:ext>
            </c:extLst>
          </c:dPt>
          <c:cat>
            <c:strRef>
              <c:f>TABLAS_DINÁMICAS!$B$72:$B$89</c:f>
              <c:strCache>
                <c:ptCount val="17"/>
                <c:pt idx="0">
                  <c:v>Julius Randle</c:v>
                </c:pt>
                <c:pt idx="1">
                  <c:v>Jalen Brunson</c:v>
                </c:pt>
                <c:pt idx="2">
                  <c:v>RJ Barrett</c:v>
                </c:pt>
                <c:pt idx="3">
                  <c:v>Immanuel Quickley</c:v>
                </c:pt>
                <c:pt idx="4">
                  <c:v>Quentin Grimes</c:v>
                </c:pt>
                <c:pt idx="5">
                  <c:v>Obi Toppin</c:v>
                </c:pt>
                <c:pt idx="6">
                  <c:v>Mitchell Robinson</c:v>
                </c:pt>
                <c:pt idx="7">
                  <c:v>Isaiah Hartenstein</c:v>
                </c:pt>
                <c:pt idx="8">
                  <c:v>Josh Hart</c:v>
                </c:pt>
                <c:pt idx="9">
                  <c:v>Miles McBride</c:v>
                </c:pt>
                <c:pt idx="10">
                  <c:v>Jericho Sims</c:v>
                </c:pt>
                <c:pt idx="11">
                  <c:v>Cam Reddish</c:v>
                </c:pt>
                <c:pt idx="12">
                  <c:v>Evan Fournier</c:v>
                </c:pt>
                <c:pt idx="13">
                  <c:v>Derrick Rose</c:v>
                </c:pt>
                <c:pt idx="14">
                  <c:v>Svi Mykhailiuk</c:v>
                </c:pt>
                <c:pt idx="15">
                  <c:v>Trevor Keels</c:v>
                </c:pt>
                <c:pt idx="16">
                  <c:v>Ryan Arcidiacono</c:v>
                </c:pt>
              </c:strCache>
            </c:strRef>
          </c:cat>
          <c:val>
            <c:numRef>
              <c:f>TABLAS_DINÁMICAS!$C$72:$C$89</c:f>
              <c:numCache>
                <c:formatCode>#,##0</c:formatCode>
                <c:ptCount val="17"/>
                <c:pt idx="0">
                  <c:v>1936</c:v>
                </c:pt>
                <c:pt idx="1">
                  <c:v>1633</c:v>
                </c:pt>
                <c:pt idx="2">
                  <c:v>1431</c:v>
                </c:pt>
                <c:pt idx="3">
                  <c:v>1209</c:v>
                </c:pt>
                <c:pt idx="4">
                  <c:v>799</c:v>
                </c:pt>
                <c:pt idx="5">
                  <c:v>497</c:v>
                </c:pt>
                <c:pt idx="6">
                  <c:v>435</c:v>
                </c:pt>
                <c:pt idx="7">
                  <c:v>406</c:v>
                </c:pt>
                <c:pt idx="8">
                  <c:v>256</c:v>
                </c:pt>
                <c:pt idx="9">
                  <c:v>222</c:v>
                </c:pt>
                <c:pt idx="10">
                  <c:v>178</c:v>
                </c:pt>
                <c:pt idx="11">
                  <c:v>168</c:v>
                </c:pt>
                <c:pt idx="12">
                  <c:v>165</c:v>
                </c:pt>
                <c:pt idx="13">
                  <c:v>152</c:v>
                </c:pt>
                <c:pt idx="14">
                  <c:v>21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4-4005-AAF4-95341B8D4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44905680198313"/>
          <c:y val="1.3506205210116771E-2"/>
          <c:w val="0.2572681680491789"/>
          <c:h val="0.972904488183217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Evolución del triple del equipo  (intentos por temporada)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gradFill flip="none" rotWithShape="1">
              <a:gsLst>
                <a:gs pos="0">
                  <a:schemeClr val="accent2">
                    <a:lumMod val="89000"/>
                  </a:schemeClr>
                </a:gs>
                <a:gs pos="23000">
                  <a:schemeClr val="accent2">
                    <a:lumMod val="89000"/>
                  </a:schemeClr>
                </a:gs>
                <a:gs pos="69000">
                  <a:schemeClr val="accent2">
                    <a:lumMod val="75000"/>
                  </a:schemeClr>
                </a:gs>
                <a:gs pos="97000">
                  <a:schemeClr val="accent2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prstDash val="solid"/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639288340582397"/>
          <c:y val="0.13938414623919987"/>
          <c:w val="0.8424168149622997"/>
          <c:h val="0.61943329476745346"/>
        </c:manualLayout>
      </c:layout>
      <c:lineChart>
        <c:grouping val="standard"/>
        <c:varyColors val="0"/>
        <c:ser>
          <c:idx val="0"/>
          <c:order val="0"/>
          <c:tx>
            <c:strRef>
              <c:f>TABLAS_DINÁMICAS!$C$43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89000"/>
                    </a:schemeClr>
                  </a:gs>
                  <a:gs pos="23000">
                    <a:schemeClr val="accent2">
                      <a:lumMod val="89000"/>
                    </a:schemeClr>
                  </a:gs>
                  <a:gs pos="69000">
                    <a:schemeClr val="accent2">
                      <a:lumMod val="75000"/>
                    </a:schemeClr>
                  </a:gs>
                  <a:gs pos="97000">
                    <a:schemeClr val="accent2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prstDash val="solid"/>
              <a:round/>
            </a:ln>
            <a:effectLst/>
          </c:spPr>
          <c:marker>
            <c:symbol val="none"/>
          </c:marker>
          <c:cat>
            <c:strRef>
              <c:f>TABLAS_DINÁMICAS!$B$44:$B$66</c:f>
              <c:strCache>
                <c:ptCount val="22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2020-21</c:v>
                </c:pt>
                <c:pt idx="19">
                  <c:v>2021-22</c:v>
                </c:pt>
                <c:pt idx="20">
                  <c:v>2022-23</c:v>
                </c:pt>
                <c:pt idx="21">
                  <c:v>2023-24</c:v>
                </c:pt>
              </c:strCache>
            </c:strRef>
          </c:cat>
          <c:val>
            <c:numRef>
              <c:f>TABLAS_DINÁMICAS!$C$44:$C$66</c:f>
              <c:numCache>
                <c:formatCode>#,##0</c:formatCode>
                <c:ptCount val="22"/>
                <c:pt idx="0">
                  <c:v>1115</c:v>
                </c:pt>
                <c:pt idx="1">
                  <c:v>1344</c:v>
                </c:pt>
                <c:pt idx="2">
                  <c:v>1582</c:v>
                </c:pt>
                <c:pt idx="3">
                  <c:v>1115</c:v>
                </c:pt>
                <c:pt idx="4">
                  <c:v>1240</c:v>
                </c:pt>
                <c:pt idx="5">
                  <c:v>884</c:v>
                </c:pt>
                <c:pt idx="6">
                  <c:v>1370</c:v>
                </c:pt>
                <c:pt idx="7">
                  <c:v>1454</c:v>
                </c:pt>
                <c:pt idx="8">
                  <c:v>2284</c:v>
                </c:pt>
                <c:pt idx="9">
                  <c:v>2145</c:v>
                </c:pt>
                <c:pt idx="10">
                  <c:v>2081</c:v>
                </c:pt>
                <c:pt idx="11">
                  <c:v>1538</c:v>
                </c:pt>
                <c:pt idx="12">
                  <c:v>2371</c:v>
                </c:pt>
                <c:pt idx="13">
                  <c:v>2038</c:v>
                </c:pt>
                <c:pt idx="14">
                  <c:v>1614</c:v>
                </c:pt>
                <c:pt idx="15">
                  <c:v>1762</c:v>
                </c:pt>
                <c:pt idx="16">
                  <c:v>2022</c:v>
                </c:pt>
                <c:pt idx="17">
                  <c:v>1914</c:v>
                </c:pt>
                <c:pt idx="18">
                  <c:v>2163</c:v>
                </c:pt>
                <c:pt idx="19">
                  <c:v>3029</c:v>
                </c:pt>
                <c:pt idx="20">
                  <c:v>2930</c:v>
                </c:pt>
                <c:pt idx="21">
                  <c:v>2936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8B-4F05-9110-4B60B8B54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940623"/>
        <c:axId val="907955023"/>
      </c:lineChart>
      <c:catAx>
        <c:axId val="90794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Temporada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55023"/>
        <c:crosses val="autoZero"/>
        <c:auto val="1"/>
        <c:lblAlgn val="ctr"/>
        <c:lblOffset val="100"/>
        <c:noMultiLvlLbl val="0"/>
      </c:catAx>
      <c:valAx>
        <c:axId val="907955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n-US"/>
                  <a:t>Intentos de 3P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9079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Peores temporadas</a:t>
            </a:r>
            <a:r>
              <a:rPr lang="en-US" baseline="0">
                <a:solidFill>
                  <a:schemeClr val="tx1"/>
                </a:solidFill>
              </a:rPr>
              <a:t> de un jugador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6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8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9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1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2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3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332759571698266"/>
          <c:y val="0.20476867365478807"/>
          <c:w val="0.85376769353956661"/>
          <c:h val="0.5050082111706758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TABLAS_DINÁMICAS!$J$16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9D-45EC-B701-1281F7685E9F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9D-45EC-B701-1281F7685E9F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9D-45EC-B701-1281F7685E9F}"/>
              </c:ext>
            </c:extLst>
          </c:dPt>
          <c:dPt>
            <c:idx val="3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9D-45EC-B701-1281F7685E9F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9D-45EC-B701-1281F7685E9F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9D-45EC-B701-1281F7685E9F}"/>
              </c:ext>
            </c:extLst>
          </c:dPt>
          <c:dPt>
            <c:idx val="6"/>
            <c:invertIfNegative val="0"/>
            <c:bubble3D val="0"/>
            <c:spPr>
              <a:gradFill flip="none" rotWithShape="1">
                <a:gsLst>
                  <a:gs pos="0">
                    <a:srgbClr val="FF9933">
                      <a:shade val="30000"/>
                      <a:satMod val="115000"/>
                    </a:srgbClr>
                  </a:gs>
                  <a:gs pos="50000">
                    <a:srgbClr val="FF9933">
                      <a:shade val="67500"/>
                      <a:satMod val="115000"/>
                    </a:srgbClr>
                  </a:gs>
                  <a:gs pos="100000">
                    <a:srgbClr val="FF9933">
                      <a:shade val="100000"/>
                      <a:satMod val="115000"/>
                    </a:srgbClr>
                  </a:gs>
                </a:gsLst>
                <a:lin ang="54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C9D-45EC-B701-1281F7685E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TABLAS_DINÁMICAS!$I$17:$I$24</c:f>
              <c:strCache>
                <c:ptCount val="7"/>
                <c:pt idx="0">
                  <c:v>Jared Harper</c:v>
                </c:pt>
                <c:pt idx="1">
                  <c:v>Bruno Sundov</c:v>
                </c:pt>
                <c:pt idx="2">
                  <c:v>Solomon Jones</c:v>
                </c:pt>
                <c:pt idx="3">
                  <c:v>Cezary Trybanski</c:v>
                </c:pt>
                <c:pt idx="4">
                  <c:v>Cheikh Samb</c:v>
                </c:pt>
                <c:pt idx="5">
                  <c:v>Theo Pinson</c:v>
                </c:pt>
                <c:pt idx="6">
                  <c:v>Charlie Brown Jr.</c:v>
                </c:pt>
              </c:strCache>
            </c:strRef>
          </c:cat>
          <c:val>
            <c:numRef>
              <c:f>TABLAS_DINÁMICAS!$J$17:$J$24</c:f>
              <c:numCache>
                <c:formatCode>General</c:formatCode>
                <c:ptCount val="7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3">
                  <c:v>-3</c:v>
                </c:pt>
                <c:pt idx="4">
                  <c:v>-3</c:v>
                </c:pt>
                <c:pt idx="5">
                  <c:v>-5</c:v>
                </c:pt>
                <c:pt idx="6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9D-45EC-B701-1281F7685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72367"/>
        <c:axId val="40079567"/>
      </c:barChart>
      <c:catAx>
        <c:axId val="4007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9567"/>
        <c:crosses val="autoZero"/>
        <c:auto val="1"/>
        <c:lblAlgn val="ctr"/>
        <c:lblOffset val="100"/>
        <c:noMultiLvlLbl val="0"/>
      </c:catAx>
      <c:valAx>
        <c:axId val="400795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4007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Mejores anotadores (PTS)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TABLAS_DINÁMICAS!$J$5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TABLAS_DINÁMICAS!$I$6:$I$11</c:f>
              <c:strCache>
                <c:ptCount val="5"/>
                <c:pt idx="0">
                  <c:v>Carmelo Anthony</c:v>
                </c:pt>
                <c:pt idx="1">
                  <c:v>Julius Randle</c:v>
                </c:pt>
                <c:pt idx="2">
                  <c:v>Allan Houston</c:v>
                </c:pt>
                <c:pt idx="3">
                  <c:v>Jamal Crawford</c:v>
                </c:pt>
                <c:pt idx="4">
                  <c:v>Stephon Marbury</c:v>
                </c:pt>
              </c:strCache>
            </c:strRef>
          </c:cat>
          <c:val>
            <c:numRef>
              <c:f>TABLAS_DINÁMICAS!$J$6:$J$11</c:f>
              <c:numCache>
                <c:formatCode>General</c:formatCode>
                <c:ptCount val="5"/>
                <c:pt idx="0">
                  <c:v>10186</c:v>
                </c:pt>
                <c:pt idx="1">
                  <c:v>6197</c:v>
                </c:pt>
                <c:pt idx="2">
                  <c:v>6032</c:v>
                </c:pt>
                <c:pt idx="3">
                  <c:v>5269</c:v>
                </c:pt>
                <c:pt idx="4">
                  <c:v>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8-4364-8AE9-2261A5CCC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2431"/>
        <c:axId val="794875311"/>
      </c:barChart>
      <c:catAx>
        <c:axId val="794872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5311"/>
        <c:crosses val="autoZero"/>
        <c:auto val="1"/>
        <c:lblAlgn val="ctr"/>
        <c:lblOffset val="100"/>
        <c:noMultiLvlLbl val="0"/>
      </c:catAx>
      <c:valAx>
        <c:axId val="794875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Puntos totales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Jugadores con más partidos (PJ)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TABLAS_DINÁMICAS!$C$31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TABLAS_DINÁMICAS!$B$32:$B$37</c:f>
              <c:strCache>
                <c:ptCount val="5"/>
                <c:pt idx="0">
                  <c:v>Kurt Thomas</c:v>
                </c:pt>
                <c:pt idx="1">
                  <c:v>Carmelo Anthony</c:v>
                </c:pt>
                <c:pt idx="2">
                  <c:v>David Lee</c:v>
                </c:pt>
                <c:pt idx="3">
                  <c:v>Nate Robinson</c:v>
                </c:pt>
                <c:pt idx="4">
                  <c:v>Allan Houston</c:v>
                </c:pt>
              </c:strCache>
            </c:strRef>
          </c:cat>
          <c:val>
            <c:numRef>
              <c:f>TABLAS_DINÁMICAS!$C$32:$C$37</c:f>
              <c:numCache>
                <c:formatCode>General</c:formatCode>
                <c:ptCount val="5"/>
                <c:pt idx="0">
                  <c:v>439</c:v>
                </c:pt>
                <c:pt idx="1">
                  <c:v>412</c:v>
                </c:pt>
                <c:pt idx="2">
                  <c:v>368</c:v>
                </c:pt>
                <c:pt idx="3">
                  <c:v>312</c:v>
                </c:pt>
                <c:pt idx="4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2-48FA-9944-B55DEAEB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79151"/>
        <c:axId val="794871951"/>
      </c:barChart>
      <c:catAx>
        <c:axId val="79487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1951"/>
        <c:crosses val="autoZero"/>
        <c:auto val="1"/>
        <c:lblAlgn val="ctr"/>
        <c:lblOffset val="100"/>
        <c:noMultiLvlLbl val="0"/>
      </c:catAx>
      <c:valAx>
        <c:axId val="794871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Partidos jugados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Mejores temporadas (valoración/partido)</a:t>
            </a:r>
          </a:p>
        </c:rich>
      </c:tx>
      <c:layout>
        <c:manualLayout>
          <c:xMode val="edge"/>
          <c:yMode val="edge"/>
          <c:x val="0.19856533362368589"/>
          <c:y val="1.800593486955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TABLAS_DINÁMICAS!$B$6:$B$11</c:f>
              <c:strCache>
                <c:ptCount val="5"/>
                <c:pt idx="0">
                  <c:v>David Lee (2009-10)</c:v>
                </c:pt>
                <c:pt idx="1">
                  <c:v>Jalen Brunson (2023-24)</c:v>
                </c:pt>
                <c:pt idx="2">
                  <c:v>Julius Randle (2020-21)</c:v>
                </c:pt>
                <c:pt idx="3">
                  <c:v>Julius Randle (2022-23)</c:v>
                </c:pt>
                <c:pt idx="4">
                  <c:v>Carmelo Anthony (2013-14)</c:v>
                </c:pt>
              </c:strCache>
            </c:strRef>
          </c:cat>
          <c:val>
            <c:numRef>
              <c:f>TABLAS_DINÁMICAS!$C$6:$C$11</c:f>
              <c:numCache>
                <c:formatCode>0.00</c:formatCode>
                <c:ptCount val="5"/>
                <c:pt idx="0">
                  <c:v>23.814814814814813</c:v>
                </c:pt>
                <c:pt idx="1">
                  <c:v>23.740259740259742</c:v>
                </c:pt>
                <c:pt idx="2">
                  <c:v>23.64788732394366</c:v>
                </c:pt>
                <c:pt idx="3">
                  <c:v>22.558441558441558</c:v>
                </c:pt>
                <c:pt idx="4">
                  <c:v>22.311688311688311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6-46B2-BA8E-FACB302AE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881551"/>
        <c:axId val="794876271"/>
      </c:barChart>
      <c:catAx>
        <c:axId val="79488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76271"/>
        <c:crosses val="autoZero"/>
        <c:auto val="1"/>
        <c:lblAlgn val="ctr"/>
        <c:lblOffset val="100"/>
        <c:noMultiLvlLbl val="0"/>
      </c:catAx>
      <c:valAx>
        <c:axId val="794876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Valoración por 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79488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[KNICKS_LIMPIO.xlsx]TABLAS_DINÁMICAS!TablaDinámica13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>
                <a:solidFill>
                  <a:schemeClr val="tx1"/>
                </a:solidFill>
              </a:rPr>
              <a:t>Mejores temporadas defensivas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Aptos Narrow"/>
              <a:ea typeface="Aptos Narrow"/>
              <a:cs typeface="Aptos Narrow"/>
            </a:defRPr>
          </a:pPr>
          <a:endParaRPr lang="es-E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9933">
                  <a:shade val="30000"/>
                  <a:satMod val="115000"/>
                </a:srgbClr>
              </a:gs>
              <a:gs pos="50000">
                <a:srgbClr val="FF9933">
                  <a:shade val="67500"/>
                  <a:satMod val="115000"/>
                </a:srgbClr>
              </a:gs>
              <a:gs pos="100000">
                <a:srgbClr val="FF9933">
                  <a:shade val="100000"/>
                  <a:satMod val="115000"/>
                </a:srgb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TABLAS_DINÁMICAS!$C$16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9933">
                    <a:shade val="30000"/>
                    <a:satMod val="115000"/>
                  </a:srgbClr>
                </a:gs>
                <a:gs pos="50000">
                  <a:srgbClr val="FF9933">
                    <a:shade val="67500"/>
                    <a:satMod val="115000"/>
                  </a:srgbClr>
                </a:gs>
                <a:gs pos="100000">
                  <a:srgbClr val="FF9933">
                    <a:shade val="100000"/>
                    <a:satMod val="115000"/>
                  </a:srgb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TABLAS_DINÁMICAS!$B$17:$B$22</c:f>
              <c:strCache>
                <c:ptCount val="5"/>
                <c:pt idx="0">
                  <c:v>Earl Barron (2012-13)</c:v>
                </c:pt>
                <c:pt idx="1">
                  <c:v>Marcus Camby (2000-01)</c:v>
                </c:pt>
                <c:pt idx="2">
                  <c:v>Marcus Camby (2001-02)</c:v>
                </c:pt>
                <c:pt idx="3">
                  <c:v>Zach Randolph (2008-09)</c:v>
                </c:pt>
                <c:pt idx="4">
                  <c:v>David Lee (2009-10)</c:v>
                </c:pt>
              </c:strCache>
            </c:strRef>
          </c:cat>
          <c:val>
            <c:numRef>
              <c:f>TABLAS_DINÁMICAS!$C$17:$C$22</c:f>
              <c:numCache>
                <c:formatCode>0.00</c:formatCode>
                <c:ptCount val="5"/>
                <c:pt idx="0">
                  <c:v>19</c:v>
                </c:pt>
                <c:pt idx="1">
                  <c:v>14.682539682539684</c:v>
                </c:pt>
                <c:pt idx="2">
                  <c:v>14</c:v>
                </c:pt>
                <c:pt idx="3">
                  <c:v>13.90909090909091</c:v>
                </c:pt>
                <c:pt idx="4">
                  <c:v>13.25925925925926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F-48FB-B4D4-A70DDBCD3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190095"/>
        <c:axId val="890192015"/>
      </c:barChart>
      <c:catAx>
        <c:axId val="89019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Jugador (temporada)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2015"/>
        <c:crosses val="autoZero"/>
        <c:auto val="1"/>
        <c:lblAlgn val="ctr"/>
        <c:lblOffset val="100"/>
        <c:noMultiLvlLbl val="0"/>
      </c:catAx>
      <c:valAx>
        <c:axId val="890192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ES"/>
                  <a:t>Rating defensivo/partido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Aptos Narrow"/>
                  <a:ea typeface="Aptos Narrow"/>
                  <a:cs typeface="Aptos Narrow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endParaRPr lang="es-ES"/>
          </a:p>
        </c:txPr>
        <c:crossAx val="8901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8ACFFA">
        <a:alpha val="34902"/>
      </a:srgbClr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10.xml"/><Relationship Id="rId7" Type="http://schemas.openxmlformats.org/officeDocument/2006/relationships/chart" Target="../charts/chart12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1.xml"/><Relationship Id="rId5" Type="http://schemas.microsoft.com/office/2007/relationships/hdphoto" Target="../media/hdphoto1.wdp"/><Relationship Id="rId4" Type="http://schemas.openxmlformats.org/officeDocument/2006/relationships/image" Target="../media/image1.png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485396</xdr:colOff>
      <xdr:row>38</xdr:row>
      <xdr:rowOff>24395</xdr:rowOff>
    </xdr:from>
    <xdr:to>
      <xdr:col>29</xdr:col>
      <xdr:colOff>33464</xdr:colOff>
      <xdr:row>61</xdr:row>
      <xdr:rowOff>72885</xdr:rowOff>
    </xdr:to>
    <xdr:graphicFrame macro="">
      <xdr:nvGraphicFramePr>
        <xdr:cNvPr id="8" name="chPieDash">
          <a:extLst>
            <a:ext uri="{FF2B5EF4-FFF2-40B4-BE49-F238E27FC236}">
              <a16:creationId xmlns:a16="http://schemas.microsoft.com/office/drawing/2014/main" id="{5262BDD7-5737-48E2-9083-F81954D3C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512963</xdr:colOff>
      <xdr:row>17</xdr:row>
      <xdr:rowOff>92791</xdr:rowOff>
    </xdr:from>
    <xdr:to>
      <xdr:col>36</xdr:col>
      <xdr:colOff>317155</xdr:colOff>
      <xdr:row>33</xdr:row>
      <xdr:rowOff>144339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DF9541C-7181-4DFA-9E23-DDF5059E3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458574</xdr:colOff>
      <xdr:row>17</xdr:row>
      <xdr:rowOff>125218</xdr:rowOff>
    </xdr:from>
    <xdr:to>
      <xdr:col>27</xdr:col>
      <xdr:colOff>323273</xdr:colOff>
      <xdr:row>30</xdr:row>
      <xdr:rowOff>118073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1BA9EB3-DFD6-4DEB-936E-52FD98FAD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176980</xdr:colOff>
      <xdr:row>19</xdr:row>
      <xdr:rowOff>30838</xdr:rowOff>
    </xdr:from>
    <xdr:to>
      <xdr:col>49</xdr:col>
      <xdr:colOff>29854</xdr:colOff>
      <xdr:row>31</xdr:row>
      <xdr:rowOff>119968</xdr:rowOff>
    </xdr:to>
    <xdr:graphicFrame macro="">
      <xdr:nvGraphicFramePr>
        <xdr:cNvPr id="11" name="chAnotadores">
          <a:extLst>
            <a:ext uri="{FF2B5EF4-FFF2-40B4-BE49-F238E27FC236}">
              <a16:creationId xmlns:a16="http://schemas.microsoft.com/office/drawing/2014/main" id="{2A4503F6-FB9D-4937-B20D-3C8F2D910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454323</xdr:colOff>
      <xdr:row>4</xdr:row>
      <xdr:rowOff>55418</xdr:rowOff>
    </xdr:from>
    <xdr:to>
      <xdr:col>27</xdr:col>
      <xdr:colOff>318193</xdr:colOff>
      <xdr:row>16</xdr:row>
      <xdr:rowOff>144549</xdr:rowOff>
    </xdr:to>
    <xdr:graphicFrame macro="">
      <xdr:nvGraphicFramePr>
        <xdr:cNvPr id="12" name="chPartidos">
          <a:extLst>
            <a:ext uri="{FF2B5EF4-FFF2-40B4-BE49-F238E27FC236}">
              <a16:creationId xmlns:a16="http://schemas.microsoft.com/office/drawing/2014/main" id="{9389A212-6AA4-4AB8-B1D3-2F67C15A3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524391</xdr:colOff>
      <xdr:row>4</xdr:row>
      <xdr:rowOff>55418</xdr:rowOff>
    </xdr:from>
    <xdr:to>
      <xdr:col>36</xdr:col>
      <xdr:colOff>317392</xdr:colOff>
      <xdr:row>16</xdr:row>
      <xdr:rowOff>144549</xdr:rowOff>
    </xdr:to>
    <xdr:graphicFrame macro="">
      <xdr:nvGraphicFramePr>
        <xdr:cNvPr id="13" name="chValoracion">
          <a:extLst>
            <a:ext uri="{FF2B5EF4-FFF2-40B4-BE49-F238E27FC236}">
              <a16:creationId xmlns:a16="http://schemas.microsoft.com/office/drawing/2014/main" id="{E4DA6F29-4FE8-4D70-9E2B-A3922CB35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373625</xdr:colOff>
      <xdr:row>43</xdr:row>
      <xdr:rowOff>737</xdr:rowOff>
    </xdr:from>
    <xdr:to>
      <xdr:col>42</xdr:col>
      <xdr:colOff>226499</xdr:colOff>
      <xdr:row>55</xdr:row>
      <xdr:rowOff>145324</xdr:rowOff>
    </xdr:to>
    <xdr:graphicFrame macro="">
      <xdr:nvGraphicFramePr>
        <xdr:cNvPr id="14" name="chDefensiva">
          <a:extLst>
            <a:ext uri="{FF2B5EF4-FFF2-40B4-BE49-F238E27FC236}">
              <a16:creationId xmlns:a16="http://schemas.microsoft.com/office/drawing/2014/main" id="{72185C7C-9F21-4B08-8865-A122A7178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361207</xdr:colOff>
      <xdr:row>0</xdr:row>
      <xdr:rowOff>50800</xdr:rowOff>
    </xdr:from>
    <xdr:to>
      <xdr:col>24</xdr:col>
      <xdr:colOff>58615</xdr:colOff>
      <xdr:row>81</xdr:row>
      <xdr:rowOff>133350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412E29E-E669-CAE8-2730-880A66CF154B}"/>
            </a:ext>
          </a:extLst>
        </xdr:cNvPr>
        <xdr:cNvSpPr/>
      </xdr:nvSpPr>
      <xdr:spPr>
        <a:xfrm>
          <a:off x="361207" y="50800"/>
          <a:ext cx="18899808" cy="15513050"/>
        </a:xfrm>
        <a:prstGeom prst="roundRect">
          <a:avLst/>
        </a:prstGeom>
        <a:gradFill flip="none" rotWithShape="1">
          <a:gsLst>
            <a:gs pos="0">
              <a:srgbClr val="FF9966">
                <a:shade val="30000"/>
                <a:satMod val="115000"/>
              </a:srgbClr>
            </a:gs>
            <a:gs pos="50000">
              <a:srgbClr val="FF9966">
                <a:shade val="67500"/>
                <a:satMod val="115000"/>
              </a:srgbClr>
            </a:gs>
            <a:gs pos="100000">
              <a:srgbClr val="FF9966">
                <a:shade val="100000"/>
                <a:satMod val="115000"/>
              </a:srgbClr>
            </a:gs>
          </a:gsLst>
          <a:path path="circle">
            <a:fillToRect l="50000" t="50000" r="50000" b="50000"/>
          </a:path>
          <a:tileRect/>
        </a:gra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6</xdr:col>
      <xdr:colOff>738910</xdr:colOff>
      <xdr:row>0</xdr:row>
      <xdr:rowOff>150091</xdr:rowOff>
    </xdr:from>
    <xdr:to>
      <xdr:col>11</xdr:col>
      <xdr:colOff>658092</xdr:colOff>
      <xdr:row>3</xdr:row>
      <xdr:rowOff>69272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C6A177F9-4F8C-D01D-AE80-DA9D570D1221}"/>
            </a:ext>
          </a:extLst>
        </xdr:cNvPr>
        <xdr:cNvSpPr/>
      </xdr:nvSpPr>
      <xdr:spPr>
        <a:xfrm>
          <a:off x="5518728" y="150091"/>
          <a:ext cx="3902364" cy="473363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 b="1"/>
            <a:t>NY KNICKS STATS</a:t>
          </a:r>
          <a:r>
            <a:rPr lang="es-ES" sz="2000" b="1" baseline="0"/>
            <a:t> 2000 - 2024</a:t>
          </a:r>
        </a:p>
        <a:p>
          <a:pPr algn="ctr"/>
          <a:endParaRPr lang="es-ES" sz="2000" b="1"/>
        </a:p>
      </xdr:txBody>
    </xdr:sp>
    <xdr:clientData/>
  </xdr:twoCellAnchor>
  <xdr:twoCellAnchor>
    <xdr:from>
      <xdr:col>1</xdr:col>
      <xdr:colOff>325583</xdr:colOff>
      <xdr:row>4</xdr:row>
      <xdr:rowOff>140855</xdr:rowOff>
    </xdr:from>
    <xdr:to>
      <xdr:col>5</xdr:col>
      <xdr:colOff>161636</xdr:colOff>
      <xdr:row>12</xdr:row>
      <xdr:rowOff>103909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2C3233E2-1930-43D7-BF13-9BA28E3907FB}"/>
            </a:ext>
          </a:extLst>
        </xdr:cNvPr>
        <xdr:cNvSpPr/>
      </xdr:nvSpPr>
      <xdr:spPr>
        <a:xfrm>
          <a:off x="1122219" y="879764"/>
          <a:ext cx="3022599" cy="1440872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600" b="1"/>
            <a:t>Número</a:t>
          </a:r>
          <a:r>
            <a:rPr lang="es-ES" sz="1600" b="1" baseline="0"/>
            <a:t> de jugadores que han vestido la camiseta </a:t>
          </a:r>
        </a:p>
      </xdr:txBody>
    </xdr:sp>
    <xdr:clientData/>
  </xdr:twoCellAnchor>
  <xdr:twoCellAnchor>
    <xdr:from>
      <xdr:col>2</xdr:col>
      <xdr:colOff>85438</xdr:colOff>
      <xdr:row>8</xdr:row>
      <xdr:rowOff>96982</xdr:rowOff>
    </xdr:from>
    <xdr:to>
      <xdr:col>4</xdr:col>
      <xdr:colOff>496456</xdr:colOff>
      <xdr:row>11</xdr:row>
      <xdr:rowOff>23091</xdr:rowOff>
    </xdr:to>
    <xdr:sp macro="" textlink="TABLAS_DINÁMICAS!F27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27F5003-3A90-462A-B6EA-6757B0A3E690}"/>
            </a:ext>
          </a:extLst>
        </xdr:cNvPr>
        <xdr:cNvSpPr/>
      </xdr:nvSpPr>
      <xdr:spPr>
        <a:xfrm>
          <a:off x="1678711" y="1574800"/>
          <a:ext cx="2004290" cy="480291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9B63259-0198-426C-BC7B-42A77A3E44D0}" type="TxLink">
            <a:rPr kumimoji="0" lang="en-US" sz="1800" b="1" i="0" u="none" strike="noStrike" kern="0" cap="none" spc="0" normalizeH="0" baseline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219</a:t>
          </a:fld>
          <a:endParaRPr kumimoji="0" lang="es-ES" sz="1800" b="1" i="0" u="none" strike="noStrike" kern="0" cap="none" spc="0" normalizeH="0" baseline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461818</xdr:colOff>
      <xdr:row>4</xdr:row>
      <xdr:rowOff>137391</xdr:rowOff>
    </xdr:from>
    <xdr:to>
      <xdr:col>9</xdr:col>
      <xdr:colOff>297873</xdr:colOff>
      <xdr:row>12</xdr:row>
      <xdr:rowOff>94673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C1017AE-90CA-4AD0-8B65-0036FD92A152}"/>
            </a:ext>
          </a:extLst>
        </xdr:cNvPr>
        <xdr:cNvSpPr/>
      </xdr:nvSpPr>
      <xdr:spPr>
        <a:xfrm>
          <a:off x="4445000" y="876300"/>
          <a:ext cx="3022600" cy="1435100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Máximo anotador histórico: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Carmelo Anthony</a:t>
          </a:r>
        </a:p>
      </xdr:txBody>
    </xdr:sp>
    <xdr:clientData/>
  </xdr:twoCellAnchor>
  <xdr:twoCellAnchor>
    <xdr:from>
      <xdr:col>9</xdr:col>
      <xdr:colOff>602673</xdr:colOff>
      <xdr:row>4</xdr:row>
      <xdr:rowOff>137391</xdr:rowOff>
    </xdr:from>
    <xdr:to>
      <xdr:col>13</xdr:col>
      <xdr:colOff>438727</xdr:colOff>
      <xdr:row>12</xdr:row>
      <xdr:rowOff>94673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214E8C6C-40BF-4228-AF45-07A4E74071F5}"/>
            </a:ext>
          </a:extLst>
        </xdr:cNvPr>
        <xdr:cNvSpPr/>
      </xdr:nvSpPr>
      <xdr:spPr>
        <a:xfrm>
          <a:off x="7772400" y="876300"/>
          <a:ext cx="3022600" cy="1435100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Más partidos jugados: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Kurt Thomas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364836</xdr:colOff>
      <xdr:row>8</xdr:row>
      <xdr:rowOff>96982</xdr:rowOff>
    </xdr:from>
    <xdr:to>
      <xdr:col>12</xdr:col>
      <xdr:colOff>778164</xdr:colOff>
      <xdr:row>11</xdr:row>
      <xdr:rowOff>25400</xdr:rowOff>
    </xdr:to>
    <xdr:sp macro="" textlink="TABLAS_DINÁMICAS!G32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C759628-9D84-4D60-9662-38D6BF908C0E}"/>
            </a:ext>
          </a:extLst>
        </xdr:cNvPr>
        <xdr:cNvSpPr/>
      </xdr:nvSpPr>
      <xdr:spPr>
        <a:xfrm>
          <a:off x="8274203" y="1563109"/>
          <a:ext cx="1995202" cy="478215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C102A3B-B882-4C87-B4E3-D56C82A813B3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439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743527</xdr:colOff>
      <xdr:row>4</xdr:row>
      <xdr:rowOff>137391</xdr:rowOff>
    </xdr:from>
    <xdr:to>
      <xdr:col>17</xdr:col>
      <xdr:colOff>579582</xdr:colOff>
      <xdr:row>12</xdr:row>
      <xdr:rowOff>94673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809A4B8-29B5-4627-B0BB-5EB7535D6143}"/>
            </a:ext>
          </a:extLst>
        </xdr:cNvPr>
        <xdr:cNvSpPr/>
      </xdr:nvSpPr>
      <xdr:spPr>
        <a:xfrm>
          <a:off x="11099800" y="876300"/>
          <a:ext cx="3022600" cy="1435100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noAutofit/>
        </a:bodyPr>
        <a:lstStyle/>
        <a:p>
          <a:pPr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</a:rPr>
            <a:t>Mejor temporada (valoración):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</a:rPr>
            <a:t>David Lee (09-10)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</a:endParaRPr>
        </a:p>
      </xdr:txBody>
    </xdr:sp>
    <xdr:clientData/>
  </xdr:twoCellAnchor>
  <xdr:twoCellAnchor>
    <xdr:from>
      <xdr:col>14</xdr:col>
      <xdr:colOff>505691</xdr:colOff>
      <xdr:row>8</xdr:row>
      <xdr:rowOff>96982</xdr:rowOff>
    </xdr:from>
    <xdr:to>
      <xdr:col>17</xdr:col>
      <xdr:colOff>122382</xdr:colOff>
      <xdr:row>11</xdr:row>
      <xdr:rowOff>25400</xdr:rowOff>
    </xdr:to>
    <xdr:sp macro="" textlink="TABLAS_DINÁMICAS!G6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FBAF857E-173B-4FC3-8A5D-1E13858E34F2}"/>
            </a:ext>
          </a:extLst>
        </xdr:cNvPr>
        <xdr:cNvSpPr/>
      </xdr:nvSpPr>
      <xdr:spPr>
        <a:xfrm>
          <a:off x="11658600" y="1574800"/>
          <a:ext cx="2006600" cy="482600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2C0F535-1196-4F12-9DFC-17F8041ED1E2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23,815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161637</xdr:colOff>
      <xdr:row>8</xdr:row>
      <xdr:rowOff>79664</xdr:rowOff>
    </xdr:from>
    <xdr:to>
      <xdr:col>8</xdr:col>
      <xdr:colOff>572654</xdr:colOff>
      <xdr:row>11</xdr:row>
      <xdr:rowOff>5773</xdr:rowOff>
    </xdr:to>
    <xdr:sp macro="" textlink="TABLAS_DINÁMICAS!J39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8CE896D2-A87F-4823-A187-4A92008B0E70}"/>
            </a:ext>
          </a:extLst>
        </xdr:cNvPr>
        <xdr:cNvSpPr/>
      </xdr:nvSpPr>
      <xdr:spPr>
        <a:xfrm>
          <a:off x="4941455" y="1557482"/>
          <a:ext cx="2004290" cy="480291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20692593-5CB9-4AB1-9C81-76E4BF9B5478}" type="TxLink"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10186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736599</xdr:colOff>
      <xdr:row>50</xdr:row>
      <xdr:rowOff>79090</xdr:rowOff>
    </xdr:from>
    <xdr:to>
      <xdr:col>11</xdr:col>
      <xdr:colOff>710044</xdr:colOff>
      <xdr:row>52</xdr:row>
      <xdr:rowOff>154132</xdr:rowOff>
    </xdr:to>
    <xdr:sp macro="" textlink="">
      <xdr:nvSpPr>
        <xdr:cNvPr id="26" name="secTitleInteractivo">
          <a:extLst>
            <a:ext uri="{FF2B5EF4-FFF2-40B4-BE49-F238E27FC236}">
              <a16:creationId xmlns:a16="http://schemas.microsoft.com/office/drawing/2014/main" id="{6847A35D-40F1-447B-B354-5A0D789DDDCD}"/>
            </a:ext>
          </a:extLst>
        </xdr:cNvPr>
        <xdr:cNvSpPr/>
      </xdr:nvSpPr>
      <xdr:spPr>
        <a:xfrm>
          <a:off x="736599" y="9604090"/>
          <a:ext cx="8774545" cy="456042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905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</a:rPr>
            <a:t>ANÁLISIS INTERACTIVO POR TEMPORADA</a:t>
          </a:r>
        </a:p>
      </xdr:txBody>
    </xdr:sp>
    <xdr:clientData/>
  </xdr:twoCellAnchor>
  <xdr:twoCellAnchor>
    <xdr:from>
      <xdr:col>1</xdr:col>
      <xdr:colOff>244915</xdr:colOff>
      <xdr:row>52</xdr:row>
      <xdr:rowOff>181760</xdr:rowOff>
    </xdr:from>
    <xdr:to>
      <xdr:col>7</xdr:col>
      <xdr:colOff>654423</xdr:colOff>
      <xdr:row>74</xdr:row>
      <xdr:rowOff>181759</xdr:rowOff>
    </xdr:to>
    <xdr:graphicFrame macro="">
      <xdr:nvGraphicFramePr>
        <xdr:cNvPr id="29" name="chPieDash">
          <a:extLst>
            <a:ext uri="{FF2B5EF4-FFF2-40B4-BE49-F238E27FC236}">
              <a16:creationId xmlns:a16="http://schemas.microsoft.com/office/drawing/2014/main" id="{C3410B1A-E06B-A7F4-981C-6C0C673CC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672495</xdr:colOff>
      <xdr:row>55</xdr:row>
      <xdr:rowOff>172327</xdr:rowOff>
    </xdr:from>
    <xdr:to>
      <xdr:col>11</xdr:col>
      <xdr:colOff>96982</xdr:colOff>
      <xdr:row>72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SlicerPieDash">
              <a:extLst>
                <a:ext uri="{FF2B5EF4-FFF2-40B4-BE49-F238E27FC236}">
                  <a16:creationId xmlns:a16="http://schemas.microsoft.com/office/drawing/2014/main" id="{A4C28C54-D4CF-114B-C914-456CEBADF1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icerPieDas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00459" y="10078327"/>
              <a:ext cx="2583323" cy="2889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113490</xdr:colOff>
      <xdr:row>37</xdr:row>
      <xdr:rowOff>45801</xdr:rowOff>
    </xdr:from>
    <xdr:to>
      <xdr:col>17</xdr:col>
      <xdr:colOff>655437</xdr:colOff>
      <xdr:row>52</xdr:row>
      <xdr:rowOff>121595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9E9CCE1B-58D8-43F5-8B6B-AC7A53CE5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453956</xdr:colOff>
      <xdr:row>37</xdr:row>
      <xdr:rowOff>78228</xdr:rowOff>
    </xdr:from>
    <xdr:to>
      <xdr:col>11</xdr:col>
      <xdr:colOff>723900</xdr:colOff>
      <xdr:row>49</xdr:row>
      <xdr:rowOff>126501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8A1B2933-57B8-4F3C-A446-0E0D40FE5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229626</xdr:colOff>
      <xdr:row>52</xdr:row>
      <xdr:rowOff>141695</xdr:rowOff>
    </xdr:from>
    <xdr:to>
      <xdr:col>17</xdr:col>
      <xdr:colOff>449425</xdr:colOff>
      <xdr:row>72</xdr:row>
      <xdr:rowOff>66518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FEAE1DF-5D20-1094-A273-F37DE6EB3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830826" y="10047695"/>
          <a:ext cx="4220299" cy="3734823"/>
        </a:xfrm>
        <a:prstGeom prst="rect">
          <a:avLst/>
        </a:prstGeom>
      </xdr:spPr>
    </xdr:pic>
    <xdr:clientData/>
  </xdr:twoCellAnchor>
  <xdr:twoCellAnchor>
    <xdr:from>
      <xdr:col>0</xdr:col>
      <xdr:colOff>736600</xdr:colOff>
      <xdr:row>24</xdr:row>
      <xdr:rowOff>143510</xdr:rowOff>
    </xdr:from>
    <xdr:to>
      <xdr:col>6</xdr:col>
      <xdr:colOff>172720</xdr:colOff>
      <xdr:row>36</xdr:row>
      <xdr:rowOff>107950</xdr:rowOff>
    </xdr:to>
    <xdr:graphicFrame macro="">
      <xdr:nvGraphicFramePr>
        <xdr:cNvPr id="35" name="chAnotadores">
          <a:extLst>
            <a:ext uri="{FF2B5EF4-FFF2-40B4-BE49-F238E27FC236}">
              <a16:creationId xmlns:a16="http://schemas.microsoft.com/office/drawing/2014/main" id="{CF9BB8EB-555A-4748-D2AC-8C3A868D8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449705</xdr:colOff>
      <xdr:row>24</xdr:row>
      <xdr:rowOff>143510</xdr:rowOff>
    </xdr:from>
    <xdr:to>
      <xdr:col>11</xdr:col>
      <xdr:colOff>718820</xdr:colOff>
      <xdr:row>36</xdr:row>
      <xdr:rowOff>107950</xdr:rowOff>
    </xdr:to>
    <xdr:graphicFrame macro="">
      <xdr:nvGraphicFramePr>
        <xdr:cNvPr id="36" name="chPartidos">
          <a:extLst>
            <a:ext uri="{FF2B5EF4-FFF2-40B4-BE49-F238E27FC236}">
              <a16:creationId xmlns:a16="http://schemas.microsoft.com/office/drawing/2014/main" id="{CBD5FF08-148D-490E-3490-A302B61F4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124918</xdr:colOff>
      <xdr:row>24</xdr:row>
      <xdr:rowOff>143510</xdr:rowOff>
    </xdr:from>
    <xdr:to>
      <xdr:col>17</xdr:col>
      <xdr:colOff>655674</xdr:colOff>
      <xdr:row>36</xdr:row>
      <xdr:rowOff>107950</xdr:rowOff>
    </xdr:to>
    <xdr:graphicFrame macro="">
      <xdr:nvGraphicFramePr>
        <xdr:cNvPr id="37" name="chValoracion">
          <a:extLst>
            <a:ext uri="{FF2B5EF4-FFF2-40B4-BE49-F238E27FC236}">
              <a16:creationId xmlns:a16="http://schemas.microsoft.com/office/drawing/2014/main" id="{06635F68-3E88-BC6E-2D2E-08D213BFA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736600</xdr:colOff>
      <xdr:row>37</xdr:row>
      <xdr:rowOff>52070</xdr:rowOff>
    </xdr:from>
    <xdr:to>
      <xdr:col>6</xdr:col>
      <xdr:colOff>172720</xdr:colOff>
      <xdr:row>49</xdr:row>
      <xdr:rowOff>80010</xdr:rowOff>
    </xdr:to>
    <xdr:graphicFrame macro="">
      <xdr:nvGraphicFramePr>
        <xdr:cNvPr id="38" name="chDefensiva">
          <a:extLst>
            <a:ext uri="{FF2B5EF4-FFF2-40B4-BE49-F238E27FC236}">
              <a16:creationId xmlns:a16="http://schemas.microsoft.com/office/drawing/2014/main" id="{2BFFA967-C64C-2FE1-DAD8-BE2CB0EF3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18</xdr:col>
      <xdr:colOff>706546</xdr:colOff>
      <xdr:row>10</xdr:row>
      <xdr:rowOff>43681</xdr:rowOff>
    </xdr:from>
    <xdr:to>
      <xdr:col>23</xdr:col>
      <xdr:colOff>190500</xdr:colOff>
      <xdr:row>23</xdr:row>
      <xdr:rowOff>5418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SL_Anotadores">
              <a:extLst>
                <a:ext uri="{FF2B5EF4-FFF2-40B4-BE49-F238E27FC236}">
                  <a16:creationId xmlns:a16="http://schemas.microsoft.com/office/drawing/2014/main" id="{0A8795B3-D53E-9D3C-D078-A66DF1D4A3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Anotado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1310" y="1844772"/>
              <a:ext cx="3432499" cy="2303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708855</xdr:colOff>
      <xdr:row>37</xdr:row>
      <xdr:rowOff>26364</xdr:rowOff>
    </xdr:from>
    <xdr:to>
      <xdr:col>23</xdr:col>
      <xdr:colOff>207248</xdr:colOff>
      <xdr:row>49</xdr:row>
      <xdr:rowOff>163948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SL_Partidos">
              <a:extLst>
                <a:ext uri="{FF2B5EF4-FFF2-40B4-BE49-F238E27FC236}">
                  <a16:creationId xmlns:a16="http://schemas.microsoft.com/office/drawing/2014/main" id="{9C232AE2-D3F5-0DEC-10DA-E713AF80EC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Partid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23619" y="6690400"/>
              <a:ext cx="3446938" cy="2298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697694</xdr:colOff>
      <xdr:row>50</xdr:row>
      <xdr:rowOff>43681</xdr:rowOff>
    </xdr:from>
    <xdr:to>
      <xdr:col>23</xdr:col>
      <xdr:colOff>214467</xdr:colOff>
      <xdr:row>63</xdr:row>
      <xdr:rowOff>5419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SL_Valoracion">
              <a:extLst>
                <a:ext uri="{FF2B5EF4-FFF2-40B4-BE49-F238E27FC236}">
                  <a16:creationId xmlns:a16="http://schemas.microsoft.com/office/drawing/2014/main" id="{0ED245BA-7868-7571-AB7E-09F90E796A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Valor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12458" y="9049136"/>
              <a:ext cx="3465318" cy="23031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727906</xdr:colOff>
      <xdr:row>23</xdr:row>
      <xdr:rowOff>147591</xdr:rowOff>
    </xdr:from>
    <xdr:to>
      <xdr:col>23</xdr:col>
      <xdr:colOff>211860</xdr:colOff>
      <xdr:row>36</xdr:row>
      <xdr:rowOff>94675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SL_Defensiva">
              <a:extLst>
                <a:ext uri="{FF2B5EF4-FFF2-40B4-BE49-F238E27FC236}">
                  <a16:creationId xmlns:a16="http://schemas.microsoft.com/office/drawing/2014/main" id="{129F09B7-F7B7-85FE-58F1-69F9ADEE41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Defensiv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42670" y="4290100"/>
              <a:ext cx="3432499" cy="2288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695578</xdr:colOff>
      <xdr:row>63</xdr:row>
      <xdr:rowOff>112954</xdr:rowOff>
    </xdr:from>
    <xdr:to>
      <xdr:col>23</xdr:col>
      <xdr:colOff>193971</xdr:colOff>
      <xdr:row>76</xdr:row>
      <xdr:rowOff>60038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4" name="SL_Peores">
              <a:extLst>
                <a:ext uri="{FF2B5EF4-FFF2-40B4-BE49-F238E27FC236}">
                  <a16:creationId xmlns:a16="http://schemas.microsoft.com/office/drawing/2014/main" id="{BCE6D681-D1C3-6FAD-3D3C-108422DC1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Peor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10342" y="11459827"/>
              <a:ext cx="3446938" cy="2288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771719</xdr:colOff>
      <xdr:row>6</xdr:row>
      <xdr:rowOff>19050</xdr:rowOff>
    </xdr:from>
    <xdr:to>
      <xdr:col>23</xdr:col>
      <xdr:colOff>76200</xdr:colOff>
      <xdr:row>8</xdr:row>
      <xdr:rowOff>134233</xdr:rowOff>
    </xdr:to>
    <xdr:sp macro="" textlink="">
      <xdr:nvSpPr>
        <xdr:cNvPr id="45" name="secTitleFiltros">
          <a:extLst>
            <a:ext uri="{FF2B5EF4-FFF2-40B4-BE49-F238E27FC236}">
              <a16:creationId xmlns:a16="http://schemas.microsoft.com/office/drawing/2014/main" id="{D808FA5C-4931-4EB9-AE5D-B37A5DC50036}"/>
            </a:ext>
          </a:extLst>
        </xdr:cNvPr>
        <xdr:cNvSpPr/>
      </xdr:nvSpPr>
      <xdr:spPr>
        <a:xfrm>
          <a:off x="15173519" y="1162050"/>
          <a:ext cx="3304981" cy="496183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905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FILTRA CADA RANKING POR TEMPORADA</a:t>
          </a:r>
        </a:p>
      </xdr:txBody>
    </xdr:sp>
    <xdr:clientData/>
  </xdr:twoCellAnchor>
  <xdr:twoCellAnchor>
    <xdr:from>
      <xdr:col>5</xdr:col>
      <xdr:colOff>494957</xdr:colOff>
      <xdr:row>13</xdr:row>
      <xdr:rowOff>123567</xdr:rowOff>
    </xdr:from>
    <xdr:to>
      <xdr:col>9</xdr:col>
      <xdr:colOff>329856</xdr:colOff>
      <xdr:row>21</xdr:row>
      <xdr:rowOff>90616</xdr:rowOff>
    </xdr:to>
    <xdr:sp macro="" textlink="">
      <xdr:nvSpPr>
        <xdr:cNvPr id="49" name="KPI_Reboteador">
          <a:extLst>
            <a:ext uri="{FF2B5EF4-FFF2-40B4-BE49-F238E27FC236}">
              <a16:creationId xmlns:a16="http://schemas.microsoft.com/office/drawing/2014/main" id="{2FA5C569-A527-4BD1-93BD-0541640CAC2E}"/>
            </a:ext>
          </a:extLst>
        </xdr:cNvPr>
        <xdr:cNvSpPr/>
      </xdr:nvSpPr>
      <xdr:spPr>
        <a:xfrm>
          <a:off x="4459416" y="2533135"/>
          <a:ext cx="3006467" cy="1449859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Máximo reboteador histórico: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David Lee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253657</xdr:colOff>
      <xdr:row>17</xdr:row>
      <xdr:rowOff>90616</xdr:rowOff>
    </xdr:from>
    <xdr:to>
      <xdr:col>8</xdr:col>
      <xdr:colOff>660057</xdr:colOff>
      <xdr:row>20</xdr:row>
      <xdr:rowOff>14416</xdr:rowOff>
    </xdr:to>
    <xdr:sp macro="" textlink="TABLAS_DINÁMICAS!J61">
      <xdr:nvSpPr>
        <xdr:cNvPr id="50" name="KPI_Reboteador_num">
          <a:extLst>
            <a:ext uri="{FF2B5EF4-FFF2-40B4-BE49-F238E27FC236}">
              <a16:creationId xmlns:a16="http://schemas.microsoft.com/office/drawing/2014/main" id="{F2574898-8A11-4DF6-9BE3-79103889D105}"/>
            </a:ext>
          </a:extLst>
        </xdr:cNvPr>
        <xdr:cNvSpPr/>
      </xdr:nvSpPr>
      <xdr:spPr>
        <a:xfrm>
          <a:off x="5011008" y="3241589"/>
          <a:ext cx="1992184" cy="479854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FD89F43-F338-4AE8-BBD7-2B0DFBDFD87E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3529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621956</xdr:colOff>
      <xdr:row>13</xdr:row>
      <xdr:rowOff>123567</xdr:rowOff>
    </xdr:from>
    <xdr:to>
      <xdr:col>13</xdr:col>
      <xdr:colOff>456856</xdr:colOff>
      <xdr:row>21</xdr:row>
      <xdr:rowOff>90616</xdr:rowOff>
    </xdr:to>
    <xdr:sp macro="" textlink="">
      <xdr:nvSpPr>
        <xdr:cNvPr id="51" name="KPI_Asistente">
          <a:extLst>
            <a:ext uri="{FF2B5EF4-FFF2-40B4-BE49-F238E27FC236}">
              <a16:creationId xmlns:a16="http://schemas.microsoft.com/office/drawing/2014/main" id="{9131EDAC-532F-40D6-8EFF-6001B546E32D}"/>
            </a:ext>
          </a:extLst>
        </xdr:cNvPr>
        <xdr:cNvSpPr/>
      </xdr:nvSpPr>
      <xdr:spPr>
        <a:xfrm>
          <a:off x="7757983" y="2533135"/>
          <a:ext cx="3006468" cy="1449859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 w="12700" cap="flat" cmpd="sng" algn="ctr">
          <a:solidFill>
            <a:schemeClr val="accent2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0" lang="es-E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Máximo asistente histórico:
</a:t>
          </a: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t>Stephon Marbury</a:t>
          </a:r>
          <a:endParaRPr kumimoji="0" lang="es-ES" sz="12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380656</xdr:colOff>
      <xdr:row>17</xdr:row>
      <xdr:rowOff>90616</xdr:rowOff>
    </xdr:from>
    <xdr:to>
      <xdr:col>12</xdr:col>
      <xdr:colOff>787056</xdr:colOff>
      <xdr:row>20</xdr:row>
      <xdr:rowOff>14416</xdr:rowOff>
    </xdr:to>
    <xdr:sp macro="" textlink="TABLAS_DINÁMICAS!M61">
      <xdr:nvSpPr>
        <xdr:cNvPr id="52" name="KPI_Asistente_num">
          <a:extLst>
            <a:ext uri="{FF2B5EF4-FFF2-40B4-BE49-F238E27FC236}">
              <a16:creationId xmlns:a16="http://schemas.microsoft.com/office/drawing/2014/main" id="{52DE1C4A-EDAF-4F35-854F-637FFA1C6C44}"/>
            </a:ext>
          </a:extLst>
        </xdr:cNvPr>
        <xdr:cNvSpPr/>
      </xdr:nvSpPr>
      <xdr:spPr>
        <a:xfrm>
          <a:off x="8309575" y="3241589"/>
          <a:ext cx="1992184" cy="479854"/>
        </a:xfrm>
        <a:prstGeom prst="roundRect">
          <a:avLst/>
        </a:prstGeom>
        <a:gradFill flip="none" rotWithShape="1">
          <a:gsLst>
            <a:gs pos="0">
              <a:schemeClr val="accent1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1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1">
                <a:lumMod val="60000"/>
                <a:lumOff val="40000"/>
                <a:shade val="100000"/>
                <a:satMod val="115000"/>
              </a:schemeClr>
            </a:gs>
          </a:gsLst>
          <a:lin ang="16200000" scaled="1"/>
          <a:tileRect/>
        </a:gra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D135302-0A69-4513-BAF0-70F418B4A352}" type="TxLink">
            <a:rPr kumimoji="0" lang="en-US" sz="1800" b="1" i="0" u="none" strike="noStrike" kern="0" cap="none" spc="0" normalizeH="0" baseline="0" noProof="0" smtClean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indent="0" algn="ctr"/>
            <a:t>2004</a:t>
          </a:fld>
          <a:endParaRPr kumimoji="0" lang="es-ES" sz="1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304800</xdr:colOff>
      <xdr:row>32</xdr:row>
      <xdr:rowOff>121920</xdr:rowOff>
    </xdr:to>
    <xdr:sp macro="" textlink="">
      <xdr:nvSpPr>
        <xdr:cNvPr id="1025" name="AutoShape 1" descr="Carmelo Anthony And Jeremy Lin Close Their Knicks’ Beef After 14 Years ...">
          <a:extLst>
            <a:ext uri="{FF2B5EF4-FFF2-40B4-BE49-F238E27FC236}">
              <a16:creationId xmlns:a16="http://schemas.microsoft.com/office/drawing/2014/main" id="{31109F80-D1C1-C0C8-37F2-5AA09FA1D96D}"/>
            </a:ext>
          </a:extLst>
        </xdr:cNvPr>
        <xdr:cNvSpPr>
          <a:spLocks noChangeAspect="1" noChangeArrowheads="1"/>
        </xdr:cNvSpPr>
      </xdr:nvSpPr>
      <xdr:spPr bwMode="auto">
        <a:xfrm>
          <a:off x="2298192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82.645875347225" createdVersion="8" refreshedVersion="8" minRefreshableVersion="3" recordCount="1219" xr:uid="{1B1F6236-0A73-4D3F-A057-A147F56669CC}">
  <cacheSource type="worksheet">
    <worksheetSource ref="A1:AQ1048576" sheet="KNICKS_TABLA_LIMPIA_20_to_24"/>
  </cacheSource>
  <cacheFields count="41">
    <cacheField name="NAME" numFmtId="0">
      <sharedItems containsBlank="1"/>
    </cacheField>
    <cacheField name="SEASON" numFmtId="0">
      <sharedItems containsBlank="1" count="23"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20-21"/>
        <s v="2021-22"/>
        <s v="2022-23"/>
        <s v="2023-24"/>
        <m/>
      </sharedItems>
    </cacheField>
    <cacheField name="PLAYER_SEASON" numFmtId="0">
      <sharedItems containsBlank="1" count="409">
        <s v="Marcus Camby (2000-01)"/>
        <s v="Latrell Sprewell (2000-01)"/>
        <s v="Allan Houston (2000-01)"/>
        <s v="Kurt Thomas (2000-01)"/>
        <s v="Mark Jackson (2000-01)"/>
        <s v="Glen Rice (2000-01)"/>
        <s v="Larry Johnson (2000-01)"/>
        <s v="Charlie Ward (2000-01)"/>
        <s v="Chris Childs (2000-01)"/>
        <s v="Othella Harrington (2000-01)"/>
        <s v="Erick Strickland (2000-01)"/>
        <s v="Felton Spencer (2000-01)"/>
        <s v="Rick Brunson (2000-01)"/>
        <s v="Lavor Postell (2000-01)"/>
        <s v="Luc Longley (2000-01)"/>
        <s v="Travis Knight (2000-01)"/>
        <s v="Marcus Camby (2001-02)"/>
        <s v="Kurt Thomas (2001-02)"/>
        <s v="Latrell Sprewell (2001-02)"/>
        <s v="Mark Jackson (2001-02)"/>
        <s v="Allan Houston (2001-02)"/>
        <s v="Clar. Weatherspoon (2001-02)"/>
        <s v="Charlie Ward (2001-02)"/>
        <s v="Othella Harrington (2001-02)"/>
        <s v="Shandon Anderson (2001-02)"/>
        <s v="Howard Eisley (2001-02)"/>
        <s v="Lavor Postell (2001-02)"/>
        <s v="Travis Knight (2001-02)"/>
        <s v="Larry Robinson (2001-02)"/>
        <s v="Felton Spencer (2001-02)"/>
        <s v="Allan Houston (2002-03)"/>
        <s v="Kurt Thomas (2002-03)"/>
        <s v="Latrell Sprewell (2002-03)"/>
        <s v="Clar. Weatherspoon (2002-03)"/>
        <s v="Howard Eisley (2002-03)"/>
        <s v="Charlie Ward (2002-03)"/>
        <s v="Othella Harrington (2002-03)"/>
        <s v="Shandon Anderson (2002-03)"/>
        <s v="Lee Nailon (2002-03)"/>
        <s v="Michael Doleac (2002-03)"/>
        <s v="Travis Knight (2002-03)"/>
        <s v="Frank Williams (2002-03)"/>
        <s v="Lavor Postell (2002-03)"/>
        <s v="Stephon Marbury (2003-04)"/>
        <s v="Keith Van Horn (2003-04)"/>
        <s v="Kurt Thomas (2003-04)"/>
        <s v="Nazr Mohammed (2003-04)"/>
        <s v="Tim Thomas (2003-04)"/>
        <s v="Allan Houston (2003-04)"/>
        <s v="Charlie Ward (2003-04)"/>
        <s v="Dikembe Mutombo (2003-04)"/>
        <s v="Antonio McDyess (2003-04)"/>
        <s v="Anfernee Hardaway (2003-04)"/>
        <s v="Howard Eisley (2003-04)"/>
        <s v="Michael Doleac (2003-04)"/>
        <s v="Clar. Weatherspoon (2003-04)"/>
        <s v="Shandon Anderson (2003-04)"/>
        <s v="Michael Sweetney (2003-04)"/>
        <s v="Moochie Norris (2003-04)"/>
        <s v="DerMarr Johnson (2003-04)"/>
        <s v="Vin Baker (2003-04)"/>
        <s v="Othella Harrington (2003-04)"/>
        <s v="Frank Williams (2003-04)"/>
        <s v="Bruno Sundov (2003-04)"/>
        <s v="Cezary Trybanski (2003-04)"/>
        <s v="Stephon Marbury (2004-05)"/>
        <s v="Kurt Thomas (2004-05)"/>
        <s v="Jamal Crawford (2004-05)"/>
        <s v="Nazr Mohammed (2004-05)"/>
        <s v="Michael Sweetney (2004-05)"/>
        <s v="Tim Thomas (2004-05)"/>
        <s v="Allan Houston (2004-05)"/>
        <s v="Trevor Ariza (2004-05)"/>
        <s v="Malik Rose (2004-05)"/>
        <s v="Anfernee Hardaway (2004-05)"/>
        <s v="Jerome Williams (2004-05)"/>
        <s v="Maurice Taylor (2004-05)"/>
        <s v="Jackie Butler (2004-05)"/>
        <s v="Jermaine Jackson (2004-05)"/>
        <s v="Moochie Norris (2004-05)"/>
        <s v="Jamison Brewer (2004-05)"/>
        <s v="Vin Baker (2004-05)"/>
        <s v="Bruno Sundov (2004-05)"/>
        <s v="Shandon Anderson (2004-05)"/>
        <s v="Stephon Marbury (2005-06)"/>
        <s v="Jamal Crawford (2005-06)"/>
        <s v="Channing Frye (2005-06)"/>
        <s v="Jalen Rose (2005-06)"/>
        <s v="Eddy Curry (2005-06)"/>
        <s v="Steve Francis (2005-06)"/>
        <s v="David Lee (2005-06)"/>
        <s v="Qyntel Woods (2005-06)"/>
        <s v="Quentin Richardson (2005-06)"/>
        <s v="Nate Robinson (2005-06)"/>
        <s v="Jackie Butler (2005-06)"/>
        <s v="Trevor Ariza (2005-06)"/>
        <s v="Matt Barnes (2005-06)"/>
        <s v="Antonio Davis (2005-06)"/>
        <s v="Malik Rose (2005-06)"/>
        <s v="Maurice Taylor (2005-06)"/>
        <s v="Ime Udoka (2005-06)"/>
        <s v="Anfernee Hardaway (2005-06)"/>
        <s v="Jerome James (2005-06)"/>
        <s v="David Lee (2006-07)"/>
        <s v="Eddy Curry (2006-07)"/>
        <s v="Stephon Marbury (2006-07)"/>
        <s v="Quentin Richardson (2006-07)"/>
        <s v="Jamal Crawford (2006-07)"/>
        <s v="Steve Francis (2006-07)"/>
        <s v="Channing Frye (2006-07)"/>
        <s v="Nate Robinson (2006-07)"/>
        <s v="Renaldo Balkman (2006-07)"/>
        <s v="Jared Jeffries (2006-07)"/>
        <s v="Mardy Collins (2006-07)"/>
        <s v="Malik Rose (2006-07)"/>
        <s v="Kelvin Cato (2006-07)"/>
        <s v="Randolph Morris (2006-07)"/>
        <s v="Jerome James (2006-07)"/>
        <s v="Zach Randolph (2007-08)"/>
        <s v="Jamal Crawford (2007-08)"/>
        <s v="David Lee (2007-08)"/>
        <s v="Stephon Marbury (2007-08)"/>
        <s v="Nate Robinson (2007-08)"/>
        <s v="Eddy Curry (2007-08)"/>
        <s v="Quentin Richardson (2007-08)"/>
        <s v="Fred Jones (2007-08)"/>
        <s v="Wilson Chandler (2007-08)"/>
        <s v="Renaldo Balkman (2007-08)"/>
        <s v="Jerome James (2007-08)"/>
        <s v="Jared Jeffries (2007-08)"/>
        <s v="Mardy Collins (2007-08)"/>
        <s v="Malik Rose (2007-08)"/>
        <s v="Randolph Morris (2007-08)"/>
        <s v="Zach Randolph (2008-09)"/>
        <s v="David Lee (2008-09)"/>
        <s v="Al Harrington (2008-09)"/>
        <s v="Nate Robinson (2008-09)"/>
        <s v="Jamal Crawford (2008-09)"/>
        <s v="Chris Duhon (2008-09)"/>
        <s v="Wilson Chandler (2008-09)"/>
        <s v="Quentin Richardson (2008-09)"/>
        <s v="Larry Hughes (2008-09)"/>
        <s v="Mouhamed Sene (2008-09)"/>
        <s v="Tim Thomas (2008-09)"/>
        <s v="Courtney Sims (2008-09)"/>
        <s v="Jared Jeffries (2008-09)"/>
        <s v="Danilo Gallinari (2008-09)"/>
        <s v="Chris Wilcox (2008-09)"/>
        <s v="Joe Crawford (2008-09)"/>
        <s v="Anthony Roberson (2008-09)"/>
        <s v="Demetris Nichols (2008-09)"/>
        <s v="Jerome James (2008-09)"/>
        <s v="Mardy Collins (2008-09)"/>
        <s v="Eddy Curry (2008-09)"/>
        <s v="Malik Rose (2008-09)"/>
        <s v="Cheikh Samb (2008-09)"/>
        <s v="David Lee (2009-10)"/>
        <s v="Earl Barron (2009-10)"/>
        <s v="Wilson Chandler (2009-10)"/>
        <s v="Danilo Gallinari (2009-10)"/>
        <s v="Al Harrington (2009-10)"/>
        <s v="Nate Robinson (2009-10)"/>
        <s v="Chris Duhon (2009-10)"/>
        <s v="Henry Walker (2009-10)"/>
        <s v="Tracy McGrady (2009-10)"/>
        <s v="Larry Hughes (2009-10)"/>
        <s v="Sergio Rodriguez (2009-10)"/>
        <s v="Toney Douglas (2009-10)"/>
        <s v="Jared Jeffries (2009-10)"/>
        <s v="Eddie House (2009-10)"/>
        <s v="Jonathan Bender (2009-10)"/>
        <s v="J.R. Giddens (2009-10)"/>
        <s v="Jordan Hill (2009-10)"/>
        <s v="Darko Milicic (2009-10)"/>
        <s v="Marcus Landry (2009-10)"/>
        <s v="Eddy Curry (2009-10)"/>
        <s v="Amar'e Stoudemire (2010-11)"/>
        <s v="Carmelo Anthony (2010-11)"/>
        <s v="Raymond Felton (2010-11)"/>
        <s v="Chauncey Billups (2010-11)"/>
        <s v="Wilson Chandler (2010-11)"/>
        <s v="Danilo Gallinari (2010-11)"/>
        <s v="Landry Fields (2010-11)"/>
        <s v="Toney Douglas (2010-11)"/>
        <s v="Shawne Williams (2010-11)"/>
        <s v="Ronny Turiaf (2010-11)"/>
        <s v="Anthony Carter (2010-11)"/>
        <s v="Shelden Williams (2010-11)"/>
        <s v="Derrick Brown (2010-11)"/>
        <s v="Henry Walker (2010-11)"/>
        <s v="Jared Jeffries (2010-11)"/>
        <s v="Timofey Mozgov (2010-11)"/>
        <s v="Roger Mason Jr. (2010-11)"/>
        <s v="Anthony Randolph (2010-11)"/>
        <s v="Andy Rautins (2010-11)"/>
        <s v="Renaldo Balkman (2010-11)"/>
        <s v="Carmelo Anthony (2011-12)"/>
        <s v="Tyson Chandler (2011-12)"/>
        <s v="Amar'e Stoudemire (2011-12)"/>
        <s v="Jeremy Lin (2011-12)"/>
        <s v="JR Smith (2011-12)"/>
        <s v="Landry Fields (2011-12)"/>
        <s v="Iman Shumpert (2011-12)"/>
        <s v="Steve Novak (2011-12)"/>
        <s v="Josh Harrellson (2011-12)"/>
        <s v="Baron Davis (2011-12)"/>
        <s v="Jared Jeffries (2011-12)"/>
        <s v="Henry Walker (2011-12)"/>
        <s v="Renaldo Balkman (2011-12)"/>
        <s v="Mike Bibby (2011-12)"/>
        <s v="Toney Douglas (2011-12)"/>
        <s v="Jerome Jordan (2011-12)"/>
        <s v="Dan Gadzuric (2011-12)"/>
        <s v="Carmelo Anthony (2012-13)"/>
        <s v="Earl Barron (2012-13)"/>
        <s v="Tyson Chandler (2012-13)"/>
        <s v="JR Smith (2012-13)"/>
        <s v="Raymond Felton (2012-13)"/>
        <s v="Amar'e Stoudemire (2012-13)"/>
        <s v="Jason Kidd (2012-13)"/>
        <s v="Kenyon Martin (2012-13)"/>
        <s v="Rasheed Wallace (2012-13)"/>
        <s v="Iman Shumpert (2012-13)"/>
        <s v="Chris Copeland (2012-13)"/>
        <s v="Pablo Prigioni (2012-13)"/>
        <s v="Steve Novak (2012-13)"/>
        <s v="Ronnie Brewer (2012-13)"/>
        <s v="Kurt Thomas (2012-13)"/>
        <s v="Quentin Richardson (2012-13)"/>
        <s v="Marcus Camby (2012-13)"/>
        <s v="James White (2012-13)"/>
        <s v="Solomon Jones (2012-13)"/>
        <s v="Carmelo Anthony (2013-14)"/>
        <s v="Tyson Chandler (2013-14)"/>
        <s v="Andrea Bargnani (2013-14)"/>
        <s v="JR Smith (2013-14)"/>
        <s v="Amar'e Stoudemire (2013-14)"/>
        <s v="Raymond Felton (2013-14)"/>
        <s v="Kenyon Martin (2013-14)"/>
        <s v="Beno Udrih (2013-14)"/>
        <s v="Iman Shumpert (2013-14)"/>
        <s v="Pablo Prigioni (2013-14)"/>
        <s v="Tim Hardaway Jr. (2013-14)"/>
        <s v="Cole Aldrich (2013-14)"/>
        <s v="Metta World Peace (2013-14)"/>
        <s v="Jeremy Tyler (2013-14)"/>
        <s v="Earl Clark (2013-14)"/>
        <s v="Toure' Murry (2013-14)"/>
        <s v="Shannon Brown (2013-14)"/>
        <s v="Chris Smith (2013-14)"/>
        <s v="Carmelo Anthony (2014-15)"/>
        <s v="Alexey Shved (2014-15)"/>
        <s v="Amar'e Stoudemire (2014-15)"/>
        <s v="Andrea Bargnani (2014-15)"/>
        <s v="Langston Galloway (2014-15)"/>
        <s v="Jose Calderon (2014-15)"/>
        <s v="Cole Aldrich (2014-15)"/>
        <s v="JR Smith (2014-15)"/>
        <s v="Iman Shumpert (2014-15)"/>
        <s v="Lou Amundson (2014-15)"/>
        <s v="Tim Hardaway Jr. (2014-15)"/>
        <s v="Jason Smith (2014-15)"/>
        <s v="Shane Larkin (2014-15)"/>
        <s v="Quincy Acy (2014-15)"/>
        <s v="Samuel Dalembert (2014-15)"/>
        <s v="Pablo Prigioni (2014-15)"/>
        <s v="Lance Thomas (2014-15)"/>
        <s v="Ricky Ledo (2014-15)"/>
        <s v="Cleanthony Early (2014-15)"/>
        <s v="Travis Wear (2014-15)"/>
        <s v="Carmelo Anthony (2015-16)"/>
        <s v="Kristaps Porzingis (2015-16)"/>
        <s v="Robin Lopez (2015-16)"/>
        <s v="Arron Afflalo (2015-16)"/>
        <s v="Jose Calderon (2015-16)"/>
        <s v="Derrick Williams (2015-16)"/>
        <s v="Langston Galloway (2015-16)"/>
        <s v="Kyle O'Quinn (2015-16)"/>
        <s v="Lance Thomas (2015-16)"/>
        <s v="Jerian Grant (2015-16)"/>
        <s v="Sasha Vujacic (2015-16)"/>
        <s v="Kevin Seraphin (2015-16)"/>
        <s v="Thanasis Antetokounmpo (2015-16)"/>
        <s v="Jimmer Fredette (2015-16)"/>
        <s v="Cleanthony Early (2015-16)"/>
        <s v="Lou Amundson (2015-16)"/>
        <s v="Carmelo Anthony (2016-17)"/>
        <s v="Derrick Rose (2016-17)"/>
        <s v="Kristaps Porzingis (2016-17)"/>
        <s v="Willy Hernangomez (2016-17)"/>
        <s v="Joakim Noah (2016-17)"/>
        <s v="Courtney Lee (2016-17)"/>
        <s v="Kyle O'Quinn (2016-17)"/>
        <s v="Brandon Jennings (2016-17)"/>
        <s v="Justin Holiday (2016-17)"/>
        <s v="Lance Thomas (2016-17)"/>
        <s v="Mindaugas Kuzminskas (2016-17)"/>
        <s v="Chasson Randle (2016-17)"/>
        <s v="Ron Baker (2016-17)"/>
        <s v="Maurice Ndour (2016-17)"/>
        <s v="Marshall Plumlee (2016-17)"/>
        <s v="Sasha Vujacic (2016-17)"/>
        <s v="Enes Freedom (2017-18)"/>
        <s v="Kristaps Porzingis (2017-18)"/>
        <s v="Tim Hardaway Jr. (2017-18)"/>
        <s v="Trey Burke (2017-18)"/>
        <s v="Michael Beasley (2017-18)"/>
        <s v="Kyle O'Quinn (2017-18)"/>
        <s v="Courtney Lee (2017-18)"/>
        <s v="Jarrett Jack (2017-18)"/>
        <s v="Troy Williams (2017-18)"/>
        <s v="Emmanuel Mudiay (2017-18)"/>
        <s v="Luke Kornet (2017-18)"/>
        <s v="Doug McDermott (2017-18)"/>
        <s v="Frank Ntilikina (2017-18)"/>
        <s v="Willy Hernangomez (2017-18)"/>
        <s v="Damyean Dotson (2017-18)"/>
        <s v="Lance Thomas (2017-18)"/>
        <s v="Ron Baker (2017-18)"/>
        <s v="Joakim Noah (2017-18)"/>
        <s v="Ramon Sessions (2017-18)"/>
        <s v="Isaiah Hicks (2017-18)"/>
        <s v="Mindaugas Kuzminskas (2017-18)"/>
        <s v="Julius Randle (2020-21)"/>
        <s v="Derrick Rose (2020-21)"/>
        <s v="RJ Barrett (2020-21)"/>
        <s v="Mitchell Robinson (2020-21)"/>
        <s v="Alec Burks (2020-21)"/>
        <s v="Nerlens Noel (2020-21)"/>
        <s v="Taj Gibson (2020-21)"/>
        <s v="Reggie Bullock Jr. (2020-21)"/>
        <s v="Elfrid Payton (2020-21)"/>
        <s v="Immanuel Quickley (2020-21)"/>
        <s v="Austin Rivers (2020-21)"/>
        <s v="Obi Toppin (2020-21)"/>
        <s v="Kevin Knox II (2020-21)"/>
        <s v="Norvel Pelle (2020-21)"/>
        <s v="Frank Ntilikina (2020-21)"/>
        <s v="Dennis Smith Jr. (2020-21)"/>
        <s v="Ignas Brazdeikis (2020-21)"/>
        <s v="Theo Pinson (2020-21)"/>
        <s v="Jared Harper (2020-21)"/>
        <s v="Julius Randle (2021-22)"/>
        <s v="Mitchell Robinson (2021-22)"/>
        <s v="RJ Barrett (2021-22)"/>
        <s v="Derrick Rose (2021-22)"/>
        <s v="Alec Burks (2021-22)"/>
        <s v="Kemba Walker (2021-22)"/>
        <s v="Immanuel Quickley (2021-22)"/>
        <s v="Evan Fournier (2021-22)"/>
        <s v="Obi Toppin (2021-22)"/>
        <s v="Nerlens Noel (2021-22)"/>
        <s v="Taj Gibson (2021-22)"/>
        <s v="Jericho Sims (2021-22)"/>
        <s v="Cam Reddish (2021-22)"/>
        <s v="Quentin Grimes (2021-22)"/>
        <s v="Kevin Knox II (2021-22)"/>
        <s v="Damyean Dotson (2021-22)"/>
        <s v="Ryan Arcidiacono (2021-22)"/>
        <s v="Miles McBride (2021-22)"/>
        <s v="Wayne Selden (2021-22)"/>
        <s v="Tyler Hall (2021-22)"/>
        <s v="Feron Hunt (2021-22)"/>
        <s v="Matt Mooney (2021-22)"/>
        <s v="Danuel House Jr. (2021-22)"/>
        <s v="Julius Randle (2022-23)"/>
        <s v="Jalen Brunson (2022-23)"/>
        <s v="Josh Hart (2022-23)"/>
        <s v="Mitchell Robinson (2022-23)"/>
        <s v="Immanuel Quickley (2022-23)"/>
        <s v="RJ Barrett (2022-23)"/>
        <s v="Quentin Grimes (2022-23)"/>
        <s v="Isaiah Hartenstein (2022-23)"/>
        <s v="Obi Toppin (2022-23)"/>
        <s v="Jericho Sims (2022-23)"/>
        <s v="Cam Reddish (2022-23)"/>
        <s v="Derrick Rose (2022-23)"/>
        <s v="Evan Fournier (2022-23)"/>
        <s v="Miles McBride (2022-23)"/>
        <s v="Svi Mykhailiuk (2022-23)"/>
        <s v="Trevor Keels (2022-23)"/>
        <s v="Ryan Arcidiacono (2022-23)"/>
        <s v="Jalen Brunson (2023-24)"/>
        <s v="Julius Randle (2023-24)"/>
        <s v="Isaiah Hartenstein (2023-24)"/>
        <s v="Josh Hart (2023-24)"/>
        <s v="Donte DiVincenzo (2023-24)"/>
        <s v="RJ Barrett (2023-24)"/>
        <s v="OG Anunoby (2023-24)"/>
        <s v="Immanuel Quickley (2023-24)"/>
        <s v="Mitchell Robinson (2023-24)"/>
        <s v="Precious Achiuwa (2023-24)"/>
        <s v="Miles McBride (2023-24)"/>
        <s v="Bojan Bogdanovic (2023-24)"/>
        <s v="Quentin Grimes (2023-24)"/>
        <s v="Jericho Sims (2023-24)"/>
        <s v="Alec Burks (2023-24)"/>
        <s v="Jacob Toppin (2023-24)"/>
        <s v="Shake Milton (2023-24)"/>
        <s v="Malachi Flynn (2023-24)"/>
        <s v="Dylan Windler (2023-24)"/>
        <s v="Taj Gibson (2023-24)"/>
        <s v="Evan Fournier (2023-24)"/>
        <s v="DaQuan Jeffries (2023-24)"/>
        <s v="Ryan Arcidiacono (2023-24)"/>
        <s v="Mamadi Diakite (2023-24)"/>
        <s v="Dmytro Skapintsev (2023-24)"/>
        <s v="Charlie Brown Jr. (2023-24)"/>
        <m/>
      </sharedItems>
    </cacheField>
    <cacheField name="AGE" numFmtId="0">
      <sharedItems containsString="0" containsBlank="1" containsNumber="1" containsInteger="1" minValue="19" maxValue="40"/>
    </cacheField>
    <cacheField name="PLAYER_AGE" numFmtId="0">
      <sharedItems containsString="0" containsBlank="1" containsNumber="1" containsInteger="1" minValue="190" maxValue="500"/>
    </cacheField>
    <cacheField name="GP" numFmtId="0">
      <sharedItems containsString="0" containsBlank="1" containsNumber="1" containsInteger="1" minValue="1" maxValue="82"/>
    </cacheField>
    <cacheField name="MIN" numFmtId="0">
      <sharedItems containsString="0" containsBlank="1" containsNumber="1" containsInteger="1" minValue="20" maxValue="33280"/>
    </cacheField>
    <cacheField name="VALORATION" numFmtId="0">
      <sharedItems containsString="0" containsBlank="1" containsNumber="1" containsInteger="1" minValue="-24" maxValue="1929"/>
    </cacheField>
    <cacheField name="VALORATIONPG" numFmtId="0">
      <sharedItems containsString="0" containsBlank="1" containsNumber="1" minValue="-4" maxValue="23.814814814814813"/>
    </cacheField>
    <cacheField name="FGM" numFmtId="0">
      <sharedItems containsString="0" containsBlank="1" containsNumber="1" containsInteger="1" minValue="0" maxValue="790"/>
    </cacheField>
    <cacheField name="FGA" numFmtId="0">
      <sharedItems containsString="0" containsBlank="1" containsNumber="1" containsInteger="1" minValue="0" maxValue="1648"/>
    </cacheField>
    <cacheField name="FG_PCT" numFmtId="0">
      <sharedItems containsBlank="1" containsMixedTypes="1" containsNumber="1" minValue="0" maxValue="714"/>
    </cacheField>
    <cacheField name="FG3M" numFmtId="0">
      <sharedItems containsString="0" containsBlank="1" containsNumber="1" containsInteger="1" minValue="0" maxValue="2830"/>
    </cacheField>
    <cacheField name="FG3A" numFmtId="0">
      <sharedItems containsString="0" containsBlank="1" containsNumber="1" containsInteger="1" minValue="0" maxValue="7050"/>
    </cacheField>
    <cacheField name="FG3_PCT" numFmtId="0">
      <sharedItems containsBlank="1" containsMixedTypes="1" containsNumber="1" minValue="0" maxValue="1"/>
    </cacheField>
    <cacheField name="FTM" numFmtId="0">
      <sharedItems containsString="0" containsBlank="1" containsNumber="1" containsInteger="1" minValue="0" maxValue="473"/>
    </cacheField>
    <cacheField name="FTA" numFmtId="0">
      <sharedItems containsString="0" containsBlank="1" containsNumber="1" containsInteger="1" minValue="0" maxValue="659"/>
    </cacheField>
    <cacheField name="FT_PCT" numFmtId="0">
      <sharedItems containsBlank="1" containsMixedTypes="1" containsNumber="1" minValue="0" maxValue="1"/>
    </cacheField>
    <cacheField name="OREB" numFmtId="0">
      <sharedItems containsString="0" containsBlank="1" containsNumber="1" containsInteger="1" minValue="0" maxValue="295"/>
    </cacheField>
    <cacheField name="DREB" numFmtId="0">
      <sharedItems containsString="0" containsBlank="1" containsNumber="1" containsInteger="1" minValue="0" maxValue="721"/>
    </cacheField>
    <cacheField name="REB" numFmtId="0">
      <sharedItems containsString="0" containsBlank="1" containsNumber="1" containsInteger="1" minValue="0" maxValue="951"/>
    </cacheField>
    <cacheField name="OREB22" numFmtId="0">
      <sharedItems containsString="0" containsBlank="1" containsNumber="1" containsInteger="1" minValue="0" maxValue="3490"/>
    </cacheField>
    <cacheField name="DREB33" numFmtId="0">
      <sharedItems containsString="0" containsBlank="1" containsNumber="1" containsInteger="1" minValue="0" maxValue="7890"/>
    </cacheField>
    <cacheField name="REB44" numFmtId="0">
      <sharedItems containsString="0" containsBlank="1" containsNumber="1" containsInteger="1" minValue="0" maxValue="11910"/>
    </cacheField>
    <cacheField name="REBPG" numFmtId="0">
      <sharedItems containsBlank="1" containsMixedTypes="1" containsNumber="1" minValue="0" maxValue="18"/>
    </cacheField>
    <cacheField name="AST" numFmtId="0">
      <sharedItems containsString="0" containsBlank="1" containsNumber="1" containsInteger="1" minValue="0" maxValue="668"/>
    </cacheField>
    <cacheField name="ASTPG" numFmtId="0">
      <sharedItems containsString="0" containsBlank="1" containsNumber="1" minValue="0" maxValue="9.3191489361702136"/>
    </cacheField>
    <cacheField name="STL" numFmtId="0">
      <sharedItems containsString="0" containsBlank="1" containsNumber="1" containsInteger="1" minValue="0" maxValue="125"/>
    </cacheField>
    <cacheField name="STL2" numFmtId="0">
      <sharedItems containsString="0" containsBlank="1" containsNumber="1" containsInteger="1" minValue="0" maxValue="2650"/>
    </cacheField>
    <cacheField name="STLPG" numFmtId="0">
      <sharedItems containsString="0" containsBlank="1" containsNumber="1" minValue="0" maxValue="1.7962962962962963"/>
    </cacheField>
    <cacheField name="BLK2" numFmtId="0">
      <sharedItems containsString="0" containsBlank="1" containsNumber="1" containsInteger="1" minValue="0" maxValue="3270"/>
    </cacheField>
    <cacheField name="BLK" numFmtId="0">
      <sharedItems containsString="0" containsBlank="1" containsNumber="1" containsInteger="1" minValue="0" maxValue="150"/>
    </cacheField>
    <cacheField name="BLKPG" numFmtId="0">
      <sharedItems containsString="0" containsBlank="1" containsNumber="1" minValue="0" maxValue="2.3958333333333335"/>
    </cacheField>
    <cacheField name="TOV2" numFmtId="0">
      <sharedItems containsString="0" containsBlank="1" containsNumber="1" containsInteger="1" minValue="0" maxValue="3590"/>
    </cacheField>
    <cacheField name="DEFRTNGPG" numFmtId="0">
      <sharedItems containsBlank="1" containsMixedTypes="1" containsNumber="1" minValue="0" maxValue="19" count="362">
        <n v="14.682539682539684"/>
        <n v="6.2467532467532472"/>
        <n v="4.4230769230769234"/>
        <n v="8.3766233766233764"/>
        <n v="4.862068965517242"/>
        <n v="4.8133333333333335"/>
        <n v="6.6307692307692303"/>
        <n v="3.918032786885246"/>
        <n v="3.5686274509803924"/>
        <n v="4.4333333333333336"/>
        <n v="2.6785714285714288"/>
        <n v="2.1666666666666665"/>
        <n v="0.8666666666666667"/>
        <n v="1.1923076923076923"/>
        <n v="3.12"/>
        <n v="1.5333333333333332"/>
        <n v="14"/>
        <n v="10.939024390243901"/>
        <n v="5.0123456790123457"/>
        <n v="4.6829268292682924"/>
        <n v="4.1038961038961039"/>
        <n v="9.7321428571428559"/>
        <n v="3.3174603174603172"/>
        <n v="5.3896103896103895"/>
        <n v="3.8048780487804876"/>
        <n v="1.9487179487179487"/>
        <n v="0.95652173913043481"/>
        <n v="2.5510204081632653"/>
        <n v="1"/>
        <n v="2.03125"/>
        <n v="3.5609756097560972"/>
        <n v="10.061728395061728"/>
        <n v="5.5270270270270272"/>
        <n v="8.9113924050632924"/>
        <n v="3.24390243902439"/>
        <n v="4.0303030303030303"/>
        <n v="6.9054054054054053"/>
        <n v="4.2317073170731714"/>
        <n v="2.0789473684210527"/>
        <n v="3.3466666666666667"/>
        <n v="2.46875"/>
        <n v="1.2857142857142856"/>
        <n v="0.5"/>
        <n v="4.5744680851063828"/>
        <n v="8.787234042553191"/>
        <n v="9.9749999999999996"/>
        <n v="9.8148148148148149"/>
        <n v="6"/>
        <n v="3.2199999999999998"/>
        <n v="4.3142857142857141"/>
        <n v="8.8769230769230774"/>
        <n v="7.8888888888888884"/>
        <n v="5.7857142857142856"/>
        <n v="3"/>
        <n v="5.1304347826086953"/>
        <n v="4"/>
        <n v="3.8374999999999999"/>
        <n v="4.4523809523809526"/>
        <n v="1.8333333333333335"/>
        <n v="2.5714285714285712"/>
        <n v="5.0588235294117645"/>
        <n v="3.625"/>
        <n v="1.5"/>
        <n v="0"/>
        <n v="0.33333333333333331"/>
        <n v="4.5853658536585371"/>
        <n v="12.25"/>
        <n v="4.4857142857142858"/>
        <n v="10.092592592592593"/>
        <n v="6.1428571428571432"/>
        <n v="4.154929577464789"/>
        <n v="1.65"/>
        <n v="4.125"/>
        <n v="5.2307692307692308"/>
        <n v="3.243243243243243"/>
        <n v="4.4050632911392409"/>
        <n v="4.1481481481481488"/>
        <n v="1.4761904761904763"/>
        <n v="1.90625"/>
        <n v="1.7222222222222223"/>
        <n v="1.7916666666666667"/>
        <n v="0.80952380952380953"/>
        <n v="4.0333333333333332"/>
        <n v="4.4303797468354436"/>
        <n v="6.9384615384615387"/>
        <n v="3.6538461538461537"/>
        <n v="7.166666666666667"/>
        <n v="4.166666666666667"/>
        <n v="5.2686567164179108"/>
        <n v="4.795918367346939"/>
        <n v="5"/>
        <n v="3.1527777777777777"/>
        <n v="4.2"/>
        <n v="5.25"/>
        <n v="4.666666666666667"/>
        <n v="5.583333333333333"/>
        <n v="4.3888888888888893"/>
        <n v="3.9402985074626864"/>
        <n v="2.25"/>
        <n v="2.5999999999999996"/>
        <n v="11.603448275862068"/>
        <n v="7.9629629629629628"/>
        <n v="3.9729729729729728"/>
        <n v="8.0612244897959187"/>
        <n v="4.3050847457627119"/>
        <n v="4.7727272727272734"/>
        <n v="6.5694444444444446"/>
        <n v="3.25"/>
        <n v="5.8088235294117645"/>
        <n v="5.6727272727272728"/>
        <n v="2.6730769230769234"/>
        <n v="3.2307692307692308"/>
        <n v="2.4444444444444446"/>
        <n v="2.4000000000000004"/>
        <n v="2.1219512195121952"/>
        <n v="11.376811594202898"/>
        <n v="3.8125"/>
        <n v="9.9753086419753085"/>
        <n v="3.416666666666667"/>
        <n v="3.9305555555555558"/>
        <n v="5.3898305084745761"/>
        <n v="5.7538461538461538"/>
        <n v="3.371428571428571"/>
        <n v="4.5142857142857142"/>
        <n v="4.4615384615384617"/>
        <n v="4.1369863013698627"/>
        <n v="2.3260869565217392"/>
        <n v="2.3888888888888888"/>
        <n v="13.90909090909091"/>
        <n v="13"/>
        <n v="7.7941176470588234"/>
        <n v="5.2837837837837842"/>
        <n v="2.3636363636363638"/>
        <n v="4.113924050632912"/>
        <n v="7.2073170731707314"/>
        <n v="5.1805555555555554"/>
        <n v="4.24"/>
        <n v="4.0277777777777777"/>
        <n v="5.5535714285714288"/>
        <n v="2.6071428571428568"/>
        <n v="3.8"/>
        <n v="2.5"/>
        <n v="1.1304347826086958"/>
        <n v="1.1111111111111112"/>
        <n v="1.3333333333333333"/>
        <n v="13.25925925925926"/>
        <n v="12.142857142857142"/>
        <n v="6.8153846153846152"/>
        <n v="6.5555555555555554"/>
        <n v="6.8472222222222223"/>
        <n v="3.4666666666666668"/>
        <n v="3.5820895522388061"/>
        <n v="4.0370370370370372"/>
        <n v="4.8333333333333339"/>
        <n v="5.193548387096774"/>
        <n v="2.2962962962962963"/>
        <n v="2.7321428571428572"/>
        <n v="6.4230769230769234"/>
        <n v="2.8888888888888888"/>
        <n v="2.84"/>
        <n v="3.3636363636363638"/>
        <n v="3.333333333333333"/>
        <n v="2.875"/>
        <n v="1.2941176470588236"/>
        <n v="2"/>
        <n v="10.987179487179487"/>
        <n v="8.1851851851851851"/>
        <n v="5.5925925925925926"/>
        <n v="4.0952380952380949"/>
        <n v="7.9803921568627452"/>
        <n v="5.9375"/>
        <n v="7.5365853658536581"/>
        <n v="4.1604938271604937"/>
        <n v="5.140625"/>
        <n v="4.921875"/>
        <n v="3.2631578947368425"/>
        <n v="3.4705882352941178"/>
        <n v="2.625"/>
        <n v="2.442622950819672"/>
        <n v="4.9583333333333339"/>
        <n v="4.1470588235294112"/>
        <n v="1.9615384615384615"/>
        <n v="3.0588235294117645"/>
        <n v="0.4"/>
        <n v="7.8181818181818183"/>
        <n v="12.20967741935484"/>
        <n v="9.5744680851063837"/>
        <n v="4.8857142857142852"/>
        <n v="5.6"/>
        <n v="5.6666666666666661"/>
        <n v="5.0540540540540544"/>
        <n v="3.2068965517241379"/>
        <n v="5.2820512820512819"/>
        <n v="3.3125"/>
        <n v="2.3571428571428572"/>
        <n v="2.1282051282051282"/>
        <n v="2.6842105263157894"/>
        <n v="1.6190476190476191"/>
        <n v="3.5"/>
        <n v="8.1194029850746272"/>
        <n v="19"/>
        <n v="12.424242424242426"/>
        <n v="6.8624999999999998"/>
        <n v="4.4411764705882355"/>
        <n v="6.068965517241379"/>
        <n v="6.2236842105263159"/>
        <n v="7.1111111111111107"/>
        <n v="5.2857142857142865"/>
        <n v="4.1333333333333329"/>
        <n v="2.7435897435897436"/>
        <n v="2.3209876543209873"/>
        <n v="3.043478260869565"/>
        <n v="2.9487179487179485"/>
        <n v="10"/>
        <n v="4.2083333333333339"/>
        <n v="1.1403508771929824"/>
        <n v="9.9740259740259738"/>
        <n v="11.41818181818182"/>
        <n v="6.8571428571428568"/>
        <n v="5.1486486486486491"/>
        <n v="5.8461538461538467"/>
        <n v="4.6461538461538456"/>
        <n v="5.8125"/>
        <n v="2.6451612903225805"/>
        <n v="5.5810810810810807"/>
        <n v="2.1234567901234565"/>
        <n v="3.6304347826086958"/>
        <n v="3.1379310344827585"/>
        <n v="3.2926829268292686"/>
        <n v="2.5555555555555554"/>
        <n v="1.2549019607843137"/>
        <n v="1.4210526315789473"/>
        <n v="8.0250000000000004"/>
        <n v="8.3055555555555554"/>
        <n v="5.3793103448275863"/>
        <n v="5.6444444444444439"/>
        <n v="3.6904761904761907"/>
        <n v="7.2131147540983616"/>
        <n v="4.75"/>
        <n v="7.8292682926829267"/>
        <n v="2.7142857142857144"/>
        <n v="4.8780487804878048"/>
        <n v="3.6578947368421053"/>
        <n v="5.1470588235294121"/>
        <n v="6.96875"/>
        <n v="3.0930232558139537"/>
        <n v="3.85"/>
        <n v="3.4102564102564106"/>
        <n v="2.5882352941176472"/>
        <n v="9.1111111111111107"/>
        <n v="9.9027777777777786"/>
        <n v="9.1097560975609753"/>
        <n v="4.23943661971831"/>
        <n v="4.1527777777777777"/>
        <n v="4.1749999999999998"/>
        <n v="4.7195121951219514"/>
        <n v="4.907692307692308"/>
        <n v="2.7118644067796609"/>
        <n v="2.6710526315789473"/>
        <n v="3.081967213114754"/>
        <n v="3.5416666666666665"/>
        <n v="1.8235294117647058"/>
        <n v="2.1379310344827589"/>
        <n v="7.1891891891891895"/>
        <n v="4.796875"/>
        <n v="9.8636363636363633"/>
        <n v="8.0416666666666661"/>
        <n v="10.217391304347826"/>
        <n v="4.7272727272727275"/>
        <n v="7.3291139240506329"/>
        <n v="3.6379310344827585"/>
        <n v="3.9146341463414638"/>
        <n v="3.652173913043478"/>
        <n v="2.4411764705882355"/>
        <n v="1.8888888888888888"/>
        <n v="2.6923076923076925"/>
        <n v="2.71875"/>
        <n v="2.8095238095238093"/>
        <n v="1.7619047619047619"/>
        <n v="12.014084507042252"/>
        <n v="9.7291666666666661"/>
        <n v="5.192982456140351"/>
        <n v="2.75"/>
        <n v="6.6621621621621623"/>
        <n v="7.8441558441558445"/>
        <n v="4.223684210526315"/>
        <n v="3.709677419354839"/>
        <n v="4.8235294117647065"/>
        <n v="3.8636363636363633"/>
        <n v="4.3000000000000007"/>
        <n v="2.8363636363636364"/>
        <n v="3.1538461538461542"/>
        <n v="2.2272727272727275"/>
        <n v="2.6111111111111112"/>
        <n v="11.352112676056338"/>
        <n v="6.7638888888888893"/>
        <n v="10.70967741935484"/>
        <n v="5.5510204081632653"/>
        <n v="9.65625"/>
        <n v="7.333333333333333"/>
        <n v="4.4000000000000004"/>
        <n v="4.3174603174603172"/>
        <n v="2.796875"/>
        <n v="2.7419354838709675"/>
        <n v="1.8809523809523809"/>
        <n v="1.606060606060606"/>
        <n v="1.6666666666666665"/>
        <n v="0.29411764705882354"/>
        <n v="0.25"/>
        <n v="11.222222222222221"/>
        <n v="6.6714285714285708"/>
        <n v="4.3076923076923075"/>
        <n v="6.2716049382716044"/>
        <n v="3.8918918918918921"/>
        <n v="3.8974358974358974"/>
        <n v="3.8624999999999998"/>
        <n v="4.5277777777777777"/>
        <n v="8.08"/>
        <n v="5.5961538461538467"/>
        <n v="4.9268292682926829"/>
        <n v="2.4666666666666668"/>
        <n v="2.956521739130435"/>
        <n v="1.9230769230769231"/>
        <n v="0.9"/>
        <n v="1.425"/>
        <n v="10.870129870129869"/>
        <n v="4.6617647058823533"/>
        <n v="8.8800000000000008"/>
        <n v="12.203389830508476"/>
        <n v="5.3209876543209873"/>
        <n v="5.6712328767123283"/>
        <n v="4.2535211267605639"/>
        <n v="7.963414634146341"/>
        <n v="3.3134328358208953"/>
        <n v="5.4807692307692308"/>
        <n v="2.7"/>
        <n v="1.9259259259259258"/>
        <n v="2.5185185185185186"/>
        <n v="1.484375"/>
        <n v="0.61538461538461542"/>
        <n v="0.66666666666666663"/>
        <n v="0.54545454545454541"/>
        <n v="4.6883116883116882"/>
        <n v="10.639999999999999"/>
        <n v="9.5432098765432105"/>
        <n v="5.4320987654320989"/>
        <n v="5.0769230769230766"/>
        <n v="7.1739130434782608"/>
        <n v="3.2"/>
        <n v="10.806451612903226"/>
        <n v="8.9183673469387763"/>
        <n v="2.3088235294117649"/>
        <n v="2.2758620689655173"/>
        <n v="2.6888888888888887"/>
        <n v="3.8666666666666667"/>
        <n v="2.0869565217391304"/>
        <n v="0.88888888888888884"/>
        <n v="1.1666666666666667"/>
        <n v="2.6666666666666665"/>
        <n v="0.35294117647058826"/>
        <e v="#DIV/0!"/>
        <m/>
      </sharedItems>
    </cacheField>
    <cacheField name="TOV" numFmtId="0">
      <sharedItems containsString="0" containsBlank="1" containsNumber="1" containsInteger="1" minValue="0" maxValue="295"/>
    </cacheField>
    <cacheField name="TOVPG" numFmtId="0">
      <sharedItems containsString="0" containsBlank="1" containsNumber="1" minValue="0" maxValue="3.6419753086419755"/>
    </cacheField>
    <cacheField name="PF" numFmtId="0">
      <sharedItems containsString="0" containsBlank="1" containsNumber="1" containsInteger="1" minValue="0" maxValue="344"/>
    </cacheField>
    <cacheField name="PFPG" numFmtId="0">
      <sharedItems containsString="0" containsBlank="1" containsNumber="1" minValue="0" maxValue="4.2469135802469138"/>
    </cacheField>
    <cacheField name="PTS" numFmtId="0">
      <sharedItems containsString="0" containsBlank="1" containsNumber="1" containsInteger="1" minValue="0" maxValue="2212"/>
    </cacheField>
    <cacheField name="PTSPG" numFmtId="0">
      <sharedItems containsString="0" containsBlank="1" containsNumber="1" minValue="0" maxValue="28.727272727272727"/>
    </cacheField>
  </cacheFields>
  <extLst>
    <ext xmlns:x14="http://schemas.microsoft.com/office/spreadsheetml/2009/9/main" uri="{725AE2AE-9491-48be-B2B4-4EB974FC3084}">
      <x14:pivotCacheDefinition pivotCacheId="165599956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83.644377662036" createdVersion="8" refreshedVersion="8" minRefreshableVersion="3" recordCount="22" xr:uid="{ACFF1A4A-E021-41A8-A772-7994CA7535A4}">
  <cacheSource type="worksheet">
    <worksheetSource name="EvolucionKnicks"/>
  </cacheSource>
  <cacheFields count="18">
    <cacheField name="SEASON" numFmtId="0">
      <sharedItems count="22"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20-21"/>
        <s v="2021-22"/>
        <s v="2022-23"/>
        <s v="2023-24"/>
      </sharedItems>
    </cacheField>
    <cacheField name="PLAYERS" numFmtId="1">
      <sharedItems containsSemiMixedTypes="0" containsString="0" containsNumber="1" containsInteger="1" minValue="13" maxValue="26"/>
    </cacheField>
    <cacheField name="MEDIUM_AGE" numFmtId="165">
      <sharedItems containsSemiMixedTypes="0" containsString="0" containsNumber="1" minValue="25.138655041090399" maxValue="30.845775682935482"/>
    </cacheField>
    <cacheField name="PTS" numFmtId="3">
      <sharedItems containsSemiMixedTypes="0" containsString="0" containsNumber="1" containsInteger="1" minValue="6458" maxValue="9514"/>
    </cacheField>
    <cacheField name="FGM" numFmtId="3">
      <sharedItems containsSemiMixedTypes="0" containsString="0" containsNumber="1" containsInteger="1" minValue="2365" maxValue="3444"/>
    </cacheField>
    <cacheField name="FGA" numFmtId="3">
      <sharedItems containsSemiMixedTypes="0" containsString="0" containsNumber="1" containsInteger="1" minValue="5335" maxValue="7328"/>
    </cacheField>
    <cacheField name="FG_PCT" numFmtId="164">
      <sharedItems containsSemiMixedTypes="0" containsString="0" containsNumber="1" minValue="0.42848647041332144" maxValue="0.46997816593886466"/>
    </cacheField>
    <cacheField name="FG3M" numFmtId="3">
      <sharedItems containsSemiMixedTypes="0" containsString="0" containsNumber="1" containsInteger="1" minValue="320" maxValue="1083"/>
    </cacheField>
    <cacheField name="FG3A" numFmtId="3">
      <sharedItems containsSemiMixedTypes="0" containsString="0" containsNumber="1" containsInteger="1" minValue="884" maxValue="3029"/>
    </cacheField>
    <cacheField name="3P_PCT" numFmtId="164">
      <sharedItems containsSemiMixedTypes="0" containsString="0" containsNumber="1" minValue="0.33615084525357608" maxValue="0.39158576051779936"/>
    </cacheField>
    <cacheField name="FTM" numFmtId="3">
      <sharedItems containsSemiMixedTypes="0" containsString="0" containsNumber="1" containsInteger="1" minValue="1181" maxValue="1878"/>
    </cacheField>
    <cacheField name="FTA" numFmtId="3">
      <sharedItems containsSemiMixedTypes="0" containsString="0" containsNumber="1" containsInteger="1" minValue="1506" maxValue="2587"/>
    </cacheField>
    <cacheField name="FT_PCT" numFmtId="164">
      <sharedItems containsSemiMixedTypes="0" containsString="0" containsNumber="1" minValue="0.71535893155258767" maxValue="0.81481481481481477"/>
    </cacheField>
    <cacheField name="REB" numFmtId="3">
      <sharedItems containsSemiMixedTypes="0" containsString="0" containsNumber="1" containsInteger="1" minValue="2755" maxValue="3821"/>
    </cacheField>
    <cacheField name="AST" numFmtId="3">
      <sharedItems containsSemiMixedTypes="0" containsString="0" containsNumber="1" containsInteger="1" minValue="1328" maxValue="1998"/>
    </cacheField>
    <cacheField name="STL" numFmtId="3">
      <sharedItems containsSemiMixedTypes="0" containsString="0" containsNumber="1" containsInteger="1" minValue="467" maxValue="672"/>
    </cacheField>
    <cacheField name="BLK" numFmtId="3">
      <sharedItems containsSemiMixedTypes="0" containsString="0" containsNumber="1" containsInteger="1" minValue="204" maxValue="475"/>
    </cacheField>
    <cacheField name="TOV" numFmtId="3">
      <sharedItems containsSemiMixedTypes="0" containsString="0" containsNumber="1" containsInteger="1" minValue="876" maxValue="1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89.546535069443" createdVersion="8" refreshedVersion="8" minRefreshableVersion="3" recordCount="408" xr:uid="{B5036E66-B306-424D-810B-5E30E54E955C}">
  <cacheSource type="worksheet">
    <worksheetSource ref="A1:AQ409" sheet="KNICKS_TABLA_LIMPIA_20_to_24"/>
  </cacheSource>
  <cacheFields count="43">
    <cacheField name="NAME" numFmtId="0">
      <sharedItems count="219">
        <s v="Marcus Camby"/>
        <s v="Latrell Sprewell"/>
        <s v="Allan Houston"/>
        <s v="Kurt Thomas"/>
        <s v="Mark Jackson"/>
        <s v="Glen Rice"/>
        <s v="Larry Johnson"/>
        <s v="Charlie Ward"/>
        <s v="Chris Childs"/>
        <s v="Othella Harrington"/>
        <s v="Erick Strickland"/>
        <s v="Felton Spencer"/>
        <s v="Rick Brunson"/>
        <s v="Lavor Postell"/>
        <s v="Luc Longley"/>
        <s v="Travis Knight"/>
        <s v="Clar. Weatherspoon"/>
        <s v="Shandon Anderson"/>
        <s v="Howard Eisley"/>
        <s v="Larry Robinson"/>
        <s v="Lee Nailon"/>
        <s v="Michael Doleac"/>
        <s v="Frank Williams"/>
        <s v="Stephon Marbury"/>
        <s v="Keith Van Horn"/>
        <s v="Nazr Mohammed"/>
        <s v="Tim Thomas"/>
        <s v="Dikembe Mutombo"/>
        <s v="Antonio McDyess"/>
        <s v="Anfernee Hardaway"/>
        <s v="Michael Sweetney"/>
        <s v="Moochie Norris"/>
        <s v="DerMarr Johnson"/>
        <s v="Vin Baker"/>
        <s v="Bruno Sundov"/>
        <s v="Cezary Trybanski"/>
        <s v="Jamal Crawford"/>
        <s v="Trevor Ariza"/>
        <s v="Malik Rose"/>
        <s v="Jerome Williams"/>
        <s v="Maurice Taylor"/>
        <s v="Jackie Butler"/>
        <s v="Jermaine Jackson"/>
        <s v="Jamison Brewer"/>
        <s v="Channing Frye"/>
        <s v="Jalen Rose"/>
        <s v="Eddy Curry"/>
        <s v="Steve Francis"/>
        <s v="David Lee"/>
        <s v="Qyntel Woods"/>
        <s v="Quentin Richardson"/>
        <s v="Nate Robinson"/>
        <s v="Matt Barnes"/>
        <s v="Antonio Davis"/>
        <s v="Ime Udoka"/>
        <s v="Jerome James"/>
        <s v="Renaldo Balkman"/>
        <s v="Jared Jeffries"/>
        <s v="Mardy Collins"/>
        <s v="Kelvin Cato"/>
        <s v="Randolph Morris"/>
        <s v="Zach Randolph"/>
        <s v="Fred Jones"/>
        <s v="Wilson Chandler"/>
        <s v="Al Harrington"/>
        <s v="Chris Duhon"/>
        <s v="Larry Hughes"/>
        <s v="Mouhamed Sene"/>
        <s v="Courtney Sims"/>
        <s v="Danilo Gallinari"/>
        <s v="Chris Wilcox"/>
        <s v="Joe Crawford"/>
        <s v="Anthony Roberson"/>
        <s v="Demetris Nichols"/>
        <s v="Cheikh Samb"/>
        <s v="Earl Barron"/>
        <s v="Henry Walker"/>
        <s v="Tracy McGrady"/>
        <s v="Sergio Rodriguez"/>
        <s v="Toney Douglas"/>
        <s v="Eddie House"/>
        <s v="Jonathan Bender"/>
        <s v="J.R. Giddens"/>
        <s v="Jordan Hill"/>
        <s v="Darko Milicic"/>
        <s v="Marcus Landry"/>
        <s v="Amar'e Stoudemire"/>
        <s v="Carmelo Anthony"/>
        <s v="Raymond Felton"/>
        <s v="Chauncey Billups"/>
        <s v="Landry Fields"/>
        <s v="Shawne Williams"/>
        <s v="Ronny Turiaf"/>
        <s v="Anthony Carter"/>
        <s v="Shelden Williams"/>
        <s v="Derrick Brown"/>
        <s v="Timofey Mozgov"/>
        <s v="Roger Mason Jr."/>
        <s v="Anthony Randolph"/>
        <s v="Andy Rautins"/>
        <s v="Tyson Chandler"/>
        <s v="Jeremy Lin"/>
        <s v="JR Smith"/>
        <s v="Iman Shumpert"/>
        <s v="Steve Novak"/>
        <s v="Josh Harrellson"/>
        <s v="Baron Davis"/>
        <s v="Mike Bibby"/>
        <s v="Jerome Jordan"/>
        <s v="Dan Gadzuric"/>
        <s v="Jason Kidd"/>
        <s v="Kenyon Martin"/>
        <s v="Rasheed Wallace"/>
        <s v="Chris Copeland"/>
        <s v="Pablo Prigioni"/>
        <s v="Ronnie Brewer"/>
        <s v="James White"/>
        <s v="Solomon Jones"/>
        <s v="Andrea Bargnani"/>
        <s v="Beno Udrih"/>
        <s v="Tim Hardaway Jr."/>
        <s v="Cole Aldrich"/>
        <s v="Metta World Peace"/>
        <s v="Jeremy Tyler"/>
        <s v="Earl Clark"/>
        <s v="Toure' Murry"/>
        <s v="Shannon Brown"/>
        <s v="Chris Smith"/>
        <s v="Alexey Shved"/>
        <s v="Langston Galloway"/>
        <s v="Jose Calderon"/>
        <s v="Lou Amundson"/>
        <s v="Jason Smith"/>
        <s v="Shane Larkin"/>
        <s v="Quincy Acy"/>
        <s v="Samuel Dalembert"/>
        <s v="Lance Thomas"/>
        <s v="Ricky Ledo"/>
        <s v="Cleanthony Early"/>
        <s v="Travis Wear"/>
        <s v="Kristaps Porzingis"/>
        <s v="Robin Lopez"/>
        <s v="Arron Afflalo"/>
        <s v="Derrick Williams"/>
        <s v="Kyle O'Quinn"/>
        <s v="Jerian Grant"/>
        <s v="Sasha Vujacic"/>
        <s v="Kevin Seraphin"/>
        <s v="Thanasis Antetokounmpo"/>
        <s v="Jimmer Fredette"/>
        <s v="Derrick Rose"/>
        <s v="Willy Hernangomez"/>
        <s v="Joakim Noah"/>
        <s v="Courtney Lee"/>
        <s v="Brandon Jennings"/>
        <s v="Justin Holiday"/>
        <s v="Mindaugas Kuzminskas"/>
        <s v="Chasson Randle"/>
        <s v="Ron Baker"/>
        <s v="Maurice Ndour"/>
        <s v="Marshall Plumlee"/>
        <s v="Enes Freedom"/>
        <s v="Trey Burke"/>
        <s v="Michael Beasley"/>
        <s v="Jarrett Jack"/>
        <s v="Troy Williams"/>
        <s v="Emmanuel Mudiay"/>
        <s v="Luke Kornet"/>
        <s v="Doug McDermott"/>
        <s v="Frank Ntilikina"/>
        <s v="Damyean Dotson"/>
        <s v="Ramon Sessions"/>
        <s v="Isaiah Hicks"/>
        <s v="Julius Randle"/>
        <s v="RJ Barrett"/>
        <s v="Mitchell Robinson"/>
        <s v="Alec Burks"/>
        <s v="Nerlens Noel"/>
        <s v="Taj Gibson"/>
        <s v="Reggie Bullock Jr."/>
        <s v="Elfrid Payton"/>
        <s v="Immanuel Quickley"/>
        <s v="Austin Rivers"/>
        <s v="Obi Toppin"/>
        <s v="Kevin Knox II"/>
        <s v="Norvel Pelle"/>
        <s v="Dennis Smith Jr."/>
        <s v="Ignas Brazdeikis"/>
        <s v="Theo Pinson"/>
        <s v="Jared Harper"/>
        <s v="Kemba Walker"/>
        <s v="Evan Fournier"/>
        <s v="Jericho Sims"/>
        <s v="Cam Reddish"/>
        <s v="Quentin Grimes"/>
        <s v="Ryan Arcidiacono"/>
        <s v="Miles McBride"/>
        <s v="Wayne Selden"/>
        <s v="Tyler Hall"/>
        <s v="Feron Hunt"/>
        <s v="Matt Mooney"/>
        <s v="Danuel House Jr."/>
        <s v="Jalen Brunson"/>
        <s v="Josh Hart"/>
        <s v="Isaiah Hartenstein"/>
        <s v="Svi Mykhailiuk"/>
        <s v="Trevor Keels"/>
        <s v="Donte DiVincenzo"/>
        <s v="OG Anunoby"/>
        <s v="Precious Achiuwa"/>
        <s v="Bojan Bogdanovic"/>
        <s v="Jacob Toppin"/>
        <s v="Shake Milton"/>
        <s v="Malachi Flynn"/>
        <s v="Dylan Windler"/>
        <s v="DaQuan Jeffries"/>
        <s v="Mamadi Diakite"/>
        <s v="Dmytro Skapintsev"/>
        <s v="Charlie Brown Jr."/>
      </sharedItems>
    </cacheField>
    <cacheField name="SEASON" numFmtId="0">
      <sharedItems count="22">
        <s v="2000-01"/>
        <s v="2001-02"/>
        <s v="2002-03"/>
        <s v="2003-04"/>
        <s v="2004-05"/>
        <s v="2005-06"/>
        <s v="2006-07"/>
        <s v="2007-08"/>
        <s v="2008-09"/>
        <s v="2009-10"/>
        <s v="2010-11"/>
        <s v="2011-12"/>
        <s v="2012-13"/>
        <s v="2013-14"/>
        <s v="2014-15"/>
        <s v="2015-16"/>
        <s v="2016-17"/>
        <s v="2017-18"/>
        <s v="2020-21"/>
        <s v="2021-22"/>
        <s v="2022-23"/>
        <s v="2023-24"/>
      </sharedItems>
    </cacheField>
    <cacheField name="PLAYER_SEASON" numFmtId="0">
      <sharedItems count="408">
        <s v="Marcus Camby (2000-01)"/>
        <s v="Latrell Sprewell (2000-01)"/>
        <s v="Allan Houston (2000-01)"/>
        <s v="Kurt Thomas (2000-01)"/>
        <s v="Mark Jackson (2000-01)"/>
        <s v="Glen Rice (2000-01)"/>
        <s v="Larry Johnson (2000-01)"/>
        <s v="Charlie Ward (2000-01)"/>
        <s v="Chris Childs (2000-01)"/>
        <s v="Othella Harrington (2000-01)"/>
        <s v="Erick Strickland (2000-01)"/>
        <s v="Felton Spencer (2000-01)"/>
        <s v="Rick Brunson (2000-01)"/>
        <s v="Lavor Postell (2000-01)"/>
        <s v="Luc Longley (2000-01)"/>
        <s v="Travis Knight (2000-01)"/>
        <s v="Marcus Camby (2001-02)"/>
        <s v="Kurt Thomas (2001-02)"/>
        <s v="Latrell Sprewell (2001-02)"/>
        <s v="Mark Jackson (2001-02)"/>
        <s v="Allan Houston (2001-02)"/>
        <s v="Clar. Weatherspoon (2001-02)"/>
        <s v="Charlie Ward (2001-02)"/>
        <s v="Othella Harrington (2001-02)"/>
        <s v="Shandon Anderson (2001-02)"/>
        <s v="Howard Eisley (2001-02)"/>
        <s v="Lavor Postell (2001-02)"/>
        <s v="Travis Knight (2001-02)"/>
        <s v="Larry Robinson (2001-02)"/>
        <s v="Felton Spencer (2001-02)"/>
        <s v="Allan Houston (2002-03)"/>
        <s v="Kurt Thomas (2002-03)"/>
        <s v="Latrell Sprewell (2002-03)"/>
        <s v="Clar. Weatherspoon (2002-03)"/>
        <s v="Howard Eisley (2002-03)"/>
        <s v="Charlie Ward (2002-03)"/>
        <s v="Othella Harrington (2002-03)"/>
        <s v="Shandon Anderson (2002-03)"/>
        <s v="Lee Nailon (2002-03)"/>
        <s v="Michael Doleac (2002-03)"/>
        <s v="Travis Knight (2002-03)"/>
        <s v="Frank Williams (2002-03)"/>
        <s v="Lavor Postell (2002-03)"/>
        <s v="Stephon Marbury (2003-04)"/>
        <s v="Keith Van Horn (2003-04)"/>
        <s v="Kurt Thomas (2003-04)"/>
        <s v="Nazr Mohammed (2003-04)"/>
        <s v="Tim Thomas (2003-04)"/>
        <s v="Allan Houston (2003-04)"/>
        <s v="Charlie Ward (2003-04)"/>
        <s v="Dikembe Mutombo (2003-04)"/>
        <s v="Antonio McDyess (2003-04)"/>
        <s v="Anfernee Hardaway (2003-04)"/>
        <s v="Howard Eisley (2003-04)"/>
        <s v="Michael Doleac (2003-04)"/>
        <s v="Clar. Weatherspoon (2003-04)"/>
        <s v="Shandon Anderson (2003-04)"/>
        <s v="Michael Sweetney (2003-04)"/>
        <s v="Moochie Norris (2003-04)"/>
        <s v="DerMarr Johnson (2003-04)"/>
        <s v="Vin Baker (2003-04)"/>
        <s v="Othella Harrington (2003-04)"/>
        <s v="Frank Williams (2003-04)"/>
        <s v="Bruno Sundov (2003-04)"/>
        <s v="Cezary Trybanski (2003-04)"/>
        <s v="Stephon Marbury (2004-05)"/>
        <s v="Kurt Thomas (2004-05)"/>
        <s v="Jamal Crawford (2004-05)"/>
        <s v="Nazr Mohammed (2004-05)"/>
        <s v="Michael Sweetney (2004-05)"/>
        <s v="Tim Thomas (2004-05)"/>
        <s v="Allan Houston (2004-05)"/>
        <s v="Trevor Ariza (2004-05)"/>
        <s v="Malik Rose (2004-05)"/>
        <s v="Anfernee Hardaway (2004-05)"/>
        <s v="Jerome Williams (2004-05)"/>
        <s v="Maurice Taylor (2004-05)"/>
        <s v="Jackie Butler (2004-05)"/>
        <s v="Jermaine Jackson (2004-05)"/>
        <s v="Moochie Norris (2004-05)"/>
        <s v="Jamison Brewer (2004-05)"/>
        <s v="Vin Baker (2004-05)"/>
        <s v="Bruno Sundov (2004-05)"/>
        <s v="Shandon Anderson (2004-05)"/>
        <s v="Stephon Marbury (2005-06)"/>
        <s v="Jamal Crawford (2005-06)"/>
        <s v="Channing Frye (2005-06)"/>
        <s v="Jalen Rose (2005-06)"/>
        <s v="Eddy Curry (2005-06)"/>
        <s v="Steve Francis (2005-06)"/>
        <s v="David Lee (2005-06)"/>
        <s v="Qyntel Woods (2005-06)"/>
        <s v="Quentin Richardson (2005-06)"/>
        <s v="Nate Robinson (2005-06)"/>
        <s v="Jackie Butler (2005-06)"/>
        <s v="Trevor Ariza (2005-06)"/>
        <s v="Matt Barnes (2005-06)"/>
        <s v="Antonio Davis (2005-06)"/>
        <s v="Malik Rose (2005-06)"/>
        <s v="Maurice Taylor (2005-06)"/>
        <s v="Ime Udoka (2005-06)"/>
        <s v="Anfernee Hardaway (2005-06)"/>
        <s v="Jerome James (2005-06)"/>
        <s v="David Lee (2006-07)"/>
        <s v="Eddy Curry (2006-07)"/>
        <s v="Stephon Marbury (2006-07)"/>
        <s v="Quentin Richardson (2006-07)"/>
        <s v="Jamal Crawford (2006-07)"/>
        <s v="Steve Francis (2006-07)"/>
        <s v="Channing Frye (2006-07)"/>
        <s v="Nate Robinson (2006-07)"/>
        <s v="Renaldo Balkman (2006-07)"/>
        <s v="Jared Jeffries (2006-07)"/>
        <s v="Mardy Collins (2006-07)"/>
        <s v="Malik Rose (2006-07)"/>
        <s v="Kelvin Cato (2006-07)"/>
        <s v="Randolph Morris (2006-07)"/>
        <s v="Jerome James (2006-07)"/>
        <s v="Zach Randolph (2007-08)"/>
        <s v="Jamal Crawford (2007-08)"/>
        <s v="David Lee (2007-08)"/>
        <s v="Stephon Marbury (2007-08)"/>
        <s v="Nate Robinson (2007-08)"/>
        <s v="Eddy Curry (2007-08)"/>
        <s v="Quentin Richardson (2007-08)"/>
        <s v="Fred Jones (2007-08)"/>
        <s v="Wilson Chandler (2007-08)"/>
        <s v="Renaldo Balkman (2007-08)"/>
        <s v="Jerome James (2007-08)"/>
        <s v="Jared Jeffries (2007-08)"/>
        <s v="Mardy Collins (2007-08)"/>
        <s v="Malik Rose (2007-08)"/>
        <s v="Randolph Morris (2007-08)"/>
        <s v="Zach Randolph (2008-09)"/>
        <s v="David Lee (2008-09)"/>
        <s v="Al Harrington (2008-09)"/>
        <s v="Nate Robinson (2008-09)"/>
        <s v="Jamal Crawford (2008-09)"/>
        <s v="Chris Duhon (2008-09)"/>
        <s v="Wilson Chandler (2008-09)"/>
        <s v="Quentin Richardson (2008-09)"/>
        <s v="Larry Hughes (2008-09)"/>
        <s v="Mouhamed Sene (2008-09)"/>
        <s v="Tim Thomas (2008-09)"/>
        <s v="Courtney Sims (2008-09)"/>
        <s v="Jared Jeffries (2008-09)"/>
        <s v="Danilo Gallinari (2008-09)"/>
        <s v="Chris Wilcox (2008-09)"/>
        <s v="Joe Crawford (2008-09)"/>
        <s v="Anthony Roberson (2008-09)"/>
        <s v="Demetris Nichols (2008-09)"/>
        <s v="Jerome James (2008-09)"/>
        <s v="Mardy Collins (2008-09)"/>
        <s v="Eddy Curry (2008-09)"/>
        <s v="Malik Rose (2008-09)"/>
        <s v="Cheikh Samb (2008-09)"/>
        <s v="David Lee (2009-10)"/>
        <s v="Earl Barron (2009-10)"/>
        <s v="Wilson Chandler (2009-10)"/>
        <s v="Danilo Gallinari (2009-10)"/>
        <s v="Al Harrington (2009-10)"/>
        <s v="Nate Robinson (2009-10)"/>
        <s v="Chris Duhon (2009-10)"/>
        <s v="Henry Walker (2009-10)"/>
        <s v="Tracy McGrady (2009-10)"/>
        <s v="Larry Hughes (2009-10)"/>
        <s v="Sergio Rodriguez (2009-10)"/>
        <s v="Toney Douglas (2009-10)"/>
        <s v="Jared Jeffries (2009-10)"/>
        <s v="Eddie House (2009-10)"/>
        <s v="Jonathan Bender (2009-10)"/>
        <s v="J.R. Giddens (2009-10)"/>
        <s v="Jordan Hill (2009-10)"/>
        <s v="Darko Milicic (2009-10)"/>
        <s v="Marcus Landry (2009-10)"/>
        <s v="Eddy Curry (2009-10)"/>
        <s v="Amar'e Stoudemire (2010-11)"/>
        <s v="Carmelo Anthony (2010-11)"/>
        <s v="Raymond Felton (2010-11)"/>
        <s v="Chauncey Billups (2010-11)"/>
        <s v="Wilson Chandler (2010-11)"/>
        <s v="Danilo Gallinari (2010-11)"/>
        <s v="Landry Fields (2010-11)"/>
        <s v="Toney Douglas (2010-11)"/>
        <s v="Shawne Williams (2010-11)"/>
        <s v="Ronny Turiaf (2010-11)"/>
        <s v="Anthony Carter (2010-11)"/>
        <s v="Shelden Williams (2010-11)"/>
        <s v="Derrick Brown (2010-11)"/>
        <s v="Henry Walker (2010-11)"/>
        <s v="Jared Jeffries (2010-11)"/>
        <s v="Timofey Mozgov (2010-11)"/>
        <s v="Roger Mason Jr. (2010-11)"/>
        <s v="Anthony Randolph (2010-11)"/>
        <s v="Andy Rautins (2010-11)"/>
        <s v="Renaldo Balkman (2010-11)"/>
        <s v="Carmelo Anthony (2011-12)"/>
        <s v="Tyson Chandler (2011-12)"/>
        <s v="Amar'e Stoudemire (2011-12)"/>
        <s v="Jeremy Lin (2011-12)"/>
        <s v="JR Smith (2011-12)"/>
        <s v="Landry Fields (2011-12)"/>
        <s v="Iman Shumpert (2011-12)"/>
        <s v="Steve Novak (2011-12)"/>
        <s v="Josh Harrellson (2011-12)"/>
        <s v="Baron Davis (2011-12)"/>
        <s v="Jared Jeffries (2011-12)"/>
        <s v="Henry Walker (2011-12)"/>
        <s v="Renaldo Balkman (2011-12)"/>
        <s v="Mike Bibby (2011-12)"/>
        <s v="Toney Douglas (2011-12)"/>
        <s v="Jerome Jordan (2011-12)"/>
        <s v="Dan Gadzuric (2011-12)"/>
        <s v="Carmelo Anthony (2012-13)"/>
        <s v="Earl Barron (2012-13)"/>
        <s v="Tyson Chandler (2012-13)"/>
        <s v="JR Smith (2012-13)"/>
        <s v="Raymond Felton (2012-13)"/>
        <s v="Amar'e Stoudemire (2012-13)"/>
        <s v="Jason Kidd (2012-13)"/>
        <s v="Kenyon Martin (2012-13)"/>
        <s v="Rasheed Wallace (2012-13)"/>
        <s v="Iman Shumpert (2012-13)"/>
        <s v="Chris Copeland (2012-13)"/>
        <s v="Pablo Prigioni (2012-13)"/>
        <s v="Steve Novak (2012-13)"/>
        <s v="Ronnie Brewer (2012-13)"/>
        <s v="Kurt Thomas (2012-13)"/>
        <s v="Quentin Richardson (2012-13)"/>
        <s v="Marcus Camby (2012-13)"/>
        <s v="James White (2012-13)"/>
        <s v="Solomon Jones (2012-13)"/>
        <s v="Carmelo Anthony (2013-14)"/>
        <s v="Tyson Chandler (2013-14)"/>
        <s v="Andrea Bargnani (2013-14)"/>
        <s v="JR Smith (2013-14)"/>
        <s v="Amar'e Stoudemire (2013-14)"/>
        <s v="Raymond Felton (2013-14)"/>
        <s v="Kenyon Martin (2013-14)"/>
        <s v="Beno Udrih (2013-14)"/>
        <s v="Iman Shumpert (2013-14)"/>
        <s v="Pablo Prigioni (2013-14)"/>
        <s v="Tim Hardaway Jr. (2013-14)"/>
        <s v="Cole Aldrich (2013-14)"/>
        <s v="Metta World Peace (2013-14)"/>
        <s v="Jeremy Tyler (2013-14)"/>
        <s v="Earl Clark (2013-14)"/>
        <s v="Toure' Murry (2013-14)"/>
        <s v="Shannon Brown (2013-14)"/>
        <s v="Chris Smith (2013-14)"/>
        <s v="Carmelo Anthony (2014-15)"/>
        <s v="Alexey Shved (2014-15)"/>
        <s v="Amar'e Stoudemire (2014-15)"/>
        <s v="Andrea Bargnani (2014-15)"/>
        <s v="Langston Galloway (2014-15)"/>
        <s v="Jose Calderon (2014-15)"/>
        <s v="Cole Aldrich (2014-15)"/>
        <s v="JR Smith (2014-15)"/>
        <s v="Iman Shumpert (2014-15)"/>
        <s v="Lou Amundson (2014-15)"/>
        <s v="Tim Hardaway Jr. (2014-15)"/>
        <s v="Jason Smith (2014-15)"/>
        <s v="Shane Larkin (2014-15)"/>
        <s v="Quincy Acy (2014-15)"/>
        <s v="Samuel Dalembert (2014-15)"/>
        <s v="Pablo Prigioni (2014-15)"/>
        <s v="Lance Thomas (2014-15)"/>
        <s v="Ricky Ledo (2014-15)"/>
        <s v="Cleanthony Early (2014-15)"/>
        <s v="Travis Wear (2014-15)"/>
        <s v="Carmelo Anthony (2015-16)"/>
        <s v="Kristaps Porzingis (2015-16)"/>
        <s v="Robin Lopez (2015-16)"/>
        <s v="Arron Afflalo (2015-16)"/>
        <s v="Jose Calderon (2015-16)"/>
        <s v="Derrick Williams (2015-16)"/>
        <s v="Langston Galloway (2015-16)"/>
        <s v="Kyle O'Quinn (2015-16)"/>
        <s v="Lance Thomas (2015-16)"/>
        <s v="Jerian Grant (2015-16)"/>
        <s v="Sasha Vujacic (2015-16)"/>
        <s v="Kevin Seraphin (2015-16)"/>
        <s v="Thanasis Antetokounmpo (2015-16)"/>
        <s v="Jimmer Fredette (2015-16)"/>
        <s v="Cleanthony Early (2015-16)"/>
        <s v="Lou Amundson (2015-16)"/>
        <s v="Carmelo Anthony (2016-17)"/>
        <s v="Derrick Rose (2016-17)"/>
        <s v="Kristaps Porzingis (2016-17)"/>
        <s v="Willy Hernangomez (2016-17)"/>
        <s v="Joakim Noah (2016-17)"/>
        <s v="Courtney Lee (2016-17)"/>
        <s v="Kyle O'Quinn (2016-17)"/>
        <s v="Brandon Jennings (2016-17)"/>
        <s v="Justin Holiday (2016-17)"/>
        <s v="Lance Thomas (2016-17)"/>
        <s v="Mindaugas Kuzminskas (2016-17)"/>
        <s v="Chasson Randle (2016-17)"/>
        <s v="Ron Baker (2016-17)"/>
        <s v="Maurice Ndour (2016-17)"/>
        <s v="Marshall Plumlee (2016-17)"/>
        <s v="Sasha Vujacic (2016-17)"/>
        <s v="Enes Freedom (2017-18)"/>
        <s v="Kristaps Porzingis (2017-18)"/>
        <s v="Tim Hardaway Jr. (2017-18)"/>
        <s v="Trey Burke (2017-18)"/>
        <s v="Michael Beasley (2017-18)"/>
        <s v="Kyle O'Quinn (2017-18)"/>
        <s v="Courtney Lee (2017-18)"/>
        <s v="Jarrett Jack (2017-18)"/>
        <s v="Troy Williams (2017-18)"/>
        <s v="Emmanuel Mudiay (2017-18)"/>
        <s v="Luke Kornet (2017-18)"/>
        <s v="Doug McDermott (2017-18)"/>
        <s v="Frank Ntilikina (2017-18)"/>
        <s v="Willy Hernangomez (2017-18)"/>
        <s v="Damyean Dotson (2017-18)"/>
        <s v="Lance Thomas (2017-18)"/>
        <s v="Ron Baker (2017-18)"/>
        <s v="Joakim Noah (2017-18)"/>
        <s v="Ramon Sessions (2017-18)"/>
        <s v="Isaiah Hicks (2017-18)"/>
        <s v="Mindaugas Kuzminskas (2017-18)"/>
        <s v="Julius Randle (2020-21)"/>
        <s v="Derrick Rose (2020-21)"/>
        <s v="RJ Barrett (2020-21)"/>
        <s v="Mitchell Robinson (2020-21)"/>
        <s v="Alec Burks (2020-21)"/>
        <s v="Nerlens Noel (2020-21)"/>
        <s v="Taj Gibson (2020-21)"/>
        <s v="Reggie Bullock Jr. (2020-21)"/>
        <s v="Elfrid Payton (2020-21)"/>
        <s v="Immanuel Quickley (2020-21)"/>
        <s v="Austin Rivers (2020-21)"/>
        <s v="Obi Toppin (2020-21)"/>
        <s v="Kevin Knox II (2020-21)"/>
        <s v="Norvel Pelle (2020-21)"/>
        <s v="Frank Ntilikina (2020-21)"/>
        <s v="Dennis Smith Jr. (2020-21)"/>
        <s v="Ignas Brazdeikis (2020-21)"/>
        <s v="Theo Pinson (2020-21)"/>
        <s v="Jared Harper (2020-21)"/>
        <s v="Julius Randle (2021-22)"/>
        <s v="Mitchell Robinson (2021-22)"/>
        <s v="RJ Barrett (2021-22)"/>
        <s v="Derrick Rose (2021-22)"/>
        <s v="Alec Burks (2021-22)"/>
        <s v="Kemba Walker (2021-22)"/>
        <s v="Immanuel Quickley (2021-22)"/>
        <s v="Evan Fournier (2021-22)"/>
        <s v="Obi Toppin (2021-22)"/>
        <s v="Nerlens Noel (2021-22)"/>
        <s v="Taj Gibson (2021-22)"/>
        <s v="Jericho Sims (2021-22)"/>
        <s v="Cam Reddish (2021-22)"/>
        <s v="Quentin Grimes (2021-22)"/>
        <s v="Kevin Knox II (2021-22)"/>
        <s v="Damyean Dotson (2021-22)"/>
        <s v="Ryan Arcidiacono (2021-22)"/>
        <s v="Miles McBride (2021-22)"/>
        <s v="Wayne Selden (2021-22)"/>
        <s v="Tyler Hall (2021-22)"/>
        <s v="Feron Hunt (2021-22)"/>
        <s v="Matt Mooney (2021-22)"/>
        <s v="Danuel House Jr. (2021-22)"/>
        <s v="Julius Randle (2022-23)"/>
        <s v="Jalen Brunson (2022-23)"/>
        <s v="Josh Hart (2022-23)"/>
        <s v="Mitchell Robinson (2022-23)"/>
        <s v="Immanuel Quickley (2022-23)"/>
        <s v="RJ Barrett (2022-23)"/>
        <s v="Quentin Grimes (2022-23)"/>
        <s v="Isaiah Hartenstein (2022-23)"/>
        <s v="Obi Toppin (2022-23)"/>
        <s v="Jericho Sims (2022-23)"/>
        <s v="Cam Reddish (2022-23)"/>
        <s v="Derrick Rose (2022-23)"/>
        <s v="Evan Fournier (2022-23)"/>
        <s v="Miles McBride (2022-23)"/>
        <s v="Svi Mykhailiuk (2022-23)"/>
        <s v="Trevor Keels (2022-23)"/>
        <s v="Ryan Arcidiacono (2022-23)"/>
        <s v="Jalen Brunson (2023-24)"/>
        <s v="Julius Randle (2023-24)"/>
        <s v="Isaiah Hartenstein (2023-24)"/>
        <s v="Josh Hart (2023-24)"/>
        <s v="Donte DiVincenzo (2023-24)"/>
        <s v="RJ Barrett (2023-24)"/>
        <s v="OG Anunoby (2023-24)"/>
        <s v="Immanuel Quickley (2023-24)"/>
        <s v="Mitchell Robinson (2023-24)"/>
        <s v="Precious Achiuwa (2023-24)"/>
        <s v="Miles McBride (2023-24)"/>
        <s v="Bojan Bogdanovic (2023-24)"/>
        <s v="Quentin Grimes (2023-24)"/>
        <s v="Jericho Sims (2023-24)"/>
        <s v="Alec Burks (2023-24)"/>
        <s v="Jacob Toppin (2023-24)"/>
        <s v="Shake Milton (2023-24)"/>
        <s v="Malachi Flynn (2023-24)"/>
        <s v="Dylan Windler (2023-24)"/>
        <s v="Taj Gibson (2023-24)"/>
        <s v="Evan Fournier (2023-24)"/>
        <s v="DaQuan Jeffries (2023-24)"/>
        <s v="Ryan Arcidiacono (2023-24)"/>
        <s v="Mamadi Diakite (2023-24)"/>
        <s v="Dmytro Skapintsev (2023-24)"/>
        <s v="Charlie Brown Jr. (2023-24)"/>
      </sharedItems>
    </cacheField>
    <cacheField name="AGE" numFmtId="0">
      <sharedItems containsSemiMixedTypes="0" containsString="0" containsNumber="1" containsInteger="1" minValue="19" maxValue="40"/>
    </cacheField>
    <cacheField name="PLAYER_AGE" numFmtId="0">
      <sharedItems containsSemiMixedTypes="0" containsString="0" containsNumber="1" containsInteger="1" minValue="190" maxValue="400"/>
    </cacheField>
    <cacheField name="GP" numFmtId="0">
      <sharedItems containsSemiMixedTypes="0" containsString="0" containsNumber="1" containsInteger="1" minValue="1" maxValue="82"/>
    </cacheField>
    <cacheField name="MIN" numFmtId="0">
      <sharedItems containsSemiMixedTypes="0" containsString="0" containsNumber="1" containsInteger="1" minValue="20" maxValue="33280"/>
    </cacheField>
    <cacheField name="VALORATION" numFmtId="0">
      <sharedItems containsSemiMixedTypes="0" containsString="0" containsNumber="1" containsInteger="1" minValue="-24" maxValue="1929"/>
    </cacheField>
    <cacheField name="VALORATIONPG" numFmtId="2">
      <sharedItems containsSemiMixedTypes="0" containsString="0" containsNumber="1" minValue="-4" maxValue="23.814814814814813"/>
    </cacheField>
    <cacheField name="FGM" numFmtId="0">
      <sharedItems containsSemiMixedTypes="0" containsString="0" containsNumber="1" containsInteger="1" minValue="0" maxValue="790"/>
    </cacheField>
    <cacheField name="FGA" numFmtId="0">
      <sharedItems containsSemiMixedTypes="0" containsString="0" containsNumber="1" containsInteger="1" minValue="0" maxValue="1648"/>
    </cacheField>
    <cacheField name="FG_PCT" numFmtId="0">
      <sharedItems containsMixedTypes="1" containsNumber="1" minValue="0" maxValue="714"/>
    </cacheField>
    <cacheField name="FG3M" numFmtId="2">
      <sharedItems containsSemiMixedTypes="0" containsString="0" containsNumber="1" containsInteger="1" minValue="0" maxValue="283"/>
    </cacheField>
    <cacheField name="FG3M2" numFmtId="0">
      <sharedItems containsSemiMixedTypes="0" containsString="0" containsNumber="1" containsInteger="1" minValue="0" maxValue="2830"/>
    </cacheField>
    <cacheField name="FG3A" numFmtId="0">
      <sharedItems containsSemiMixedTypes="0" containsString="0" containsNumber="1" containsInteger="1" minValue="0" maxValue="705"/>
    </cacheField>
    <cacheField name="FG3A2" numFmtId="0">
      <sharedItems containsSemiMixedTypes="0" containsString="0" containsNumber="1" containsInteger="1" minValue="0" maxValue="7050"/>
    </cacheField>
    <cacheField name="FG3_PCT" numFmtId="164">
      <sharedItems containsMixedTypes="1" containsNumber="1" minValue="0" maxValue="1"/>
    </cacheField>
    <cacheField name="FTM" numFmtId="0">
      <sharedItems containsSemiMixedTypes="0" containsString="0" containsNumber="1" containsInteger="1" minValue="0" maxValue="473"/>
    </cacheField>
    <cacheField name="FTA" numFmtId="0">
      <sharedItems containsSemiMixedTypes="0" containsString="0" containsNumber="1" containsInteger="1" minValue="0" maxValue="659"/>
    </cacheField>
    <cacheField name="FT_PCT" numFmtId="10">
      <sharedItems containsMixedTypes="1" containsNumber="1" minValue="0" maxValue="1"/>
    </cacheField>
    <cacheField name="OREB" numFmtId="0">
      <sharedItems containsSemiMixedTypes="0" containsString="0" containsNumber="1" containsInteger="1" minValue="0" maxValue="295"/>
    </cacheField>
    <cacheField name="DREB" numFmtId="0">
      <sharedItems containsSemiMixedTypes="0" containsString="0" containsNumber="1" containsInteger="1" minValue="0" maxValue="721"/>
    </cacheField>
    <cacheField name="REB" numFmtId="0">
      <sharedItems containsSemiMixedTypes="0" containsString="0" containsNumber="1" containsInteger="1" minValue="0" maxValue="951"/>
    </cacheField>
    <cacheField name="OREB22" numFmtId="0">
      <sharedItems containsSemiMixedTypes="0" containsString="0" containsNumber="1" containsInteger="1" minValue="0" maxValue="2950"/>
    </cacheField>
    <cacheField name="DREB33" numFmtId="0">
      <sharedItems containsSemiMixedTypes="0" containsString="0" containsNumber="1" containsInteger="1" minValue="0" maxValue="7210"/>
    </cacheField>
    <cacheField name="REB44" numFmtId="0">
      <sharedItems containsSemiMixedTypes="0" containsString="0" containsNumber="1" containsInteger="1" minValue="0" maxValue="9510"/>
    </cacheField>
    <cacheField name="REBPG" numFmtId="2">
      <sharedItems containsSemiMixedTypes="0" containsString="0" containsNumber="1" minValue="0" maxValue="18"/>
    </cacheField>
    <cacheField name="AST" numFmtId="0">
      <sharedItems containsSemiMixedTypes="0" containsString="0" containsNumber="1" containsInteger="1" minValue="0" maxValue="668"/>
    </cacheField>
    <cacheField name="ASTPG" numFmtId="2">
      <sharedItems containsSemiMixedTypes="0" containsString="0" containsNumber="1" minValue="0" maxValue="9.3191489361702136"/>
    </cacheField>
    <cacheField name="STL" numFmtId="0">
      <sharedItems containsSemiMixedTypes="0" containsString="0" containsNumber="1" containsInteger="1" minValue="0" maxValue="125"/>
    </cacheField>
    <cacheField name="STL2" numFmtId="0">
      <sharedItems containsSemiMixedTypes="0" containsString="0" containsNumber="1" containsInteger="1" minValue="0" maxValue="1250"/>
    </cacheField>
    <cacheField name="STLPG" numFmtId="2">
      <sharedItems containsSemiMixedTypes="0" containsString="0" containsNumber="1" minValue="0" maxValue="1.7962962962962963"/>
    </cacheField>
    <cacheField name="BLK2" numFmtId="0">
      <sharedItems containsSemiMixedTypes="0" containsString="0" containsNumber="1" containsInteger="1" minValue="0" maxValue="1500"/>
    </cacheField>
    <cacheField name="BLK" numFmtId="0">
      <sharedItems containsSemiMixedTypes="0" containsString="0" containsNumber="1" containsInteger="1" minValue="0" maxValue="150"/>
    </cacheField>
    <cacheField name="BLKPG" numFmtId="2">
      <sharedItems containsSemiMixedTypes="0" containsString="0" containsNumber="1" minValue="0" maxValue="2.3958333333333335"/>
    </cacheField>
    <cacheField name="TOV2" numFmtId="0">
      <sharedItems containsSemiMixedTypes="0" containsString="0" containsNumber="1" containsInteger="1" minValue="0" maxValue="2950"/>
    </cacheField>
    <cacheField name="DEFRTNGPG" numFmtId="2">
      <sharedItems containsSemiMixedTypes="0" containsString="0" containsNumber="1" minValue="0" maxValue="19"/>
    </cacheField>
    <cacheField name="TOV" numFmtId="0">
      <sharedItems containsSemiMixedTypes="0" containsString="0" containsNumber="1" containsInteger="1" minValue="0" maxValue="295"/>
    </cacheField>
    <cacheField name="TOVPG" numFmtId="2">
      <sharedItems containsSemiMixedTypes="0" containsString="0" containsNumber="1" minValue="0" maxValue="3.6419753086419755"/>
    </cacheField>
    <cacheField name="PF" numFmtId="0">
      <sharedItems containsSemiMixedTypes="0" containsString="0" containsNumber="1" containsInteger="1" minValue="0" maxValue="344"/>
    </cacheField>
    <cacheField name="PFPG" numFmtId="0">
      <sharedItems containsSemiMixedTypes="0" containsString="0" containsNumber="1" minValue="0" maxValue="4.2469135802469138"/>
    </cacheField>
    <cacheField name="PTS" numFmtId="0">
      <sharedItems containsSemiMixedTypes="0" containsString="0" containsNumber="1" containsInteger="1" minValue="0" maxValue="2212"/>
    </cacheField>
    <cacheField name="PTSPG" numFmtId="2">
      <sharedItems containsSemiMixedTypes="0" containsString="0" containsNumber="1" minValue="0" maxValue="28.727272727272727"/>
    </cacheField>
  </cacheFields>
  <extLst>
    <ext xmlns:x14="http://schemas.microsoft.com/office/spreadsheetml/2009/9/main" uri="{725AE2AE-9491-48be-B2B4-4EB974FC3084}">
      <x14:pivotCacheDefinition pivotCacheId="109104437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" refreshedDate="46190.778337615739" createdVersion="8" refreshedVersion="8" minRefreshableVersion="3" recordCount="408" xr:uid="{83A0FDE3-B20A-448B-95E4-893992C25A34}">
  <cacheSource type="worksheet">
    <worksheetSource ref="A1:B409" sheet="KNICKS_TABLA_LIMPIA_20_to_24"/>
  </cacheSource>
  <cacheFields count="2">
    <cacheField name="NAME" numFmtId="0">
      <sharedItems count="219">
        <s v="Stephon Marbury"/>
        <s v="Raymond Felton"/>
        <s v="Mark Jackson"/>
        <s v="Chris Duhon"/>
        <s v="Jalen Brunson"/>
        <s v="Jeremy Lin"/>
        <s v="Julius Randle"/>
        <s v="Jarrett Jack"/>
        <s v="Chauncey Billups"/>
        <s v="Howard Eisley"/>
        <s v="Jamal Crawford"/>
        <s v="Brandon Jennings"/>
        <s v="Charlie Ward"/>
        <s v="Trey Burke"/>
        <s v="Jose Calderon"/>
        <s v="Baron Davis"/>
        <s v="Chris Childs"/>
        <s v="Latrell Sprewell"/>
        <s v="Derrick Rose"/>
        <s v="Carmelo Anthony"/>
        <s v="Josh Hart"/>
        <s v="Nate Robinson"/>
        <s v="Tracy McGrady"/>
        <s v="Steve Francis"/>
        <s v="Emmanuel Mudiay"/>
        <s v="David Lee"/>
        <s v="Alexey Shved"/>
        <s v="Beno Udrih"/>
        <s v="Kemba Walker"/>
        <s v="Immanuel Quickley"/>
        <s v="Larry Hughes"/>
        <s v="Pablo Prigioni"/>
        <s v="JR Smith"/>
        <s v="Sergio Rodriguez"/>
        <s v="Langston Galloway"/>
        <s v="Jason Kidd"/>
        <s v="Iman Shumpert"/>
        <s v="Elfrid Payton"/>
        <s v="Frank Ntilikina"/>
        <s v="RJ Barrett"/>
        <s v="Toney Douglas"/>
        <s v="Shane Larkin"/>
        <s v="Alec Burks"/>
        <s v="Tim Hardaway Jr."/>
        <s v="Allan Houston"/>
        <s v="Donte DiVincenzo"/>
        <s v="Jalen Rose"/>
        <s v="Amar'e Stoudemire"/>
        <s v="Landry Fields"/>
        <s v="Isaiah Hartenstein"/>
        <s v="Fred Jones"/>
        <s v="Courtney Lee"/>
        <s v="Jerian Grant"/>
        <s v="Anthony Carter"/>
        <s v="Joakim Noah"/>
        <s v="Quentin Richardson"/>
        <s v="Frank Williams"/>
        <s v="Evan Fournier"/>
        <s v="Wilson Chandler"/>
        <s v="Quentin Grimes"/>
        <s v="Ramon Sessions"/>
        <s v="Ron Baker"/>
        <s v="Eddie House"/>
        <s v="Kyle O'Quinn"/>
        <s v="Mike Bibby"/>
        <s v="Zach Randolph"/>
        <s v="Arron Afflalo"/>
        <s v="Moochie Norris"/>
        <s v="Kurt Thomas"/>
        <s v="Earl Barron"/>
        <s v="Austin Rivers"/>
        <s v="Anfernee Hardaway"/>
        <s v="Larry Johnson"/>
        <s v="Mardy Collins"/>
        <s v="Keith Van Horn"/>
        <s v="Danilo Gallinari"/>
        <s v="Jason Smith"/>
        <s v="Miles McBride"/>
        <s v="Michael Beasley"/>
        <s v="Jared Jeffries"/>
        <s v="Andrea Bargnani"/>
        <s v="Lou Amundson"/>
        <s v="Kenyon Martin"/>
        <s v="Chasson Randle"/>
        <s v="Tim Thomas"/>
        <s v="Al Harrington"/>
        <s v="Shandon Anderson"/>
        <s v="Reggie Bullock Jr."/>
        <s v="OG Anunoby"/>
        <s v="Ricky Ledo"/>
        <s v="Enes Freedom"/>
        <s v="Kristaps Porzingis"/>
        <s v="Ronny Turiaf"/>
        <s v="Robin Lopez"/>
        <s v="Sasha Vujacic"/>
        <s v="Henry Walker"/>
        <s v="Willy Hernangomez"/>
        <s v="Luke Kornet"/>
        <s v="Trevor Ariza"/>
        <s v="Justin Holiday"/>
        <s v="Cole Aldrich"/>
        <s v="Lance Thomas"/>
        <s v="Glen Rice"/>
        <s v="Jermaine Jackson"/>
        <s v="Marcus Camby"/>
        <s v="Antonio McDyess"/>
        <s v="Precious Achiuwa"/>
        <s v="Tyson Chandler"/>
        <s v="Clar. Weatherspoon"/>
        <s v="Obi Toppin"/>
        <s v="Erick Strickland"/>
        <s v="Mindaugas Kuzminskas"/>
        <s v="Cam Reddish"/>
        <s v="Quincy Acy"/>
        <s v="Matt Barnes"/>
        <s v="Dennis Smith Jr."/>
        <s v="Malik Rose"/>
        <s v="Bruno Sundov"/>
        <s v="Kevin Seraphin"/>
        <s v="Toure' Murry"/>
        <s v="Qyntel Woods"/>
        <s v="Derrick Williams"/>
        <s v="Channing Frye"/>
        <s v="Cleanthony Early"/>
        <s v="Nerlens Noel"/>
        <s v="Doug McDermott"/>
        <s v="Samuel Dalembert"/>
        <s v="Mitchell Robinson"/>
        <s v="Bojan Bogdanovic"/>
        <s v="Isaiah Hicks"/>
        <s v="Troy Williams"/>
        <s v="Ronnie Brewer"/>
        <s v="Eddy Curry"/>
        <s v="Othella Harrington"/>
        <s v="Anthony Roberson"/>
        <s v="Taj Gibson"/>
        <s v="Maurice Taylor"/>
        <s v="Travis Wear"/>
        <s v="Roger Mason Jr."/>
        <s v="Shelden Williams"/>
        <s v="Ime Udoka"/>
        <s v="Shawne Williams"/>
        <s v="Vin Baker"/>
        <s v="Damyean Dotson"/>
        <s v="Lee Nailon"/>
        <s v="Shake Milton"/>
        <s v="Jamison Brewer"/>
        <s v="Michael Doleac"/>
        <s v="Renaldo Balkman"/>
        <s v="Jonathan Bender"/>
        <s v="J.R. Giddens"/>
        <s v="Andy Rautins"/>
        <s v="Nazr Mohammed"/>
        <s v="Metta World Peace"/>
        <s v="Michael Sweetney"/>
        <s v="Chris Wilcox"/>
        <s v="Jericho Sims"/>
        <s v="DerMarr Johnson"/>
        <s v="Jerome Williams"/>
        <s v="James White"/>
        <s v="Joe Crawford"/>
        <s v="Derrick Brown"/>
        <s v="Darko Milicic"/>
        <s v="Feron Hunt"/>
        <s v="Chris Copeland"/>
        <s v="Marshall Plumlee"/>
        <s v="Rick Brunson"/>
        <s v="Jackie Butler"/>
        <s v="Kevin Knox II"/>
        <s v="Timofey Mozgov"/>
        <s v="Travis Knight"/>
        <s v="Steve Novak"/>
        <s v="Malachi Flynn"/>
        <s v="Anthony Randolph"/>
        <s v="Ryan Arcidiacono"/>
        <s v="Antonio Davis"/>
        <s v="Dikembe Mutombo"/>
        <s v="Wayne Selden"/>
        <s v="Jacob Toppin"/>
        <s v="Dylan Windler"/>
        <s v="Josh Harrellson"/>
        <s v="DaQuan Jeffries"/>
        <s v="Jordan Hill"/>
        <s v="Rasheed Wallace"/>
        <s v="Luc Longley"/>
        <s v="Jerome James"/>
        <s v="Lavor Postell"/>
        <s v="Maurice Ndour"/>
        <s v="Ignas Brazdeikis"/>
        <s v="Earl Clark"/>
        <s v="Shannon Brown"/>
        <s v="Randolph Morris"/>
        <s v="Jeremy Tyler"/>
        <s v="Jerome Jordan"/>
        <s v="Jared Harper"/>
        <s v="Felton Spencer"/>
        <s v="Norvel Pelle"/>
        <s v="Svi Mykhailiuk"/>
        <s v="Theo Pinson"/>
        <s v="Courtney Sims"/>
        <s v="Jimmer Fredette"/>
        <s v="Mouhamed Sene"/>
        <s v="Thanasis Antetokounmpo"/>
        <s v="Marcus Landry"/>
        <s v="Demetris Nichols"/>
        <s v="Larry Robinson"/>
        <s v="Kelvin Cato"/>
        <s v="Trevor Keels"/>
        <s v="Charlie Brown Jr."/>
        <s v="Cezary Trybanski"/>
        <s v="Chris Smith"/>
        <s v="Tyler Hall"/>
        <s v="Mamadi Diakite"/>
        <s v="Dmytro Skapintsev"/>
        <s v="Dan Gadzuric"/>
        <s v="Matt Mooney"/>
        <s v="Danuel House Jr."/>
        <s v="Cheikh Samb"/>
        <s v="Solomon Jones"/>
      </sharedItems>
    </cacheField>
    <cacheField name="SEA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9">
  <r>
    <s v="Marcus Camby"/>
    <x v="0"/>
    <x v="0"/>
    <n v="27"/>
    <n v="270"/>
    <n v="63"/>
    <n v="21270"/>
    <n v="1117"/>
    <n v="17.730158730158731"/>
    <n v="304"/>
    <n v="580"/>
    <n v="0.52413793103448281"/>
    <n v="10"/>
    <n v="80"/>
    <n v="0.125"/>
    <n v="150"/>
    <n v="225"/>
    <n v="0.66666666666666663"/>
    <n v="196"/>
    <n v="527"/>
    <n v="723"/>
    <n v="1960"/>
    <n v="5270"/>
    <n v="7230"/>
    <n v="11.476190476190476"/>
    <n v="52"/>
    <n v="0.82539682539682535"/>
    <n v="66"/>
    <n v="660"/>
    <n v="1.0476190476190477"/>
    <n v="1360"/>
    <n v="136"/>
    <n v="2.1587301587301586"/>
    <n v="630"/>
    <x v="0"/>
    <n v="63"/>
    <n v="1"/>
    <n v="205"/>
    <n v="3.253968253968254"/>
    <n v="759"/>
    <n v="12.047619047619047"/>
  </r>
  <r>
    <s v="Latrell Sprewell"/>
    <x v="0"/>
    <x v="1"/>
    <n v="30"/>
    <n v="300"/>
    <n v="77"/>
    <n v="30130"/>
    <n v="966"/>
    <n v="12.545454545454545"/>
    <n v="524"/>
    <n v="1219"/>
    <n v="0.42986054142739949"/>
    <n v="410"/>
    <n v="1350"/>
    <n v="0.3037037037037037"/>
    <n v="275"/>
    <n v="351"/>
    <n v="0.7834757834757835"/>
    <n v="49"/>
    <n v="298"/>
    <n v="347"/>
    <n v="490"/>
    <n v="2980"/>
    <n v="3470"/>
    <n v="4.5064935064935066"/>
    <n v="269"/>
    <n v="3.4935064935064934"/>
    <n v="106"/>
    <n v="1060"/>
    <n v="1.3766233766233766"/>
    <n v="280"/>
    <n v="28"/>
    <n v="0.36363636363636365"/>
    <n v="2180"/>
    <x v="1"/>
    <n v="218"/>
    <n v="2.831168831168831"/>
    <n v="159"/>
    <n v="2.0649350649350651"/>
    <n v="1364"/>
    <n v="17.714285714285715"/>
  </r>
  <r>
    <s v="Allan Houston"/>
    <x v="0"/>
    <x v="2"/>
    <n v="30"/>
    <n v="300"/>
    <n v="78"/>
    <n v="28580"/>
    <n v="932"/>
    <n v="11.948717948717949"/>
    <n v="542"/>
    <n v="1208"/>
    <n v="0.44867549668874174"/>
    <n v="960"/>
    <n v="2520"/>
    <n v="0.38095238095238093"/>
    <n v="279"/>
    <n v="307"/>
    <n v="0.90879478827361559"/>
    <n v="20"/>
    <n v="263"/>
    <n v="283"/>
    <n v="200"/>
    <n v="2630"/>
    <n v="2830"/>
    <n v="3.6282051282051282"/>
    <n v="173"/>
    <n v="2.2179487179487181"/>
    <n v="52"/>
    <n v="520"/>
    <n v="0.66666666666666663"/>
    <n v="100"/>
    <n v="10"/>
    <n v="0.12820512820512819"/>
    <n v="1610"/>
    <x v="2"/>
    <n v="161"/>
    <n v="2.0641025641025643"/>
    <n v="190"/>
    <n v="2.4358974358974357"/>
    <n v="1459"/>
    <n v="18.705128205128204"/>
  </r>
  <r>
    <s v="Kurt Thomas"/>
    <x v="0"/>
    <x v="3"/>
    <n v="28"/>
    <n v="280"/>
    <n v="77"/>
    <n v="21280"/>
    <n v="783"/>
    <n v="10.168831168831169"/>
    <n v="314"/>
    <n v="614"/>
    <n v="511"/>
    <n v="10"/>
    <n v="30"/>
    <n v="0.33333333333333331"/>
    <n v="171"/>
    <n v="210"/>
    <n v="0.81428571428571428"/>
    <n v="172"/>
    <n v="343"/>
    <n v="515"/>
    <n v="1720"/>
    <n v="3430"/>
    <n v="5150"/>
    <n v="6.6883116883116882"/>
    <n v="63"/>
    <n v="0.81818181818181823"/>
    <n v="61"/>
    <n v="610"/>
    <n v="0.79220779220779225"/>
    <n v="690"/>
    <n v="69"/>
    <n v="0.89610389610389607"/>
    <n v="990"/>
    <x v="3"/>
    <n v="99"/>
    <n v="1.2857142857142858"/>
    <n v="287"/>
    <n v="3.7272727272727271"/>
    <n v="800"/>
    <n v="10.38961038961039"/>
  </r>
  <r>
    <s v="Mark Jackson"/>
    <x v="0"/>
    <x v="4"/>
    <n v="36"/>
    <n v="360"/>
    <n v="29"/>
    <n v="7860"/>
    <n v="246"/>
    <n v="8.4827586206896548"/>
    <n v="74"/>
    <n v="180"/>
    <n v="411"/>
    <n v="130"/>
    <n v="420"/>
    <n v="0.30952380952380953"/>
    <n v="9"/>
    <n v="17"/>
    <n v="0.52941176470588236"/>
    <n v="21"/>
    <n v="99"/>
    <n v="120"/>
    <n v="210"/>
    <n v="990"/>
    <n v="1200"/>
    <n v="4.1379310344827589"/>
    <n v="163"/>
    <n v="5.6206896551724137"/>
    <n v="21"/>
    <n v="210"/>
    <n v="0.72413793103448276"/>
    <n v="0"/>
    <n v="0"/>
    <n v="0"/>
    <n v="580"/>
    <x v="4"/>
    <n v="58"/>
    <n v="2"/>
    <n v="56"/>
    <n v="1.9310344827586208"/>
    <n v="170"/>
    <n v="5.8620689655172411"/>
  </r>
  <r>
    <s v="Glen Rice"/>
    <x v="0"/>
    <x v="5"/>
    <n v="34"/>
    <n v="340"/>
    <n v="75"/>
    <n v="22120"/>
    <n v="626"/>
    <n v="8.3466666666666658"/>
    <n v="331"/>
    <n v="752"/>
    <n v="0.44015957446808512"/>
    <n v="820"/>
    <n v="2110"/>
    <n v="0.38862559241706163"/>
    <n v="155"/>
    <n v="182"/>
    <n v="0.85164835164835162"/>
    <n v="61"/>
    <n v="246"/>
    <n v="307"/>
    <n v="610"/>
    <n v="2460"/>
    <n v="3070"/>
    <n v="4.0933333333333337"/>
    <n v="89"/>
    <n v="1.1866666666666668"/>
    <n v="41"/>
    <n v="410"/>
    <n v="0.54666666666666663"/>
    <n v="130"/>
    <n v="13"/>
    <n v="0.17333333333333334"/>
    <n v="960"/>
    <x v="5"/>
    <n v="96"/>
    <n v="1.28"/>
    <n v="179"/>
    <n v="2.3866666666666667"/>
    <n v="899"/>
    <n v="11.986666666666666"/>
  </r>
  <r>
    <s v="Larry Johnson"/>
    <x v="0"/>
    <x v="6"/>
    <n v="32"/>
    <n v="320"/>
    <n v="65"/>
    <n v="21080"/>
    <n v="519"/>
    <n v="7.9846153846153847"/>
    <n v="246"/>
    <n v="598"/>
    <n v="411"/>
    <n v="510"/>
    <n v="1630"/>
    <n v="0.31288343558282211"/>
    <n v="102"/>
    <n v="128"/>
    <n v="0.796875"/>
    <n v="90"/>
    <n v="273"/>
    <n v="363"/>
    <n v="900"/>
    <n v="2730"/>
    <n v="3630"/>
    <n v="5.5846153846153843"/>
    <n v="127"/>
    <n v="1.9538461538461538"/>
    <n v="39"/>
    <n v="390"/>
    <n v="0.6"/>
    <n v="290"/>
    <n v="29"/>
    <n v="0.44615384615384618"/>
    <n v="970"/>
    <x v="6"/>
    <n v="97"/>
    <n v="1.4923076923076923"/>
    <n v="209"/>
    <n v="3.2153846153846155"/>
    <n v="645"/>
    <n v="9.9230769230769234"/>
  </r>
  <r>
    <s v="Charlie Ward"/>
    <x v="0"/>
    <x v="7"/>
    <n v="30"/>
    <n v="300"/>
    <n v="61"/>
    <n v="14950"/>
    <n v="469"/>
    <n v="7.6885245901639347"/>
    <n v="155"/>
    <n v="373"/>
    <n v="416"/>
    <n v="670"/>
    <n v="1750"/>
    <n v="0.38285714285714284"/>
    <n v="56"/>
    <n v="70"/>
    <n v="0.8"/>
    <n v="32"/>
    <n v="127"/>
    <n v="159"/>
    <n v="320"/>
    <n v="1270"/>
    <n v="1590"/>
    <n v="2.6065573770491803"/>
    <n v="273"/>
    <n v="4.4754098360655741"/>
    <n v="70"/>
    <n v="700"/>
    <n v="1.1475409836065573"/>
    <n v="100"/>
    <n v="10"/>
    <n v="0.16393442622950818"/>
    <n v="1120"/>
    <x v="7"/>
    <n v="112"/>
    <n v="1.8360655737704918"/>
    <n v="132"/>
    <n v="2.1639344262295084"/>
    <n v="433"/>
    <n v="7.0983606557377046"/>
  </r>
  <r>
    <s v="Chris Childs"/>
    <x v="0"/>
    <x v="8"/>
    <n v="33"/>
    <n v="330"/>
    <n v="51"/>
    <n v="13060"/>
    <n v="269"/>
    <n v="5.2745098039215685"/>
    <n v="93"/>
    <n v="222"/>
    <n v="419"/>
    <n v="200"/>
    <n v="640"/>
    <n v="0.3125"/>
    <n v="39"/>
    <n v="46"/>
    <n v="0.84782608695652173"/>
    <n v="14"/>
    <n v="124"/>
    <n v="138"/>
    <n v="140"/>
    <n v="1240"/>
    <n v="1380"/>
    <n v="2.7058823529411766"/>
    <n v="236"/>
    <n v="4.6274509803921573"/>
    <n v="37"/>
    <n v="370"/>
    <n v="0.72549019607843135"/>
    <n v="70"/>
    <n v="7"/>
    <n v="0.13725490196078433"/>
    <n v="980"/>
    <x v="8"/>
    <n v="98"/>
    <n v="1.9215686274509804"/>
    <n v="160"/>
    <n v="3.1372549019607843"/>
    <n v="245"/>
    <n v="4.8039215686274508"/>
  </r>
  <r>
    <s v="Othella Harrington"/>
    <x v="0"/>
    <x v="9"/>
    <n v="27"/>
    <n v="270"/>
    <n v="30"/>
    <n v="5480"/>
    <n v="123"/>
    <n v="4.0999999999999996"/>
    <n v="67"/>
    <n v="121"/>
    <n v="0.55371900826446285"/>
    <n v="0"/>
    <n v="0"/>
    <e v="#DIV/0!"/>
    <n v="51"/>
    <n v="70"/>
    <n v="0.72857142857142854"/>
    <n v="37"/>
    <n v="62"/>
    <n v="99"/>
    <n v="370"/>
    <n v="620"/>
    <n v="990"/>
    <n v="3.3"/>
    <n v="20"/>
    <n v="0.66666666666666663"/>
    <n v="15"/>
    <n v="150"/>
    <n v="0.5"/>
    <n v="190"/>
    <n v="19"/>
    <n v="0.6333333333333333"/>
    <n v="410"/>
    <x v="9"/>
    <n v="41"/>
    <n v="1.3666666666666667"/>
    <n v="101"/>
    <n v="3.3666666666666667"/>
    <n v="185"/>
    <n v="6.166666666666667"/>
  </r>
  <r>
    <s v="Erick Strickland"/>
    <x v="0"/>
    <x v="10"/>
    <n v="27"/>
    <n v="270"/>
    <n v="28"/>
    <n v="4210"/>
    <n v="62"/>
    <n v="2.2142857142857144"/>
    <n v="40"/>
    <n v="131"/>
    <n v="305"/>
    <n v="160"/>
    <n v="470"/>
    <n v="0.34042553191489361"/>
    <n v="24"/>
    <n v="28"/>
    <n v="0.8571428571428571"/>
    <n v="9"/>
    <n v="43"/>
    <n v="52"/>
    <n v="90"/>
    <n v="430"/>
    <n v="520"/>
    <n v="1.8571428571428572"/>
    <n v="29"/>
    <n v="1.0357142857142858"/>
    <n v="22"/>
    <n v="220"/>
    <n v="0.7857142857142857"/>
    <n v="10"/>
    <n v="1"/>
    <n v="3.5714285714285712E-2"/>
    <n v="210"/>
    <x v="10"/>
    <n v="21"/>
    <n v="0.75"/>
    <n v="46"/>
    <n v="1.6428571428571428"/>
    <n v="120"/>
    <n v="4.2857142857142856"/>
  </r>
  <r>
    <s v="Felton Spencer"/>
    <x v="0"/>
    <x v="11"/>
    <n v="33"/>
    <n v="330"/>
    <n v="18"/>
    <n v="1120"/>
    <n v="27"/>
    <n v="1.5"/>
    <n v="12"/>
    <n v="20"/>
    <n v="6"/>
    <n v="0"/>
    <n v="0"/>
    <e v="#DIV/0!"/>
    <n v="15"/>
    <n v="25"/>
    <n v="0.6"/>
    <n v="16"/>
    <n v="19"/>
    <n v="35"/>
    <n v="160"/>
    <n v="190"/>
    <n v="350"/>
    <n v="1.9444444444444444"/>
    <n v="2"/>
    <n v="0.1111111111111111"/>
    <n v="2"/>
    <n v="20"/>
    <n v="0.1111111111111111"/>
    <n v="20"/>
    <n v="2"/>
    <n v="0.1111111111111111"/>
    <n v="110"/>
    <x v="11"/>
    <n v="11"/>
    <n v="0.61111111111111116"/>
    <n v="24"/>
    <n v="1.3333333333333333"/>
    <n v="39"/>
    <n v="2.1666666666666665"/>
  </r>
  <r>
    <s v="Rick Brunson"/>
    <x v="0"/>
    <x v="12"/>
    <n v="29"/>
    <n v="290"/>
    <n v="15"/>
    <n v="660"/>
    <n v="14"/>
    <n v="0.93333333333333335"/>
    <n v="8"/>
    <n v="19"/>
    <n v="0.42105263157894735"/>
    <n v="0"/>
    <n v="30"/>
    <n v="0"/>
    <n v="4"/>
    <n v="6"/>
    <n v="0.66666666666666663"/>
    <n v="3"/>
    <n v="9"/>
    <n v="12"/>
    <n v="30"/>
    <n v="90"/>
    <n v="120"/>
    <n v="0.8"/>
    <n v="7"/>
    <n v="0.46666666666666667"/>
    <n v="1"/>
    <n v="10"/>
    <n v="6.6666666666666666E-2"/>
    <n v="0"/>
    <n v="0"/>
    <n v="0"/>
    <n v="80"/>
    <x v="12"/>
    <n v="8"/>
    <n v="0.53333333333333333"/>
    <n v="5"/>
    <n v="0.33333333333333331"/>
    <n v="20"/>
    <n v="1.3333333333333333"/>
  </r>
  <r>
    <s v="Lavor Postell"/>
    <x v="0"/>
    <x v="13"/>
    <n v="23"/>
    <n v="230"/>
    <n v="26"/>
    <n v="1680"/>
    <n v="24"/>
    <n v="0.92307692307692313"/>
    <n v="17"/>
    <n v="54"/>
    <n v="0.31481481481481483"/>
    <n v="30"/>
    <n v="110"/>
    <n v="0.27272727272727271"/>
    <n v="22"/>
    <n v="27"/>
    <n v="0.81481481481481477"/>
    <n v="8"/>
    <n v="17"/>
    <n v="25"/>
    <n v="80"/>
    <n v="170"/>
    <n v="250"/>
    <n v="0.96153846153846156"/>
    <n v="5"/>
    <n v="0.19230769230769232"/>
    <n v="4"/>
    <n v="40"/>
    <n v="0.15384615384615385"/>
    <n v="20"/>
    <n v="2"/>
    <n v="7.6923076923076927E-2"/>
    <n v="170"/>
    <x v="13"/>
    <n v="17"/>
    <n v="0.65384615384615385"/>
    <n v="12"/>
    <n v="0.46153846153846156"/>
    <n v="59"/>
    <n v="2.2692307692307692"/>
  </r>
  <r>
    <s v="Luc Longley"/>
    <x v="0"/>
    <x v="14"/>
    <n v="32"/>
    <n v="320"/>
    <n v="25"/>
    <n v="2990"/>
    <n v="21"/>
    <n v="0.84"/>
    <n v="18"/>
    <n v="54"/>
    <n v="0.33333333333333331"/>
    <n v="0"/>
    <n v="0"/>
    <e v="#DIV/0!"/>
    <n v="13"/>
    <n v="17"/>
    <n v="0.76470588235294112"/>
    <n v="26"/>
    <n v="40"/>
    <n v="66"/>
    <n v="260"/>
    <n v="400"/>
    <n v="660"/>
    <n v="2.64"/>
    <n v="7"/>
    <n v="0.28000000000000003"/>
    <n v="3"/>
    <n v="30"/>
    <n v="0.12"/>
    <n v="90"/>
    <n v="9"/>
    <n v="0.36"/>
    <n v="220"/>
    <x v="14"/>
    <n v="22"/>
    <n v="0.88"/>
    <n v="51"/>
    <n v="2.04"/>
    <n v="49"/>
    <n v="1.96"/>
  </r>
  <r>
    <s v="Travis Knight"/>
    <x v="0"/>
    <x v="15"/>
    <n v="26"/>
    <n v="260"/>
    <n v="45"/>
    <n v="2550"/>
    <n v="-6"/>
    <n v="-0.13333333333333333"/>
    <n v="10"/>
    <n v="53"/>
    <n v="0.18867924528301888"/>
    <n v="0"/>
    <n v="10"/>
    <n v="0"/>
    <n v="9"/>
    <n v="18"/>
    <n v="0.5"/>
    <n v="19"/>
    <n v="34"/>
    <n v="53"/>
    <n v="190"/>
    <n v="340"/>
    <n v="530"/>
    <n v="1.1777777777777778"/>
    <n v="5"/>
    <n v="0.1111111111111111"/>
    <n v="5"/>
    <n v="50"/>
    <n v="0.1111111111111111"/>
    <n v="110"/>
    <n v="11"/>
    <n v="0.24444444444444444"/>
    <n v="100"/>
    <x v="15"/>
    <n v="10"/>
    <n v="0.22222222222222221"/>
    <n v="47"/>
    <n v="1.0444444444444445"/>
    <n v="29"/>
    <n v="0.64444444444444449"/>
  </r>
  <r>
    <s v="Marcus Camby"/>
    <x v="1"/>
    <x v="16"/>
    <n v="28"/>
    <n v="280"/>
    <n v="29"/>
    <n v="10070"/>
    <n v="415"/>
    <n v="14.310344827586206"/>
    <n v="130"/>
    <n v="290"/>
    <n v="0.44827586206896552"/>
    <n v="0"/>
    <n v="10"/>
    <n v="0"/>
    <n v="62"/>
    <n v="99"/>
    <n v="0.6262626262626263"/>
    <n v="89"/>
    <n v="233"/>
    <n v="322"/>
    <n v="890"/>
    <n v="2330"/>
    <n v="3220"/>
    <n v="11.103448275862069"/>
    <n v="33"/>
    <n v="1.1379310344827587"/>
    <n v="34"/>
    <n v="340"/>
    <n v="1.1724137931034482"/>
    <n v="500"/>
    <n v="50"/>
    <n v="1.7241379310344827"/>
    <n v="420"/>
    <x v="16"/>
    <n v="42"/>
    <n v="1.4482758620689655"/>
    <n v="107"/>
    <n v="3.6896551724137931"/>
    <n v="322"/>
    <n v="11.103448275862069"/>
  </r>
  <r>
    <s v="Kurt Thomas"/>
    <x v="1"/>
    <x v="17"/>
    <n v="29"/>
    <n v="290"/>
    <n v="82"/>
    <n v="27690"/>
    <n v="1109"/>
    <n v="13.524390243902438"/>
    <n v="463"/>
    <n v="938"/>
    <n v="494"/>
    <n v="10"/>
    <n v="60"/>
    <n v="0.16666666666666666"/>
    <n v="216"/>
    <n v="265"/>
    <n v="0.81509433962264155"/>
    <n v="214"/>
    <n v="533"/>
    <n v="747"/>
    <n v="2140"/>
    <n v="5330"/>
    <n v="7470"/>
    <n v="9.1097560975609753"/>
    <n v="87"/>
    <n v="1.0609756097560976"/>
    <n v="71"/>
    <n v="710"/>
    <n v="0.86585365853658536"/>
    <n v="790"/>
    <n v="79"/>
    <n v="0.96341463414634143"/>
    <n v="1530"/>
    <x v="17"/>
    <n v="153"/>
    <n v="1.8658536585365855"/>
    <n v="341"/>
    <n v="4.1585365853658534"/>
    <n v="1143"/>
    <n v="13.939024390243903"/>
  </r>
  <r>
    <s v="Latrell Sprewell"/>
    <x v="1"/>
    <x v="18"/>
    <n v="31"/>
    <n v="310"/>
    <n v="81"/>
    <n v="33280"/>
    <n v="1002"/>
    <n v="12.37037037037037"/>
    <n v="573"/>
    <n v="1419"/>
    <n v="0.40380549682875266"/>
    <n v="1450"/>
    <n v="4030"/>
    <n v="0.35980148883374691"/>
    <n v="284"/>
    <n v="346"/>
    <n v="0.82080924855491333"/>
    <n v="59"/>
    <n v="239"/>
    <n v="298"/>
    <n v="590"/>
    <n v="2390"/>
    <n v="2980"/>
    <n v="3.6790123456790123"/>
    <n v="313"/>
    <n v="3.8641975308641974"/>
    <n v="94"/>
    <n v="940"/>
    <n v="1.1604938271604939"/>
    <n v="140"/>
    <n v="14"/>
    <n v="0.1728395061728395"/>
    <n v="2230"/>
    <x v="18"/>
    <n v="223"/>
    <n v="2.7530864197530862"/>
    <n v="161"/>
    <n v="1.9876543209876543"/>
    <n v="1575"/>
    <n v="19.444444444444443"/>
  </r>
  <r>
    <s v="Mark Jackson"/>
    <x v="1"/>
    <x v="19"/>
    <n v="37"/>
    <n v="370"/>
    <n v="82"/>
    <n v="23670"/>
    <n v="1008"/>
    <n v="12.292682926829269"/>
    <n v="260"/>
    <n v="592"/>
    <n v="439"/>
    <n v="790"/>
    <n v="1950"/>
    <n v="0.40512820512820513"/>
    <n v="87"/>
    <n v="110"/>
    <n v="0.79090909090909089"/>
    <n v="56"/>
    <n v="253"/>
    <n v="309"/>
    <n v="560"/>
    <n v="2530"/>
    <n v="3090"/>
    <n v="3.7682926829268291"/>
    <n v="605"/>
    <n v="7.3780487804878048"/>
    <n v="74"/>
    <n v="740"/>
    <n v="0.90243902439024393"/>
    <n v="10"/>
    <n v="1"/>
    <n v="1.2195121951219513E-2"/>
    <n v="1500"/>
    <x v="19"/>
    <n v="150"/>
    <n v="1.8292682926829269"/>
    <n v="162"/>
    <n v="1.975609756097561"/>
    <n v="686"/>
    <n v="8.3658536585365848"/>
  </r>
  <r>
    <s v="Allan Houston"/>
    <x v="1"/>
    <x v="20"/>
    <n v="31"/>
    <n v="310"/>
    <n v="77"/>
    <n v="29150"/>
    <n v="944"/>
    <n v="12.25974025974026"/>
    <n v="568"/>
    <n v="1301"/>
    <n v="0.43658724058416604"/>
    <n v="1360"/>
    <n v="3460"/>
    <n v="0.39306358381502893"/>
    <n v="295"/>
    <n v="339"/>
    <n v="0.87020648967551617"/>
    <n v="37"/>
    <n v="215"/>
    <n v="252"/>
    <n v="370"/>
    <n v="2150"/>
    <n v="2520"/>
    <n v="3.2727272727272729"/>
    <n v="190"/>
    <n v="2.4675324675324677"/>
    <n v="54"/>
    <n v="540"/>
    <n v="0.70129870129870131"/>
    <n v="100"/>
    <n v="10"/>
    <n v="0.12987012987012986"/>
    <n v="1700"/>
    <x v="20"/>
    <n v="170"/>
    <n v="2.2077922077922079"/>
    <n v="182"/>
    <n v="2.3636363636363638"/>
    <n v="1567"/>
    <n v="20.350649350649352"/>
  </r>
  <r>
    <s v="Clar. Weatherspoon"/>
    <x v="1"/>
    <x v="21"/>
    <n v="31"/>
    <n v="310"/>
    <n v="56"/>
    <n v="17260"/>
    <n v="627"/>
    <n v="11.196428571428571"/>
    <n v="189"/>
    <n v="452"/>
    <n v="418"/>
    <n v="0"/>
    <n v="0"/>
    <e v="#DIV/0!"/>
    <n v="116"/>
    <n v="146"/>
    <n v="0.79452054794520544"/>
    <n v="149"/>
    <n v="311"/>
    <n v="460"/>
    <n v="1490"/>
    <n v="3110"/>
    <n v="4600"/>
    <n v="8.2142857142857135"/>
    <n v="60"/>
    <n v="1.0714285714285714"/>
    <n v="37"/>
    <n v="370"/>
    <n v="0.6607142857142857"/>
    <n v="480"/>
    <n v="48"/>
    <n v="0.8571428571428571"/>
    <n v="470"/>
    <x v="21"/>
    <n v="47"/>
    <n v="0.8392857142857143"/>
    <n v="132"/>
    <n v="2.3571428571428572"/>
    <n v="494"/>
    <n v="8.8214285714285712"/>
  </r>
  <r>
    <s v="Charlie Ward"/>
    <x v="1"/>
    <x v="22"/>
    <n v="31"/>
    <n v="310"/>
    <n v="63"/>
    <n v="10580"/>
    <n v="362"/>
    <n v="5.746031746031746"/>
    <n v="113"/>
    <n v="303"/>
    <n v="373"/>
    <n v="530"/>
    <n v="1640"/>
    <n v="0.32317073170731708"/>
    <n v="47"/>
    <n v="58"/>
    <n v="0.81034482758620685"/>
    <n v="15"/>
    <n v="112"/>
    <n v="127"/>
    <n v="150"/>
    <n v="1120"/>
    <n v="1270"/>
    <n v="2.0158730158730158"/>
    <n v="203"/>
    <n v="3.2222222222222223"/>
    <n v="68"/>
    <n v="680"/>
    <n v="1.0793650793650793"/>
    <n v="140"/>
    <n v="14"/>
    <n v="0.22222222222222221"/>
    <n v="750"/>
    <x v="22"/>
    <n v="75"/>
    <n v="1.1904761904761905"/>
    <n v="100"/>
    <n v="1.5873015873015872"/>
    <n v="326"/>
    <n v="5.1746031746031749"/>
  </r>
  <r>
    <s v="Othella Harrington"/>
    <x v="1"/>
    <x v="23"/>
    <n v="28"/>
    <n v="280"/>
    <n v="77"/>
    <n v="15640"/>
    <n v="440"/>
    <n v="5.7142857142857144"/>
    <n v="237"/>
    <n v="450"/>
    <n v="0.52666666666666662"/>
    <n v="0"/>
    <n v="20"/>
    <n v="0"/>
    <n v="122"/>
    <n v="172"/>
    <n v="0.70930232558139539"/>
    <n v="125"/>
    <n v="224"/>
    <n v="349"/>
    <n v="1250"/>
    <n v="2240"/>
    <n v="3490"/>
    <n v="4.5324675324675328"/>
    <n v="37"/>
    <n v="0.48051948051948051"/>
    <n v="30"/>
    <n v="300"/>
    <n v="0.38961038961038963"/>
    <n v="360"/>
    <n v="36"/>
    <n v="0.46753246753246752"/>
    <n v="950"/>
    <x v="23"/>
    <n v="95"/>
    <n v="1.2337662337662338"/>
    <n v="250"/>
    <n v="3.2467532467532467"/>
    <n v="596"/>
    <n v="7.7402597402597406"/>
  </r>
  <r>
    <s v="Shandon Anderson"/>
    <x v="1"/>
    <x v="24"/>
    <n v="28"/>
    <n v="280"/>
    <n v="82"/>
    <n v="15960"/>
    <n v="311"/>
    <n v="3.7926829268292681"/>
    <n v="149"/>
    <n v="373"/>
    <n v="0.39946380697050937"/>
    <n v="390"/>
    <n v="1410"/>
    <n v="0.27659574468085107"/>
    <n v="74"/>
    <n v="107"/>
    <n v="0.69158878504672894"/>
    <n v="57"/>
    <n v="192"/>
    <n v="249"/>
    <n v="570"/>
    <n v="1920"/>
    <n v="2490"/>
    <n v="3.0365853658536586"/>
    <n v="76"/>
    <n v="0.92682926829268297"/>
    <n v="48"/>
    <n v="480"/>
    <n v="0.58536585365853655"/>
    <n v="150"/>
    <n v="15"/>
    <n v="0.18292682926829268"/>
    <n v="970"/>
    <x v="24"/>
    <n v="97"/>
    <n v="1.1829268292682926"/>
    <n v="134"/>
    <n v="1.6341463414634145"/>
    <n v="411"/>
    <n v="5.0121951219512191"/>
  </r>
  <r>
    <s v="Howard Eisley"/>
    <x v="1"/>
    <x v="25"/>
    <n v="29"/>
    <n v="290"/>
    <n v="39"/>
    <n v="6100"/>
    <n v="113"/>
    <n v="2.8974358974358974"/>
    <n v="59"/>
    <n v="175"/>
    <n v="0.33714285714285713"/>
    <n v="140"/>
    <n v="580"/>
    <n v="0.2413793103448276"/>
    <n v="39"/>
    <n v="49"/>
    <n v="0.79591836734693877"/>
    <n v="9"/>
    <n v="40"/>
    <n v="49"/>
    <n v="90"/>
    <n v="400"/>
    <n v="490"/>
    <n v="1.2564102564102564"/>
    <n v="100"/>
    <n v="2.5641025641025643"/>
    <n v="24"/>
    <n v="240"/>
    <n v="0.61538461538461542"/>
    <n v="30"/>
    <n v="3"/>
    <n v="7.6923076923076927E-2"/>
    <n v="530"/>
    <x v="25"/>
    <n v="53"/>
    <n v="1.358974358974359"/>
    <n v="55"/>
    <n v="1.4102564102564104"/>
    <n v="171"/>
    <n v="4.384615384615385"/>
  </r>
  <r>
    <s v="Lavor Postell"/>
    <x v="1"/>
    <x v="26"/>
    <n v="24"/>
    <n v="240"/>
    <n v="23"/>
    <n v="1780"/>
    <n v="36"/>
    <n v="1.5652173913043479"/>
    <n v="28"/>
    <n v="84"/>
    <n v="0.33333333333333331"/>
    <n v="60"/>
    <n v="260"/>
    <n v="0.23076923076923078"/>
    <n v="31"/>
    <n v="41"/>
    <n v="0.75609756097560976"/>
    <n v="2"/>
    <n v="14"/>
    <n v="16"/>
    <n v="20"/>
    <n v="140"/>
    <n v="160"/>
    <n v="0.69565217391304346"/>
    <n v="5"/>
    <n v="0.21739130434782608"/>
    <n v="6"/>
    <n v="60"/>
    <n v="0.2608695652173913"/>
    <n v="0"/>
    <n v="0"/>
    <n v="0"/>
    <n v="110"/>
    <x v="26"/>
    <n v="11"/>
    <n v="0.47826086956521741"/>
    <n v="7"/>
    <n v="0.30434782608695654"/>
    <n v="93"/>
    <n v="4.0434782608695654"/>
  </r>
  <r>
    <s v="Travis Knight"/>
    <x v="1"/>
    <x v="27"/>
    <n v="27"/>
    <n v="270"/>
    <n v="49"/>
    <n v="4300"/>
    <n v="32"/>
    <n v="0.65306122448979587"/>
    <n v="41"/>
    <n v="113"/>
    <n v="0.36283185840707965"/>
    <n v="0"/>
    <n v="0"/>
    <e v="#DIV/0!"/>
    <n v="16"/>
    <n v="21"/>
    <n v="0.76190476190476186"/>
    <n v="48"/>
    <n v="56"/>
    <n v="104"/>
    <n v="480"/>
    <n v="560"/>
    <n v="1040"/>
    <n v="2.1224489795918369"/>
    <n v="8"/>
    <n v="0.16326530612244897"/>
    <n v="11"/>
    <n v="110"/>
    <n v="0.22448979591836735"/>
    <n v="100"/>
    <n v="10"/>
    <n v="0.20408163265306123"/>
    <n v="270"/>
    <x v="27"/>
    <n v="27"/>
    <n v="0.55102040816326525"/>
    <n v="95"/>
    <n v="1.9387755102040816"/>
    <n v="98"/>
    <n v="2"/>
  </r>
  <r>
    <s v="Larry Robinson"/>
    <x v="1"/>
    <x v="28"/>
    <n v="34"/>
    <n v="340"/>
    <n v="2"/>
    <n v="110"/>
    <n v="1"/>
    <n v="0.5"/>
    <n v="1"/>
    <n v="4"/>
    <n v="0.25"/>
    <n v="10"/>
    <n v="20"/>
    <n v="0.5"/>
    <n v="0"/>
    <n v="0"/>
    <e v="#DIV/0!"/>
    <n v="0"/>
    <n v="2"/>
    <n v="2"/>
    <n v="0"/>
    <n v="20"/>
    <n v="20"/>
    <n v="1"/>
    <n v="0"/>
    <n v="0"/>
    <n v="0"/>
    <n v="0"/>
    <n v="0"/>
    <n v="0"/>
    <n v="0"/>
    <n v="0"/>
    <n v="0"/>
    <x v="28"/>
    <n v="0"/>
    <n v="0"/>
    <n v="1"/>
    <n v="0.5"/>
    <n v="3"/>
    <n v="1.5"/>
  </r>
  <r>
    <s v="Felton Spencer"/>
    <x v="1"/>
    <x v="29"/>
    <n v="34"/>
    <n v="340"/>
    <n v="32"/>
    <n v="2480"/>
    <n v="-24"/>
    <n v="-0.75"/>
    <n v="6"/>
    <n v="26"/>
    <n v="231"/>
    <n v="0"/>
    <n v="0"/>
    <e v="#DIV/0!"/>
    <n v="17"/>
    <n v="33"/>
    <n v="0.51515151515151514"/>
    <n v="16"/>
    <n v="34"/>
    <n v="50"/>
    <n v="160"/>
    <n v="340"/>
    <n v="500"/>
    <n v="1.5625"/>
    <n v="3"/>
    <n v="9.375E-2"/>
    <n v="7"/>
    <n v="70"/>
    <n v="0.21875"/>
    <n v="80"/>
    <n v="8"/>
    <n v="0.25"/>
    <n v="120"/>
    <x v="29"/>
    <n v="12"/>
    <n v="0.375"/>
    <n v="73"/>
    <n v="2.28125"/>
    <n v="29"/>
    <n v="0.90625"/>
  </r>
  <r>
    <s v="Allan Houston"/>
    <x v="2"/>
    <x v="30"/>
    <n v="32"/>
    <n v="320"/>
    <n v="82"/>
    <n v="31100"/>
    <n v="1143"/>
    <n v="13.939024390243903"/>
    <n v="652"/>
    <n v="1465"/>
    <n v="0.44505119453924913"/>
    <n v="1780"/>
    <n v="4500"/>
    <n v="0.39555555555555555"/>
    <n v="363"/>
    <n v="395"/>
    <n v="0.91898734177215191"/>
    <n v="26"/>
    <n v="205"/>
    <n v="231"/>
    <n v="260"/>
    <n v="2050"/>
    <n v="2310"/>
    <n v="2.8170731707317072"/>
    <n v="220"/>
    <n v="2.6829268292682928"/>
    <n v="54"/>
    <n v="540"/>
    <n v="0.65853658536585369"/>
    <n v="70"/>
    <n v="7"/>
    <n v="8.5365853658536592E-2"/>
    <n v="1780"/>
    <x v="30"/>
    <n v="178"/>
    <n v="2.1707317073170733"/>
    <n v="191"/>
    <n v="2.3292682926829267"/>
    <n v="1845"/>
    <n v="22.5"/>
  </r>
  <r>
    <s v="Kurt Thomas"/>
    <x v="2"/>
    <x v="31"/>
    <n v="30"/>
    <n v="300"/>
    <n v="81"/>
    <n v="25750"/>
    <n v="1052"/>
    <n v="12.987654320987655"/>
    <n v="497"/>
    <n v="1028"/>
    <n v="483"/>
    <n v="20"/>
    <n v="30"/>
    <n v="0.66666666666666663"/>
    <n v="138"/>
    <n v="184"/>
    <n v="0.75"/>
    <n v="160"/>
    <n v="477"/>
    <n v="637"/>
    <n v="1600"/>
    <n v="4770"/>
    <n v="6370"/>
    <n v="7.8641975308641978"/>
    <n v="162"/>
    <n v="2"/>
    <n v="81"/>
    <n v="810"/>
    <n v="1"/>
    <n v="970"/>
    <n v="97"/>
    <n v="1.1975308641975309"/>
    <n v="1380"/>
    <x v="31"/>
    <n v="138"/>
    <n v="1.7037037037037037"/>
    <n v="344"/>
    <n v="4.2469135802469138"/>
    <n v="1134"/>
    <n v="14"/>
  </r>
  <r>
    <s v="Latrell Sprewell"/>
    <x v="2"/>
    <x v="32"/>
    <n v="32"/>
    <n v="320"/>
    <n v="74"/>
    <n v="28580"/>
    <n v="932"/>
    <n v="12.594594594594595"/>
    <n v="454"/>
    <n v="1127"/>
    <n v="0.4028393966282165"/>
    <n v="1340"/>
    <n v="3600"/>
    <n v="0.37222222222222223"/>
    <n v="173"/>
    <n v="218"/>
    <n v="0.79357798165137616"/>
    <n v="45"/>
    <n v="240"/>
    <n v="285"/>
    <n v="450"/>
    <n v="2400"/>
    <n v="2850"/>
    <n v="3.8513513513513513"/>
    <n v="332"/>
    <n v="4.4864864864864868"/>
    <n v="102"/>
    <n v="1020"/>
    <n v="1.3783783783783783"/>
    <n v="220"/>
    <n v="22"/>
    <n v="0.29729729729729731"/>
    <n v="1720"/>
    <x v="32"/>
    <n v="172"/>
    <n v="2.3243243243243241"/>
    <n v="134"/>
    <n v="1.8108108108108107"/>
    <n v="1215"/>
    <n v="16.418918918918919"/>
  </r>
  <r>
    <s v="Clar. Weatherspoon"/>
    <x v="2"/>
    <x v="33"/>
    <n v="32"/>
    <n v="320"/>
    <n v="79"/>
    <n v="20260"/>
    <n v="783"/>
    <n v="9.9113924050632907"/>
    <n v="186"/>
    <n v="414"/>
    <n v="449"/>
    <n v="0"/>
    <n v="0"/>
    <e v="#DIV/0!"/>
    <n v="149"/>
    <n v="194"/>
    <n v="0.76804123711340211"/>
    <n v="214"/>
    <n v="385"/>
    <n v="599"/>
    <n v="2140"/>
    <n v="3850"/>
    <n v="5990"/>
    <n v="7.5822784810126587"/>
    <n v="68"/>
    <n v="0.86075949367088611"/>
    <n v="69"/>
    <n v="690"/>
    <n v="0.87341772151898733"/>
    <n v="360"/>
    <n v="36"/>
    <n v="0.45569620253164556"/>
    <n v="630"/>
    <x v="33"/>
    <n v="63"/>
    <n v="0.79746835443037978"/>
    <n v="174"/>
    <n v="2.2025316455696204"/>
    <n v="521"/>
    <n v="6.5949367088607591"/>
  </r>
  <r>
    <s v="Howard Eisley"/>
    <x v="2"/>
    <x v="34"/>
    <n v="30"/>
    <n v="300"/>
    <n v="82"/>
    <n v="22430"/>
    <n v="701"/>
    <n v="8.5487804878048781"/>
    <n v="262"/>
    <n v="628"/>
    <n v="0.41719745222929938"/>
    <n v="1310"/>
    <n v="3370"/>
    <n v="0.38872403560830859"/>
    <n v="89"/>
    <n v="105"/>
    <n v="0.84761904761904761"/>
    <n v="24"/>
    <n v="162"/>
    <n v="186"/>
    <n v="240"/>
    <n v="1620"/>
    <n v="1860"/>
    <n v="2.2682926829268291"/>
    <n v="444"/>
    <n v="5.4146341463414638"/>
    <n v="71"/>
    <n v="710"/>
    <n v="0.86585365853658536"/>
    <n v="90"/>
    <n v="9"/>
    <n v="0.10975609756097561"/>
    <n v="1490"/>
    <x v="34"/>
    <n v="149"/>
    <n v="1.8170731707317074"/>
    <n v="222"/>
    <n v="2.7073170731707319"/>
    <n v="744"/>
    <n v="9.0731707317073162"/>
  </r>
  <r>
    <s v="Charlie Ward"/>
    <x v="2"/>
    <x v="35"/>
    <n v="32"/>
    <n v="320"/>
    <n v="66"/>
    <n v="14670"/>
    <n v="542"/>
    <n v="8.2121212121212128"/>
    <n v="165"/>
    <n v="414"/>
    <n v="399"/>
    <n v="1010"/>
    <n v="2670"/>
    <n v="0.37827715355805241"/>
    <n v="41"/>
    <n v="53"/>
    <n v="0.77358490566037741"/>
    <n v="25"/>
    <n v="152"/>
    <n v="177"/>
    <n v="250"/>
    <n v="1520"/>
    <n v="1770"/>
    <n v="2.6818181818181817"/>
    <n v="306"/>
    <n v="4.6363636363636367"/>
    <n v="78"/>
    <n v="780"/>
    <n v="1.1818181818181819"/>
    <n v="110"/>
    <n v="11"/>
    <n v="0.16666666666666666"/>
    <n v="950"/>
    <x v="35"/>
    <n v="95"/>
    <n v="1.4393939393939394"/>
    <n v="146"/>
    <n v="2.2121212121212119"/>
    <n v="472"/>
    <n v="7.1515151515151514"/>
  </r>
  <r>
    <s v="Othella Harrington"/>
    <x v="2"/>
    <x v="36"/>
    <n v="29"/>
    <n v="290"/>
    <n v="74"/>
    <n v="18460"/>
    <n v="580"/>
    <n v="7.8378378378378377"/>
    <n v="225"/>
    <n v="443"/>
    <n v="0.50790067720090293"/>
    <n v="0"/>
    <n v="0"/>
    <e v="#DIV/0!"/>
    <n v="123"/>
    <n v="150"/>
    <n v="0.82"/>
    <n v="165"/>
    <n v="311"/>
    <n v="476"/>
    <n v="1650"/>
    <n v="3110"/>
    <n v="4760"/>
    <n v="6.4324324324324325"/>
    <n v="62"/>
    <n v="0.83783783783783783"/>
    <n v="12"/>
    <n v="120"/>
    <n v="0.16216216216216217"/>
    <n v="230"/>
    <n v="23"/>
    <n v="0.3108108108108108"/>
    <n v="900"/>
    <x v="36"/>
    <n v="90"/>
    <n v="1.2162162162162162"/>
    <n v="231"/>
    <n v="3.1216216216216215"/>
    <n v="573"/>
    <n v="7.743243243243243"/>
  </r>
  <r>
    <s v="Shandon Anderson"/>
    <x v="2"/>
    <x v="37"/>
    <n v="29"/>
    <n v="290"/>
    <n v="82"/>
    <n v="17290"/>
    <n v="490"/>
    <n v="5.975609756097561"/>
    <n v="248"/>
    <n v="537"/>
    <n v="0.46182495344506519"/>
    <n v="520"/>
    <n v="1400"/>
    <n v="0.37142857142857144"/>
    <n v="139"/>
    <n v="190"/>
    <n v="0.73157894736842111"/>
    <n v="64"/>
    <n v="190"/>
    <n v="254"/>
    <n v="640"/>
    <n v="1900"/>
    <n v="2540"/>
    <n v="3.0975609756097562"/>
    <n v="87"/>
    <n v="1.0609756097560976"/>
    <n v="73"/>
    <n v="730"/>
    <n v="0.8902439024390244"/>
    <n v="200"/>
    <n v="20"/>
    <n v="0.24390243902439024"/>
    <n v="1140"/>
    <x v="37"/>
    <n v="114"/>
    <n v="1.3902439024390243"/>
    <n v="177"/>
    <n v="2.1585365853658538"/>
    <n v="687"/>
    <n v="8.3780487804878057"/>
  </r>
  <r>
    <s v="Lee Nailon"/>
    <x v="2"/>
    <x v="38"/>
    <n v="28"/>
    <n v="280"/>
    <n v="38"/>
    <n v="4060"/>
    <n v="122"/>
    <n v="3.2105263157894739"/>
    <n v="84"/>
    <n v="190"/>
    <n v="0.44210526315789472"/>
    <n v="0"/>
    <n v="10"/>
    <n v="0"/>
    <n v="42"/>
    <n v="51"/>
    <n v="0.82352941176470584"/>
    <n v="32"/>
    <n v="38"/>
    <n v="70"/>
    <n v="320"/>
    <n v="380"/>
    <n v="700"/>
    <n v="1.8421052631578947"/>
    <n v="26"/>
    <n v="0.68421052631578949"/>
    <n v="6"/>
    <n v="60"/>
    <n v="0.15789473684210525"/>
    <n v="30"/>
    <n v="3"/>
    <n v="7.8947368421052627E-2"/>
    <n v="320"/>
    <x v="38"/>
    <n v="32"/>
    <n v="0.84210526315789469"/>
    <n v="46"/>
    <n v="1.2105263157894737"/>
    <n v="210"/>
    <n v="5.5263157894736841"/>
  </r>
  <r>
    <s v="Michael Doleac"/>
    <x v="2"/>
    <x v="39"/>
    <n v="26"/>
    <n v="260"/>
    <n v="75"/>
    <n v="10400"/>
    <n v="215"/>
    <n v="2.8666666666666667"/>
    <n v="146"/>
    <n v="343"/>
    <n v="0.42565597667638483"/>
    <n v="0"/>
    <n v="0"/>
    <e v="#DIV/0!"/>
    <n v="36"/>
    <n v="46"/>
    <n v="0.78260869565217395"/>
    <n v="65"/>
    <n v="154"/>
    <n v="219"/>
    <n v="650"/>
    <n v="1540"/>
    <n v="2190"/>
    <n v="2.92"/>
    <n v="42"/>
    <n v="0.56000000000000005"/>
    <n v="16"/>
    <n v="160"/>
    <n v="0.21333333333333335"/>
    <n v="160"/>
    <n v="16"/>
    <n v="0.21333333333333335"/>
    <n v="490"/>
    <x v="39"/>
    <n v="49"/>
    <n v="0.65333333333333332"/>
    <n v="150"/>
    <n v="2"/>
    <n v="328"/>
    <n v="4.3733333333333331"/>
  </r>
  <r>
    <s v="Travis Knight"/>
    <x v="2"/>
    <x v="40"/>
    <n v="28"/>
    <n v="280"/>
    <n v="32"/>
    <n v="2870"/>
    <n v="56"/>
    <n v="1.75"/>
    <n v="25"/>
    <n v="65"/>
    <n v="0.38461538461538464"/>
    <n v="0"/>
    <n v="10"/>
    <n v="0"/>
    <n v="10"/>
    <n v="13"/>
    <n v="0.76923076923076927"/>
    <n v="18"/>
    <n v="44"/>
    <n v="62"/>
    <n v="180"/>
    <n v="440"/>
    <n v="620"/>
    <n v="1.9375"/>
    <n v="14"/>
    <n v="0.4375"/>
    <n v="8"/>
    <n v="80"/>
    <n v="0.25"/>
    <n v="90"/>
    <n v="9"/>
    <n v="0.28125"/>
    <n v="100"/>
    <x v="40"/>
    <n v="10"/>
    <n v="0.3125"/>
    <n v="44"/>
    <n v="1.375"/>
    <n v="60"/>
    <n v="1.875"/>
  </r>
  <r>
    <s v="Frank Williams"/>
    <x v="2"/>
    <x v="41"/>
    <n v="23"/>
    <n v="230"/>
    <n v="21"/>
    <n v="1670"/>
    <n v="26"/>
    <n v="1.2380952380952381"/>
    <n v="9"/>
    <n v="33"/>
    <n v="273"/>
    <n v="60"/>
    <n v="160"/>
    <n v="0.375"/>
    <n v="4"/>
    <n v="6"/>
    <n v="0.66666666666666663"/>
    <n v="3"/>
    <n v="15"/>
    <n v="18"/>
    <n v="30"/>
    <n v="150"/>
    <n v="180"/>
    <n v="0.8571428571428571"/>
    <n v="34"/>
    <n v="1.6190476190476191"/>
    <n v="7"/>
    <n v="70"/>
    <n v="0.33333333333333331"/>
    <n v="20"/>
    <n v="2"/>
    <n v="9.5238095238095233E-2"/>
    <n v="170"/>
    <x v="41"/>
    <n v="17"/>
    <n v="0.80952380952380953"/>
    <n v="20"/>
    <n v="0.95238095238095233"/>
    <n v="28"/>
    <n v="1.3333333333333333"/>
  </r>
  <r>
    <s v="Lavor Postell"/>
    <x v="2"/>
    <x v="42"/>
    <n v="25"/>
    <n v="250"/>
    <n v="12"/>
    <n v="990"/>
    <n v="10"/>
    <n v="0.83333333333333337"/>
    <n v="14"/>
    <n v="38"/>
    <n v="0.36842105263157893"/>
    <n v="20"/>
    <n v="70"/>
    <n v="0.2857142857142857"/>
    <n v="13"/>
    <n v="15"/>
    <n v="0.8666666666666667"/>
    <n v="1"/>
    <n v="3"/>
    <n v="4"/>
    <n v="10"/>
    <n v="30"/>
    <n v="40"/>
    <n v="0.33333333333333331"/>
    <n v="3"/>
    <n v="0.25"/>
    <n v="2"/>
    <n v="20"/>
    <n v="0.16666666666666666"/>
    <n v="0"/>
    <n v="0"/>
    <n v="0"/>
    <n v="70"/>
    <x v="42"/>
    <n v="7"/>
    <n v="0.58333333333333337"/>
    <n v="9"/>
    <n v="0.75"/>
    <n v="43"/>
    <n v="3.5833333333333335"/>
  </r>
  <r>
    <s v="Stephon Marbury"/>
    <x v="3"/>
    <x v="43"/>
    <n v="27"/>
    <n v="270"/>
    <n v="47"/>
    <n v="18390"/>
    <n v="848"/>
    <n v="18.042553191489361"/>
    <n v="336"/>
    <n v="780"/>
    <n v="0.43076923076923079"/>
    <n v="500"/>
    <n v="1560"/>
    <n v="0.32051282051282054"/>
    <n v="209"/>
    <n v="251"/>
    <n v="0.83266932270916338"/>
    <n v="39"/>
    <n v="107"/>
    <n v="146"/>
    <n v="390"/>
    <n v="1070"/>
    <n v="1460"/>
    <n v="3.1063829787234041"/>
    <n v="438"/>
    <n v="9.3191489361702136"/>
    <n v="65"/>
    <n v="650"/>
    <n v="1.3829787234042554"/>
    <n v="40"/>
    <n v="4"/>
    <n v="8.5106382978723402E-2"/>
    <n v="1520"/>
    <x v="43"/>
    <n v="152"/>
    <n v="3.2340425531914891"/>
    <n v="98"/>
    <n v="2.0851063829787235"/>
    <n v="931"/>
    <n v="19.808510638297872"/>
  </r>
  <r>
    <s v="Keith Van Horn"/>
    <x v="3"/>
    <x v="44"/>
    <n v="28"/>
    <n v="280"/>
    <n v="47"/>
    <n v="15780"/>
    <n v="619"/>
    <n v="13.170212765957446"/>
    <n v="273"/>
    <n v="613"/>
    <n v="445"/>
    <n v="600"/>
    <n v="1610"/>
    <n v="0.37267080745341613"/>
    <n v="163"/>
    <n v="199"/>
    <n v="0.81909547738693467"/>
    <n v="98"/>
    <n v="245"/>
    <n v="343"/>
    <n v="980"/>
    <n v="2450"/>
    <n v="3430"/>
    <n v="7.2978723404255321"/>
    <n v="83"/>
    <n v="1.7659574468085106"/>
    <n v="52"/>
    <n v="520"/>
    <n v="1.1063829787234043"/>
    <n v="180"/>
    <n v="18"/>
    <n v="0.38297872340425532"/>
    <n v="1190"/>
    <x v="44"/>
    <n v="119"/>
    <n v="2.5319148936170213"/>
    <n v="151"/>
    <n v="3.2127659574468086"/>
    <n v="769"/>
    <n v="16.361702127659573"/>
  </r>
  <r>
    <s v="Kurt Thomas"/>
    <x v="3"/>
    <x v="45"/>
    <n v="31"/>
    <n v="310"/>
    <n v="80"/>
    <n v="25490"/>
    <n v="949"/>
    <n v="11.862500000000001"/>
    <n v="392"/>
    <n v="829"/>
    <n v="473"/>
    <n v="0"/>
    <n v="30"/>
    <n v="0"/>
    <n v="106"/>
    <n v="127"/>
    <n v="0.83464566929133854"/>
    <n v="145"/>
    <n v="517"/>
    <n v="662"/>
    <n v="1450"/>
    <n v="5170"/>
    <n v="6620"/>
    <n v="8.2750000000000004"/>
    <n v="149"/>
    <n v="1.8625"/>
    <n v="56"/>
    <n v="560"/>
    <n v="0.7"/>
    <n v="800"/>
    <n v="80"/>
    <n v="1"/>
    <n v="1320"/>
    <x v="45"/>
    <n v="132"/>
    <n v="1.65"/>
    <n v="298"/>
    <n v="3.7250000000000001"/>
    <n v="890"/>
    <n v="11.125"/>
  </r>
  <r>
    <s v="Nazr Mohammed"/>
    <x v="3"/>
    <x v="46"/>
    <n v="26"/>
    <n v="260"/>
    <n v="27"/>
    <n v="6730"/>
    <n v="293"/>
    <n v="10.851851851851851"/>
    <n v="108"/>
    <n v="192"/>
    <n v="0.5625"/>
    <n v="0"/>
    <n v="0"/>
    <e v="#DIV/0!"/>
    <n v="31"/>
    <n v="59"/>
    <n v="0.52542372881355937"/>
    <n v="77"/>
    <n v="130"/>
    <n v="207"/>
    <n v="770"/>
    <n v="1300"/>
    <n v="2070"/>
    <n v="7.666666666666667"/>
    <n v="16"/>
    <n v="0.59259259259259256"/>
    <n v="33"/>
    <n v="330"/>
    <n v="1.2222222222222223"/>
    <n v="250"/>
    <n v="25"/>
    <n v="0.92592592592592593"/>
    <n v="410"/>
    <x v="46"/>
    <n v="41"/>
    <n v="1.5185185185185186"/>
    <n v="82"/>
    <n v="3.0370370370370372"/>
    <n v="247"/>
    <n v="9.1481481481481488"/>
  </r>
  <r>
    <s v="Tim Thomas"/>
    <x v="3"/>
    <x v="47"/>
    <n v="27"/>
    <n v="270"/>
    <n v="24"/>
    <n v="7460"/>
    <n v="260"/>
    <n v="10.833333333333334"/>
    <n v="137"/>
    <n v="303"/>
    <n v="452"/>
    <n v="260"/>
    <n v="640"/>
    <n v="0.40625"/>
    <n v="78"/>
    <n v="96"/>
    <n v="0.8125"/>
    <n v="26"/>
    <n v="89"/>
    <n v="115"/>
    <n v="260"/>
    <n v="890"/>
    <n v="1150"/>
    <n v="4.791666666666667"/>
    <n v="34"/>
    <n v="1.4166666666666667"/>
    <n v="24"/>
    <n v="240"/>
    <n v="1"/>
    <n v="50"/>
    <n v="5"/>
    <n v="0.20833333333333334"/>
    <n v="430"/>
    <x v="47"/>
    <n v="43"/>
    <n v="1.7916666666666667"/>
    <n v="69"/>
    <n v="2.875"/>
    <n v="378"/>
    <n v="15.75"/>
  </r>
  <r>
    <s v="Allan Houston"/>
    <x v="3"/>
    <x v="48"/>
    <n v="33"/>
    <n v="330"/>
    <n v="50"/>
    <n v="17970"/>
    <n v="521"/>
    <n v="10.42"/>
    <n v="340"/>
    <n v="781"/>
    <n v="0.4353393085787452"/>
    <n v="870"/>
    <n v="2020"/>
    <n v="0.43069306930693069"/>
    <n v="157"/>
    <n v="172"/>
    <n v="0.91279069767441856"/>
    <n v="20"/>
    <n v="101"/>
    <n v="121"/>
    <n v="200"/>
    <n v="1010"/>
    <n v="1210"/>
    <n v="2.42"/>
    <n v="99"/>
    <n v="1.98"/>
    <n v="38"/>
    <n v="380"/>
    <n v="0.76"/>
    <n v="20"/>
    <n v="2"/>
    <n v="0.04"/>
    <n v="1020"/>
    <x v="48"/>
    <n v="102"/>
    <n v="2.04"/>
    <n v="105"/>
    <n v="2.1"/>
    <n v="924"/>
    <n v="18.48"/>
  </r>
  <r>
    <s v="Charlie Ward"/>
    <x v="3"/>
    <x v="49"/>
    <n v="33"/>
    <n v="330"/>
    <n v="35"/>
    <n v="8280"/>
    <n v="333"/>
    <n v="9.5142857142857142"/>
    <n v="115"/>
    <n v="260"/>
    <n v="442"/>
    <n v="590"/>
    <n v="1380"/>
    <n v="0.42753623188405798"/>
    <n v="16"/>
    <n v="21"/>
    <n v="0.76190476190476186"/>
    <n v="10"/>
    <n v="86"/>
    <n v="96"/>
    <n v="100"/>
    <n v="860"/>
    <n v="960"/>
    <n v="2.7428571428571429"/>
    <n v="170"/>
    <n v="4.8571428571428568"/>
    <n v="47"/>
    <n v="470"/>
    <n v="1.3428571428571427"/>
    <n v="80"/>
    <n v="8"/>
    <n v="0.22857142857142856"/>
    <n v="690"/>
    <x v="49"/>
    <n v="69"/>
    <n v="1.9714285714285715"/>
    <n v="74"/>
    <n v="2.1142857142857143"/>
    <n v="305"/>
    <n v="8.7142857142857135"/>
  </r>
  <r>
    <s v="Dikembe Mutombo"/>
    <x v="3"/>
    <x v="50"/>
    <n v="38"/>
    <n v="380"/>
    <n v="65"/>
    <n v="14970"/>
    <n v="578"/>
    <n v="8.8923076923076927"/>
    <n v="141"/>
    <n v="295"/>
    <n v="0.47796610169491527"/>
    <n v="0"/>
    <n v="0"/>
    <e v="#DIV/0!"/>
    <n v="81"/>
    <n v="119"/>
    <n v="0.68067226890756305"/>
    <n v="145"/>
    <n v="292"/>
    <n v="437"/>
    <n v="1450"/>
    <n v="2920"/>
    <n v="4370"/>
    <n v="6.7230769230769232"/>
    <n v="25"/>
    <n v="0.38461538461538464"/>
    <n v="17"/>
    <n v="170"/>
    <n v="0.26153846153846155"/>
    <n v="1230"/>
    <n v="123"/>
    <n v="1.8923076923076922"/>
    <n v="540"/>
    <x v="50"/>
    <n v="54"/>
    <n v="0.83076923076923082"/>
    <n v="141"/>
    <n v="2.1692307692307691"/>
    <n v="363"/>
    <n v="5.5846153846153843"/>
  </r>
  <r>
    <s v="Antonio McDyess"/>
    <x v="3"/>
    <x v="51"/>
    <n v="29"/>
    <n v="290"/>
    <n v="18"/>
    <n v="4220"/>
    <n v="148"/>
    <n v="8.2222222222222214"/>
    <n v="65"/>
    <n v="142"/>
    <n v="0.45774647887323944"/>
    <n v="0"/>
    <n v="0"/>
    <e v="#DIV/0!"/>
    <n v="22"/>
    <n v="38"/>
    <n v="0.57894736842105265"/>
    <n v="31"/>
    <n v="88"/>
    <n v="119"/>
    <n v="310"/>
    <n v="880"/>
    <n v="1190"/>
    <n v="6.6111111111111107"/>
    <n v="20"/>
    <n v="1.1111111111111112"/>
    <n v="12"/>
    <n v="120"/>
    <n v="0.66666666666666663"/>
    <n v="110"/>
    <n v="11"/>
    <n v="0.61111111111111116"/>
    <n v="270"/>
    <x v="51"/>
    <n v="27"/>
    <n v="1.5"/>
    <n v="46"/>
    <n v="2.5555555555555554"/>
    <n v="152"/>
    <n v="8.4444444444444446"/>
  </r>
  <r>
    <s v="Anfernee Hardaway"/>
    <x v="3"/>
    <x v="52"/>
    <n v="32"/>
    <n v="320"/>
    <n v="42"/>
    <n v="12190"/>
    <n v="310"/>
    <n v="7.3809523809523814"/>
    <n v="159"/>
    <n v="408"/>
    <n v="0.38970588235294118"/>
    <n v="160"/>
    <n v="440"/>
    <n v="0.36363636363636365"/>
    <n v="69"/>
    <n v="89"/>
    <n v="0.7752808988764045"/>
    <n v="42"/>
    <n v="147"/>
    <n v="189"/>
    <n v="420"/>
    <n v="1470"/>
    <n v="1890"/>
    <n v="4.5"/>
    <n v="79"/>
    <n v="1.8809523809523809"/>
    <n v="42"/>
    <n v="420"/>
    <n v="1"/>
    <n v="120"/>
    <n v="12"/>
    <n v="0.2857142857142857"/>
    <n v="650"/>
    <x v="52"/>
    <n v="65"/>
    <n v="1.5476190476190477"/>
    <n v="81"/>
    <n v="1.9285714285714286"/>
    <n v="403"/>
    <n v="9.5952380952380949"/>
  </r>
  <r>
    <s v="Howard Eisley"/>
    <x v="3"/>
    <x v="53"/>
    <n v="31"/>
    <n v="310"/>
    <n v="33"/>
    <n v="7300"/>
    <n v="214"/>
    <n v="6.4848484848484844"/>
    <n v="80"/>
    <n v="202"/>
    <n v="0.39603960396039606"/>
    <n v="280"/>
    <n v="850"/>
    <n v="0.32941176470588235"/>
    <n v="32"/>
    <n v="36"/>
    <n v="0.88888888888888884"/>
    <n v="7"/>
    <n v="59"/>
    <n v="66"/>
    <n v="70"/>
    <n v="590"/>
    <n v="660"/>
    <n v="2"/>
    <n v="156"/>
    <n v="4.7272727272727275"/>
    <n v="30"/>
    <n v="300"/>
    <n v="0.90909090909090906"/>
    <n v="30"/>
    <n v="3"/>
    <n v="9.0909090909090912E-2"/>
    <n v="500"/>
    <x v="53"/>
    <n v="50"/>
    <n v="1.5151515151515151"/>
    <n v="85"/>
    <n v="2.5757575757575757"/>
    <n v="220"/>
    <n v="6.666666666666667"/>
  </r>
  <r>
    <s v="Michael Doleac"/>
    <x v="3"/>
    <x v="54"/>
    <n v="27"/>
    <n v="270"/>
    <n v="46"/>
    <n v="6810"/>
    <n v="246"/>
    <n v="5.3478260869565215"/>
    <n v="100"/>
    <n v="225"/>
    <n v="0.44444444444444442"/>
    <n v="0"/>
    <n v="0"/>
    <e v="#DIV/0!"/>
    <n v="31"/>
    <n v="36"/>
    <n v="0.86111111111111116"/>
    <n v="60"/>
    <n v="129"/>
    <n v="189"/>
    <n v="600"/>
    <n v="1290"/>
    <n v="1890"/>
    <n v="4.1086956521739131"/>
    <n v="30"/>
    <n v="0.65217391304347827"/>
    <n v="17"/>
    <n v="170"/>
    <n v="0.36956521739130432"/>
    <n v="300"/>
    <n v="30"/>
    <n v="0.65217391304347827"/>
    <n v="370"/>
    <x v="54"/>
    <n v="37"/>
    <n v="0.80434782608695654"/>
    <n v="84"/>
    <n v="1.826086956521739"/>
    <n v="231"/>
    <n v="5.0217391304347823"/>
  </r>
  <r>
    <s v="Clar. Weatherspoon"/>
    <x v="3"/>
    <x v="55"/>
    <n v="33"/>
    <n v="330"/>
    <n v="15"/>
    <n v="2180"/>
    <n v="76"/>
    <n v="5.0666666666666664"/>
    <n v="18"/>
    <n v="40"/>
    <n v="45"/>
    <n v="0"/>
    <n v="0"/>
    <e v="#DIV/0!"/>
    <n v="18"/>
    <n v="19"/>
    <n v="0.94736842105263153"/>
    <n v="14"/>
    <n v="36"/>
    <n v="50"/>
    <n v="140"/>
    <n v="360"/>
    <n v="500"/>
    <n v="3.3333333333333335"/>
    <n v="13"/>
    <n v="0.8666666666666667"/>
    <n v="8"/>
    <n v="80"/>
    <n v="0.53333333333333333"/>
    <n v="20"/>
    <n v="2"/>
    <n v="0.13333333333333333"/>
    <n v="90"/>
    <x v="55"/>
    <n v="9"/>
    <n v="0.6"/>
    <n v="19"/>
    <n v="1.2666666666666666"/>
    <n v="54"/>
    <n v="3.6"/>
  </r>
  <r>
    <s v="Shandon Anderson"/>
    <x v="3"/>
    <x v="56"/>
    <n v="30"/>
    <n v="300"/>
    <n v="80"/>
    <n v="19720"/>
    <n v="400"/>
    <n v="5"/>
    <n v="238"/>
    <n v="564"/>
    <n v="0.42198581560283688"/>
    <n v="360"/>
    <n v="1280"/>
    <n v="0.28125"/>
    <n v="123"/>
    <n v="161"/>
    <n v="0.7639751552795031"/>
    <n v="53"/>
    <n v="169"/>
    <n v="222"/>
    <n v="530"/>
    <n v="1690"/>
    <n v="2220"/>
    <n v="2.7749999999999999"/>
    <n v="122"/>
    <n v="1.5249999999999999"/>
    <n v="68"/>
    <n v="680"/>
    <n v="0.85"/>
    <n v="170"/>
    <n v="17"/>
    <n v="0.21249999999999999"/>
    <n v="1180"/>
    <x v="56"/>
    <n v="118"/>
    <n v="1.4750000000000001"/>
    <n v="182"/>
    <n v="2.2749999999999999"/>
    <n v="635"/>
    <n v="7.9375"/>
  </r>
  <r>
    <s v="Michael Sweetney"/>
    <x v="3"/>
    <x v="57"/>
    <n v="21"/>
    <n v="210"/>
    <n v="42"/>
    <n v="4950"/>
    <n v="205"/>
    <n v="4.8809523809523814"/>
    <n v="69"/>
    <n v="140"/>
    <n v="493"/>
    <n v="0"/>
    <n v="10"/>
    <n v="0"/>
    <n v="42"/>
    <n v="58"/>
    <n v="0.72413793103448276"/>
    <n v="68"/>
    <n v="89"/>
    <n v="157"/>
    <n v="680"/>
    <n v="890"/>
    <n v="1570"/>
    <n v="3.7380952380952381"/>
    <n v="14"/>
    <n v="0.33333333333333331"/>
    <n v="18"/>
    <n v="180"/>
    <n v="0.42857142857142855"/>
    <n v="120"/>
    <n v="12"/>
    <n v="0.2857142857142857"/>
    <n v="320"/>
    <x v="57"/>
    <n v="32"/>
    <n v="0.76190476190476186"/>
    <n v="57"/>
    <n v="1.3571428571428572"/>
    <n v="180"/>
    <n v="4.2857142857142856"/>
  </r>
  <r>
    <s v="Moochie Norris"/>
    <x v="3"/>
    <x v="58"/>
    <n v="30"/>
    <n v="300"/>
    <n v="36"/>
    <n v="4460"/>
    <n v="136"/>
    <n v="3.7777777777777777"/>
    <n v="53"/>
    <n v="130"/>
    <n v="0.40769230769230769"/>
    <n v="120"/>
    <n v="350"/>
    <n v="0.34285714285714286"/>
    <n v="36"/>
    <n v="47"/>
    <n v="0.76595744680851063"/>
    <n v="8"/>
    <n v="27"/>
    <n v="35"/>
    <n v="80"/>
    <n v="270"/>
    <n v="350"/>
    <n v="0.97222222222222221"/>
    <n v="73"/>
    <n v="2.0277777777777777"/>
    <n v="28"/>
    <n v="280"/>
    <n v="0.77777777777777779"/>
    <n v="30"/>
    <n v="3"/>
    <n v="8.3333333333333329E-2"/>
    <n v="340"/>
    <x v="58"/>
    <n v="34"/>
    <n v="0.94444444444444442"/>
    <n v="35"/>
    <n v="0.97222222222222221"/>
    <n v="154"/>
    <n v="4.2777777777777777"/>
  </r>
  <r>
    <s v="DerMarr Johnson"/>
    <x v="3"/>
    <x v="59"/>
    <n v="24"/>
    <n v="240"/>
    <n v="21"/>
    <n v="2870"/>
    <n v="66"/>
    <n v="3.1428571428571428"/>
    <n v="36"/>
    <n v="97"/>
    <n v="371"/>
    <n v="130"/>
    <n v="360"/>
    <n v="0.3611111111111111"/>
    <n v="28"/>
    <n v="31"/>
    <n v="0.90322580645161288"/>
    <n v="5"/>
    <n v="34"/>
    <n v="39"/>
    <n v="50"/>
    <n v="340"/>
    <n v="390"/>
    <n v="1.8571428571428572"/>
    <n v="11"/>
    <n v="0.52380952380952384"/>
    <n v="8"/>
    <n v="80"/>
    <n v="0.38095238095238093"/>
    <n v="70"/>
    <n v="7"/>
    <n v="0.33333333333333331"/>
    <n v="160"/>
    <x v="59"/>
    <n v="16"/>
    <n v="0.76190476190476186"/>
    <n v="32"/>
    <n v="1.5238095238095237"/>
    <n v="113"/>
    <n v="5.3809523809523814"/>
  </r>
  <r>
    <s v="Vin Baker"/>
    <x v="3"/>
    <x v="60"/>
    <n v="32"/>
    <n v="320"/>
    <n v="17"/>
    <n v="3130"/>
    <n v="52"/>
    <n v="3.0588235294117645"/>
    <n v="40"/>
    <n v="99"/>
    <n v="0.40404040404040403"/>
    <n v="10"/>
    <n v="20"/>
    <n v="0.5"/>
    <n v="32"/>
    <n v="45"/>
    <n v="0.71111111111111114"/>
    <n v="36"/>
    <n v="34"/>
    <n v="70"/>
    <n v="360"/>
    <n v="340"/>
    <n v="700"/>
    <n v="4.117647058823529"/>
    <n v="12"/>
    <n v="0.70588235294117652"/>
    <n v="7"/>
    <n v="70"/>
    <n v="0.41176470588235292"/>
    <n v="90"/>
    <n v="9"/>
    <n v="0.52941176470588236"/>
    <n v="250"/>
    <x v="60"/>
    <n v="25"/>
    <n v="1.4705882352941178"/>
    <n v="62"/>
    <n v="3.6470588235294117"/>
    <n v="113"/>
    <n v="6.6470588235294121"/>
  </r>
  <r>
    <s v="Othella Harrington"/>
    <x v="3"/>
    <x v="61"/>
    <n v="30"/>
    <n v="300"/>
    <n v="56"/>
    <n v="8710"/>
    <n v="169"/>
    <n v="3.0178571428571428"/>
    <n v="100"/>
    <n v="202"/>
    <n v="0.49504950495049505"/>
    <n v="0"/>
    <n v="0"/>
    <e v="#DIV/0!"/>
    <n v="58"/>
    <n v="78"/>
    <n v="0.74358974358974361"/>
    <n v="58"/>
    <n v="119"/>
    <n v="177"/>
    <n v="580"/>
    <n v="1190"/>
    <n v="1770"/>
    <n v="3.1607142857142856"/>
    <n v="29"/>
    <n v="0.5178571428571429"/>
    <n v="12"/>
    <n v="120"/>
    <n v="0.21428571428571427"/>
    <n v="140"/>
    <n v="14"/>
    <n v="0.25"/>
    <n v="650"/>
    <x v="61"/>
    <n v="65"/>
    <n v="1.1607142857142858"/>
    <n v="134"/>
    <n v="2.3928571428571428"/>
    <n v="258"/>
    <n v="4.6071428571428568"/>
  </r>
  <r>
    <s v="Frank Williams"/>
    <x v="3"/>
    <x v="62"/>
    <n v="24"/>
    <n v="240"/>
    <n v="56"/>
    <n v="7110"/>
    <n v="168"/>
    <n v="3"/>
    <n v="80"/>
    <n v="208"/>
    <n v="385"/>
    <n v="180"/>
    <n v="600"/>
    <n v="0.3"/>
    <n v="41"/>
    <n v="48"/>
    <n v="0.85416666666666663"/>
    <n v="8"/>
    <n v="45"/>
    <n v="53"/>
    <n v="80"/>
    <n v="450"/>
    <n v="530"/>
    <n v="0.9464285714285714"/>
    <n v="121"/>
    <n v="2.1607142857142856"/>
    <n v="25"/>
    <n v="250"/>
    <n v="0.44642857142857145"/>
    <n v="60"/>
    <n v="6"/>
    <n v="0.10714285714285714"/>
    <n v="630"/>
    <x v="62"/>
    <n v="63"/>
    <n v="1.125"/>
    <n v="58"/>
    <n v="1.0357142857142858"/>
    <n v="219"/>
    <n v="3.9107142857142856"/>
  </r>
  <r>
    <s v="Bruno Sundov"/>
    <x v="3"/>
    <x v="63"/>
    <n v="24"/>
    <n v="240"/>
    <n v="1"/>
    <n v="40"/>
    <n v="1"/>
    <n v="1"/>
    <n v="1"/>
    <n v="1"/>
    <n v="10"/>
    <n v="0"/>
    <n v="0"/>
    <e v="#DIV/0!"/>
    <n v="0"/>
    <n v="0"/>
    <e v="#DIV/0!"/>
    <n v="0"/>
    <n v="0"/>
    <n v="0"/>
    <n v="0"/>
    <n v="0"/>
    <n v="0"/>
    <n v="0"/>
    <n v="1"/>
    <n v="1"/>
    <n v="0"/>
    <n v="0"/>
    <n v="0"/>
    <n v="0"/>
    <n v="0"/>
    <n v="0"/>
    <n v="0"/>
    <x v="63"/>
    <n v="0"/>
    <n v="0"/>
    <n v="2"/>
    <n v="2"/>
    <n v="2"/>
    <n v="2"/>
  </r>
  <r>
    <s v="Cezary Trybanski"/>
    <x v="3"/>
    <x v="64"/>
    <n v="24"/>
    <n v="240"/>
    <n v="3"/>
    <n v="50"/>
    <n v="-3"/>
    <n v="-1"/>
    <n v="0"/>
    <n v="2"/>
    <n v="0"/>
    <n v="0"/>
    <n v="0"/>
    <e v="#DIV/0!"/>
    <n v="1"/>
    <n v="2"/>
    <n v="0.5"/>
    <n v="0"/>
    <n v="0"/>
    <n v="0"/>
    <n v="0"/>
    <n v="0"/>
    <n v="0"/>
    <n v="0"/>
    <n v="0"/>
    <n v="0"/>
    <n v="1"/>
    <n v="10"/>
    <n v="0.33333333333333331"/>
    <n v="0"/>
    <n v="0"/>
    <n v="0"/>
    <n v="0"/>
    <x v="64"/>
    <n v="0"/>
    <n v="0"/>
    <n v="2"/>
    <n v="0.66666666666666663"/>
    <n v="1"/>
    <n v="0.33333333333333331"/>
  </r>
  <r>
    <s v="Stephon Marbury"/>
    <x v="4"/>
    <x v="65"/>
    <n v="28"/>
    <n v="280"/>
    <n v="82"/>
    <n v="32810"/>
    <n v="1611"/>
    <n v="19.646341463414632"/>
    <n v="604"/>
    <n v="1308"/>
    <n v="0.46177370030581039"/>
    <n v="1150"/>
    <n v="3250"/>
    <n v="0.35384615384615387"/>
    <n v="458"/>
    <n v="549"/>
    <n v="0.83424408014571949"/>
    <n v="50"/>
    <n v="198"/>
    <n v="248"/>
    <n v="500"/>
    <n v="1980"/>
    <n v="2480"/>
    <n v="3.024390243902439"/>
    <n v="668"/>
    <n v="8.1463414634146343"/>
    <n v="122"/>
    <n v="1220"/>
    <n v="1.4878048780487805"/>
    <n v="60"/>
    <n v="6"/>
    <n v="7.3170731707317069E-2"/>
    <n v="2330"/>
    <x v="65"/>
    <n v="233"/>
    <n v="2.8414634146341462"/>
    <n v="186"/>
    <n v="2.2682926829268291"/>
    <n v="1781"/>
    <n v="21.719512195121951"/>
  </r>
  <r>
    <s v="Kurt Thomas"/>
    <x v="4"/>
    <x v="66"/>
    <n v="32"/>
    <n v="320"/>
    <n v="80"/>
    <n v="28550"/>
    <n v="1152"/>
    <n v="14.4"/>
    <n v="424"/>
    <n v="901"/>
    <n v="471"/>
    <n v="20"/>
    <n v="40"/>
    <n v="0.5"/>
    <n v="66"/>
    <n v="84"/>
    <n v="0.7857142857142857"/>
    <n v="170"/>
    <n v="661"/>
    <n v="831"/>
    <n v="1700"/>
    <n v="6610"/>
    <n v="8310"/>
    <n v="10.387499999999999"/>
    <n v="160"/>
    <n v="2"/>
    <n v="70"/>
    <n v="700"/>
    <n v="0.875"/>
    <n v="790"/>
    <n v="79"/>
    <n v="0.98750000000000004"/>
    <n v="990"/>
    <x v="66"/>
    <n v="99"/>
    <n v="1.2375"/>
    <n v="310"/>
    <n v="3.875"/>
    <n v="916"/>
    <n v="11.45"/>
  </r>
  <r>
    <s v="Jamal Crawford"/>
    <x v="4"/>
    <x v="67"/>
    <n v="25"/>
    <n v="250"/>
    <n v="70"/>
    <n v="26880"/>
    <n v="880"/>
    <n v="12.571428571428571"/>
    <n v="437"/>
    <n v="1097"/>
    <n v="398"/>
    <n v="1850"/>
    <n v="5120"/>
    <n v="0.361328125"/>
    <n v="182"/>
    <n v="216"/>
    <n v="0.84259259259259256"/>
    <n v="33"/>
    <n v="170"/>
    <n v="203"/>
    <n v="330"/>
    <n v="1700"/>
    <n v="2030"/>
    <n v="2.9"/>
    <n v="302"/>
    <n v="4.3142857142857141"/>
    <n v="92"/>
    <n v="920"/>
    <n v="1.3142857142857143"/>
    <n v="190"/>
    <n v="19"/>
    <n v="0.27142857142857141"/>
    <n v="1480"/>
    <x v="67"/>
    <n v="148"/>
    <n v="2.1142857142857143"/>
    <n v="135"/>
    <n v="1.9285714285714286"/>
    <n v="1241"/>
    <n v="17.728571428571428"/>
  </r>
  <r>
    <s v="Nazr Mohammed"/>
    <x v="4"/>
    <x v="68"/>
    <n v="27"/>
    <n v="270"/>
    <n v="54"/>
    <n v="15190"/>
    <n v="631"/>
    <n v="11.685185185185185"/>
    <n v="234"/>
    <n v="460"/>
    <n v="0.50869565217391299"/>
    <n v="0"/>
    <n v="10"/>
    <n v="0"/>
    <n v="121"/>
    <n v="171"/>
    <n v="0.70760233918128657"/>
    <n v="169"/>
    <n v="270"/>
    <n v="439"/>
    <n v="1690"/>
    <n v="2700"/>
    <n v="4390"/>
    <n v="8.1296296296296298"/>
    <n v="26"/>
    <n v="0.48148148148148145"/>
    <n v="53"/>
    <n v="530"/>
    <n v="0.98148148148148151"/>
    <n v="530"/>
    <n v="53"/>
    <n v="0.98148148148148151"/>
    <n v="810"/>
    <x v="68"/>
    <n v="81"/>
    <n v="1.5"/>
    <n v="172"/>
    <n v="3.1851851851851851"/>
    <n v="589"/>
    <n v="10.907407407407407"/>
  </r>
  <r>
    <s v="Michael Sweetney"/>
    <x v="4"/>
    <x v="69"/>
    <n v="22"/>
    <n v="220"/>
    <n v="77"/>
    <n v="15090"/>
    <n v="567"/>
    <n v="7.3636363636363633"/>
    <n v="237"/>
    <n v="446"/>
    <n v="531"/>
    <n v="0"/>
    <n v="10"/>
    <n v="0"/>
    <n v="176"/>
    <n v="235"/>
    <n v="0.74893617021276593"/>
    <n v="169"/>
    <n v="249"/>
    <n v="418"/>
    <n v="1690"/>
    <n v="2490"/>
    <n v="4180"/>
    <n v="5.4285714285714288"/>
    <n v="44"/>
    <n v="0.5714285714285714"/>
    <n v="27"/>
    <n v="270"/>
    <n v="0.35064935064935066"/>
    <n v="280"/>
    <n v="28"/>
    <n v="0.36363636363636365"/>
    <n v="1080"/>
    <x v="69"/>
    <n v="108"/>
    <n v="1.4025974025974026"/>
    <n v="224"/>
    <n v="2.9090909090909092"/>
    <n v="650"/>
    <n v="8.4415584415584419"/>
  </r>
  <r>
    <s v="Tim Thomas"/>
    <x v="4"/>
    <x v="70"/>
    <n v="28"/>
    <n v="280"/>
    <n v="71"/>
    <n v="19400"/>
    <n v="481"/>
    <n v="6.774647887323944"/>
    <n v="315"/>
    <n v="718"/>
    <n v="439"/>
    <n v="850"/>
    <n v="2080"/>
    <n v="0.40865384615384615"/>
    <n v="136"/>
    <n v="173"/>
    <n v="0.78612716763005785"/>
    <n v="45"/>
    <n v="192"/>
    <n v="237"/>
    <n v="450"/>
    <n v="1920"/>
    <n v="2370"/>
    <n v="3.3380281690140845"/>
    <n v="110"/>
    <n v="1.5492957746478873"/>
    <n v="41"/>
    <n v="410"/>
    <n v="0.57746478873239437"/>
    <n v="170"/>
    <n v="17"/>
    <n v="0.23943661971830985"/>
    <n v="1130"/>
    <x v="70"/>
    <n v="113"/>
    <n v="1.591549295774648"/>
    <n v="222"/>
    <n v="3.1267605633802815"/>
    <n v="851"/>
    <n v="11.985915492957746"/>
  </r>
  <r>
    <s v="Allan Houston"/>
    <x v="4"/>
    <x v="71"/>
    <n v="34"/>
    <n v="340"/>
    <n v="20"/>
    <n v="5320"/>
    <n v="124"/>
    <n v="6.2"/>
    <n v="85"/>
    <n v="205"/>
    <n v="0.41463414634146339"/>
    <n v="310"/>
    <n v="800"/>
    <n v="0.38750000000000001"/>
    <n v="36"/>
    <n v="43"/>
    <n v="0.83720930232558144"/>
    <n v="4"/>
    <n v="19"/>
    <n v="23"/>
    <n v="40"/>
    <n v="190"/>
    <n v="230"/>
    <n v="1.1499999999999999"/>
    <n v="42"/>
    <n v="2.1"/>
    <n v="8"/>
    <n v="80"/>
    <n v="0.4"/>
    <n v="20"/>
    <n v="2"/>
    <n v="0.1"/>
    <n v="210"/>
    <x v="71"/>
    <n v="21"/>
    <n v="1.05"/>
    <n v="40"/>
    <n v="2"/>
    <n v="237"/>
    <n v="11.85"/>
  </r>
  <r>
    <s v="Trevor Ariza"/>
    <x v="4"/>
    <x v="72"/>
    <n v="20"/>
    <n v="200"/>
    <n v="80"/>
    <n v="13850"/>
    <n v="390"/>
    <n v="4.875"/>
    <n v="172"/>
    <n v="389"/>
    <n v="0.44215938303341901"/>
    <n v="30"/>
    <n v="130"/>
    <n v="0.23076923076923078"/>
    <n v="121"/>
    <n v="174"/>
    <n v="0.6954022988505747"/>
    <n v="89"/>
    <n v="153"/>
    <n v="242"/>
    <n v="890"/>
    <n v="1530"/>
    <n v="2420"/>
    <n v="3.0249999999999999"/>
    <n v="85"/>
    <n v="1.0625"/>
    <n v="70"/>
    <n v="700"/>
    <n v="0.875"/>
    <n v="180"/>
    <n v="18"/>
    <n v="0.22500000000000001"/>
    <n v="730"/>
    <x v="72"/>
    <n v="73"/>
    <n v="0.91249999999999998"/>
    <n v="150"/>
    <n v="1.875"/>
    <n v="468"/>
    <n v="5.85"/>
  </r>
  <r>
    <s v="Malik Rose"/>
    <x v="4"/>
    <x v="73"/>
    <n v="30"/>
    <n v="300"/>
    <n v="26"/>
    <n v="6120"/>
    <n v="122"/>
    <n v="4.6923076923076925"/>
    <n v="74"/>
    <n v="174"/>
    <n v="425"/>
    <n v="10"/>
    <n v="60"/>
    <n v="0.16666666666666666"/>
    <n v="68"/>
    <n v="87"/>
    <n v="0.7816091954022989"/>
    <n v="34"/>
    <n v="80"/>
    <n v="114"/>
    <n v="340"/>
    <n v="800"/>
    <n v="1140"/>
    <n v="4.384615384615385"/>
    <n v="18"/>
    <n v="0.69230769230769229"/>
    <n v="15"/>
    <n v="150"/>
    <n v="0.57692307692307687"/>
    <n v="70"/>
    <n v="7"/>
    <n v="0.26923076923076922"/>
    <n v="460"/>
    <x v="73"/>
    <n v="46"/>
    <n v="1.7692307692307692"/>
    <n v="84"/>
    <n v="3.2307692307692308"/>
    <n v="217"/>
    <n v="8.3461538461538467"/>
  </r>
  <r>
    <s v="Anfernee Hardaway"/>
    <x v="4"/>
    <x v="74"/>
    <n v="33"/>
    <n v="330"/>
    <n v="37"/>
    <n v="8950"/>
    <n v="172"/>
    <n v="4.6486486486486482"/>
    <n v="110"/>
    <n v="260"/>
    <n v="0.42307692307692307"/>
    <n v="150"/>
    <n v="500"/>
    <n v="0.3"/>
    <n v="34"/>
    <n v="46"/>
    <n v="0.73913043478260865"/>
    <n v="19"/>
    <n v="70"/>
    <n v="89"/>
    <n v="190"/>
    <n v="700"/>
    <n v="890"/>
    <n v="2.4054054054054053"/>
    <n v="74"/>
    <n v="2"/>
    <n v="28"/>
    <n v="280"/>
    <n v="0.7567567567567568"/>
    <n v="30"/>
    <n v="3"/>
    <n v="8.1081081081081086E-2"/>
    <n v="500"/>
    <x v="74"/>
    <n v="50"/>
    <n v="1.3513513513513513"/>
    <n v="79"/>
    <n v="2.1351351351351351"/>
    <n v="269"/>
    <n v="7.2702702702702702"/>
  </r>
  <r>
    <s v="Jerome Williams"/>
    <x v="4"/>
    <x v="75"/>
    <n v="32"/>
    <n v="320"/>
    <n v="79"/>
    <n v="12110"/>
    <n v="350"/>
    <n v="4.4303797468354427"/>
    <n v="122"/>
    <n v="243"/>
    <n v="502"/>
    <n v="0"/>
    <n v="50"/>
    <n v="0"/>
    <n v="115"/>
    <n v="172"/>
    <n v="0.66860465116279066"/>
    <n v="115"/>
    <n v="168"/>
    <n v="283"/>
    <n v="1150"/>
    <n v="1680"/>
    <n v="2830"/>
    <n v="3.5822784810126582"/>
    <n v="41"/>
    <n v="0.51898734177215189"/>
    <n v="55"/>
    <n v="550"/>
    <n v="0.69620253164556967"/>
    <n v="100"/>
    <n v="10"/>
    <n v="0.12658227848101267"/>
    <n v="650"/>
    <x v="75"/>
    <n v="65"/>
    <n v="0.82278481012658233"/>
    <n v="155"/>
    <n v="1.9620253164556962"/>
    <n v="359"/>
    <n v="4.5443037974683547"/>
  </r>
  <r>
    <s v="Maurice Taylor"/>
    <x v="4"/>
    <x v="76"/>
    <n v="28"/>
    <n v="280"/>
    <n v="27"/>
    <n v="4310"/>
    <n v="117"/>
    <n v="4.333333333333333"/>
    <n v="76"/>
    <n v="154"/>
    <n v="494"/>
    <n v="0"/>
    <n v="10"/>
    <n v="0"/>
    <n v="24"/>
    <n v="43"/>
    <n v="0.55813953488372092"/>
    <n v="26"/>
    <n v="67"/>
    <n v="93"/>
    <n v="260"/>
    <n v="670"/>
    <n v="930"/>
    <n v="3.4444444444444446"/>
    <n v="14"/>
    <n v="0.51851851851851849"/>
    <n v="11"/>
    <n v="110"/>
    <n v="0.40740740740740738"/>
    <n v="80"/>
    <n v="8"/>
    <n v="0.29629629629629628"/>
    <n v="310"/>
    <x v="76"/>
    <n v="31"/>
    <n v="1.1481481481481481"/>
    <n v="57"/>
    <n v="2.1111111111111112"/>
    <n v="176"/>
    <n v="6.5185185185185182"/>
  </r>
  <r>
    <s v="Jackie Butler"/>
    <x v="4"/>
    <x v="77"/>
    <n v="20"/>
    <n v="200"/>
    <n v="3"/>
    <n v="50"/>
    <n v="10"/>
    <n v="3.3333333333333335"/>
    <n v="4"/>
    <n v="4"/>
    <n v="1"/>
    <n v="0"/>
    <n v="0"/>
    <e v="#DIV/0!"/>
    <n v="2"/>
    <n v="2"/>
    <n v="1"/>
    <n v="0"/>
    <n v="0"/>
    <n v="0"/>
    <n v="0"/>
    <n v="0"/>
    <n v="0"/>
    <n v="0"/>
    <n v="0"/>
    <n v="0"/>
    <n v="1"/>
    <n v="10"/>
    <n v="0.33333333333333331"/>
    <n v="0"/>
    <n v="0"/>
    <n v="0"/>
    <n v="10"/>
    <x v="64"/>
    <n v="1"/>
    <n v="0.33333333333333331"/>
    <n v="0"/>
    <n v="0"/>
    <n v="10"/>
    <n v="3.3333333333333335"/>
  </r>
  <r>
    <s v="Jermaine Jackson"/>
    <x v="4"/>
    <x v="78"/>
    <n v="29"/>
    <n v="290"/>
    <n v="21"/>
    <n v="2300"/>
    <n v="40"/>
    <n v="1.9047619047619047"/>
    <n v="17"/>
    <n v="33"/>
    <n v="515"/>
    <n v="0"/>
    <n v="20"/>
    <n v="0"/>
    <n v="8"/>
    <n v="13"/>
    <n v="0.61538461538461542"/>
    <n v="3"/>
    <n v="20"/>
    <n v="23"/>
    <n v="30"/>
    <n v="200"/>
    <n v="230"/>
    <n v="1.0952380952380953"/>
    <n v="24"/>
    <n v="1.1428571428571428"/>
    <n v="7"/>
    <n v="70"/>
    <n v="0.33333333333333331"/>
    <n v="10"/>
    <n v="1"/>
    <n v="4.7619047619047616E-2"/>
    <n v="100"/>
    <x v="77"/>
    <n v="10"/>
    <n v="0.47619047619047616"/>
    <n v="26"/>
    <n v="1.2380952380952381"/>
    <n v="42"/>
    <n v="2"/>
  </r>
  <r>
    <s v="Moochie Norris"/>
    <x v="4"/>
    <x v="79"/>
    <n v="31"/>
    <n v="310"/>
    <n v="32"/>
    <n v="3210"/>
    <n v="45"/>
    <n v="1.40625"/>
    <n v="32"/>
    <n v="93"/>
    <n v="0.34408602150537637"/>
    <n v="0"/>
    <n v="120"/>
    <n v="0"/>
    <n v="18"/>
    <n v="22"/>
    <n v="0.81818181818181823"/>
    <n v="9"/>
    <n v="33"/>
    <n v="42"/>
    <n v="90"/>
    <n v="330"/>
    <n v="420"/>
    <n v="1.3125"/>
    <n v="34"/>
    <n v="1.0625"/>
    <n v="17"/>
    <n v="170"/>
    <n v="0.53125"/>
    <n v="20"/>
    <n v="2"/>
    <n v="6.25E-2"/>
    <n v="250"/>
    <x v="78"/>
    <n v="25"/>
    <n v="0.78125"/>
    <n v="42"/>
    <n v="1.3125"/>
    <n v="82"/>
    <n v="2.5625"/>
  </r>
  <r>
    <s v="Jamison Brewer"/>
    <x v="4"/>
    <x v="80"/>
    <n v="24"/>
    <n v="240"/>
    <n v="18"/>
    <n v="1840"/>
    <n v="17"/>
    <n v="0.94444444444444442"/>
    <n v="11"/>
    <n v="37"/>
    <n v="0.29729729729729731"/>
    <n v="30"/>
    <n v="150"/>
    <n v="0.2"/>
    <n v="6"/>
    <n v="13"/>
    <n v="0.46153846153846156"/>
    <n v="6"/>
    <n v="16"/>
    <n v="22"/>
    <n v="60"/>
    <n v="160"/>
    <n v="220"/>
    <n v="1.2222222222222223"/>
    <n v="12"/>
    <n v="0.66666666666666663"/>
    <n v="8"/>
    <n v="80"/>
    <n v="0.44444444444444442"/>
    <n v="10"/>
    <n v="1"/>
    <n v="5.5555555555555552E-2"/>
    <n v="130"/>
    <x v="79"/>
    <n v="13"/>
    <n v="0.72222222222222221"/>
    <n v="11"/>
    <n v="0.61111111111111116"/>
    <n v="31"/>
    <n v="1.7222222222222223"/>
  </r>
  <r>
    <s v="Vin Baker"/>
    <x v="4"/>
    <x v="81"/>
    <n v="33"/>
    <n v="330"/>
    <n v="24"/>
    <n v="1910"/>
    <n v="6"/>
    <n v="0.25"/>
    <n v="13"/>
    <n v="38"/>
    <n v="0.34210526315789475"/>
    <n v="0"/>
    <n v="10"/>
    <n v="0"/>
    <n v="7"/>
    <n v="15"/>
    <n v="0.46666666666666667"/>
    <n v="17"/>
    <n v="20"/>
    <n v="37"/>
    <n v="170"/>
    <n v="200"/>
    <n v="370"/>
    <n v="1.5416666666666667"/>
    <n v="9"/>
    <n v="0.375"/>
    <n v="2"/>
    <n v="20"/>
    <n v="8.3333333333333329E-2"/>
    <n v="40"/>
    <n v="4"/>
    <n v="0.16666666666666666"/>
    <n v="150"/>
    <x v="80"/>
    <n v="15"/>
    <n v="0.625"/>
    <n v="31"/>
    <n v="1.2916666666666667"/>
    <n v="33"/>
    <n v="1.375"/>
  </r>
  <r>
    <s v="Bruno Sundov"/>
    <x v="4"/>
    <x v="82"/>
    <n v="25"/>
    <n v="250"/>
    <n v="21"/>
    <n v="730"/>
    <n v="-4"/>
    <n v="-0.19047619047619047"/>
    <n v="11"/>
    <n v="37"/>
    <n v="297"/>
    <n v="10"/>
    <n v="30"/>
    <n v="0.33333333333333331"/>
    <n v="2"/>
    <n v="2"/>
    <n v="1"/>
    <n v="6"/>
    <n v="7"/>
    <n v="13"/>
    <n v="60"/>
    <n v="70"/>
    <n v="130"/>
    <n v="0.61904761904761907"/>
    <n v="2"/>
    <n v="9.5238095238095233E-2"/>
    <n v="2"/>
    <n v="20"/>
    <n v="9.5238095238095233E-2"/>
    <n v="20"/>
    <n v="2"/>
    <n v="9.5238095238095233E-2"/>
    <n v="60"/>
    <x v="81"/>
    <n v="6"/>
    <n v="0.2857142857142857"/>
    <n v="16"/>
    <n v="0.76190476190476186"/>
    <n v="25"/>
    <n v="1.1904761904761905"/>
  </r>
  <r>
    <s v="Shandon Anderson"/>
    <x v="4"/>
    <x v="83"/>
    <n v="31"/>
    <n v="310"/>
    <n v="1"/>
    <n v="200"/>
    <n v="-4"/>
    <n v="-4"/>
    <n v="0"/>
    <n v="2"/>
    <n v="0"/>
    <n v="0"/>
    <n v="10"/>
    <n v="0"/>
    <n v="0"/>
    <n v="0"/>
    <e v="#DIV/0!"/>
    <n v="1"/>
    <n v="0"/>
    <n v="1"/>
    <n v="10"/>
    <n v="0"/>
    <n v="10"/>
    <n v="1"/>
    <n v="0"/>
    <n v="0"/>
    <n v="0"/>
    <n v="0"/>
    <n v="0"/>
    <n v="0"/>
    <n v="0"/>
    <n v="0"/>
    <n v="10"/>
    <x v="28"/>
    <n v="1"/>
    <n v="1"/>
    <n v="2"/>
    <n v="2"/>
    <n v="0"/>
    <n v="0"/>
  </r>
  <r>
    <s v="Stephon Marbury"/>
    <x v="5"/>
    <x v="84"/>
    <n v="29"/>
    <n v="290"/>
    <n v="60"/>
    <n v="21930"/>
    <n v="796"/>
    <n v="13.266666666666667"/>
    <n v="349"/>
    <n v="774"/>
    <n v="0.45090439276485789"/>
    <n v="330"/>
    <n v="1040"/>
    <n v="0.31730769230769229"/>
    <n v="246"/>
    <n v="326"/>
    <n v="0.754601226993865"/>
    <n v="25"/>
    <n v="150"/>
    <n v="175"/>
    <n v="250"/>
    <n v="1500"/>
    <n v="1750"/>
    <n v="2.9166666666666665"/>
    <n v="382"/>
    <n v="6.3666666666666663"/>
    <n v="63"/>
    <n v="630"/>
    <n v="1.05"/>
    <n v="40"/>
    <n v="4"/>
    <n v="6.6666666666666666E-2"/>
    <n v="1570"/>
    <x v="82"/>
    <n v="157"/>
    <n v="2.6166666666666667"/>
    <n v="143"/>
    <n v="2.3833333333333333"/>
    <n v="977"/>
    <n v="16.283333333333335"/>
  </r>
  <r>
    <s v="Jamal Crawford"/>
    <x v="5"/>
    <x v="85"/>
    <n v="26"/>
    <n v="260"/>
    <n v="79"/>
    <n v="25550"/>
    <n v="879"/>
    <n v="11.126582278481013"/>
    <n v="366"/>
    <n v="879"/>
    <n v="416"/>
    <n v="1010"/>
    <n v="2930"/>
    <n v="0.34470989761092152"/>
    <n v="295"/>
    <n v="357"/>
    <n v="0.8263305322128851"/>
    <n v="36"/>
    <n v="212"/>
    <n v="248"/>
    <n v="360"/>
    <n v="2120"/>
    <n v="2480"/>
    <n v="3.1392405063291138"/>
    <n v="301"/>
    <n v="3.8101265822784809"/>
    <n v="87"/>
    <n v="870"/>
    <n v="1.1012658227848102"/>
    <n v="150"/>
    <n v="15"/>
    <n v="0.189873417721519"/>
    <n v="1750"/>
    <x v="83"/>
    <n v="175"/>
    <n v="2.2151898734177213"/>
    <n v="150"/>
    <n v="1.8987341772151898"/>
    <n v="1128"/>
    <n v="14.278481012658228"/>
  </r>
  <r>
    <s v="Channing Frye"/>
    <x v="5"/>
    <x v="86"/>
    <n v="23"/>
    <n v="230"/>
    <n v="65"/>
    <n v="15720"/>
    <n v="634"/>
    <n v="9.7538461538461547"/>
    <n v="305"/>
    <n v="640"/>
    <n v="477"/>
    <n v="30"/>
    <n v="90"/>
    <n v="0.33333333333333331"/>
    <n v="189"/>
    <n v="229"/>
    <n v="0.8253275109170306"/>
    <n v="138"/>
    <n v="236"/>
    <n v="374"/>
    <n v="1380"/>
    <n v="2360"/>
    <n v="3740"/>
    <n v="5.7538461538461538"/>
    <n v="53"/>
    <n v="0.81538461538461537"/>
    <n v="30"/>
    <n v="300"/>
    <n v="0.46153846153846156"/>
    <n v="470"/>
    <n v="47"/>
    <n v="0.72307692307692306"/>
    <n v="970"/>
    <x v="84"/>
    <n v="97"/>
    <n v="1.4923076923076923"/>
    <n v="200"/>
    <n v="3.0769230769230771"/>
    <n v="802"/>
    <n v="12.338461538461539"/>
  </r>
  <r>
    <s v="Jalen Rose"/>
    <x v="5"/>
    <x v="87"/>
    <n v="33"/>
    <n v="330"/>
    <n v="26"/>
    <n v="7460"/>
    <n v="240"/>
    <n v="9.2307692307692299"/>
    <n v="110"/>
    <n v="239"/>
    <n v="0.46025104602510458"/>
    <n v="280"/>
    <n v="570"/>
    <n v="0.49122807017543857"/>
    <n v="82"/>
    <n v="101"/>
    <n v="0.81188118811881194"/>
    <n v="13"/>
    <n v="69"/>
    <n v="82"/>
    <n v="130"/>
    <n v="690"/>
    <n v="820"/>
    <n v="3.1538461538461537"/>
    <n v="68"/>
    <n v="2.6153846153846154"/>
    <n v="10"/>
    <n v="100"/>
    <n v="0.38461538461538464"/>
    <n v="30"/>
    <n v="3"/>
    <n v="0.11538461538461539"/>
    <n v="500"/>
    <x v="85"/>
    <n v="50"/>
    <n v="1.9230769230769231"/>
    <n v="55"/>
    <n v="2.1153846153846154"/>
    <n v="330"/>
    <n v="12.692307692307692"/>
  </r>
  <r>
    <s v="Eddy Curry"/>
    <x v="5"/>
    <x v="88"/>
    <n v="23"/>
    <n v="230"/>
    <n v="72"/>
    <n v="18660"/>
    <n v="656"/>
    <n v="9.1111111111111107"/>
    <n v="336"/>
    <n v="597"/>
    <n v="563"/>
    <n v="0"/>
    <n v="0"/>
    <e v="#DIV/0!"/>
    <n v="307"/>
    <n v="486"/>
    <n v="0.63168724279835387"/>
    <n v="145"/>
    <n v="287"/>
    <n v="432"/>
    <n v="1450"/>
    <n v="2870"/>
    <n v="4320"/>
    <n v="6"/>
    <n v="19"/>
    <n v="0.2638888888888889"/>
    <n v="28"/>
    <n v="280"/>
    <n v="0.3888888888888889"/>
    <n v="560"/>
    <n v="56"/>
    <n v="0.77777777777777779"/>
    <n v="1790"/>
    <x v="86"/>
    <n v="179"/>
    <n v="2.4861111111111112"/>
    <n v="239"/>
    <n v="3.3194444444444446"/>
    <n v="979"/>
    <n v="13.597222222222221"/>
  </r>
  <r>
    <s v="Steve Francis"/>
    <x v="5"/>
    <x v="89"/>
    <n v="29"/>
    <n v="290"/>
    <n v="24"/>
    <n v="6590"/>
    <n v="189"/>
    <n v="7.875"/>
    <n v="84"/>
    <n v="190"/>
    <n v="0.44210526315789472"/>
    <n v="70"/>
    <n v="130"/>
    <n v="0.53846153846153844"/>
    <n v="83"/>
    <n v="109"/>
    <n v="0.76146788990825687"/>
    <n v="14"/>
    <n v="57"/>
    <n v="71"/>
    <n v="140"/>
    <n v="570"/>
    <n v="710"/>
    <n v="2.9583333333333335"/>
    <n v="83"/>
    <n v="3.4583333333333335"/>
    <n v="23"/>
    <n v="230"/>
    <n v="0.95833333333333337"/>
    <n v="60"/>
    <n v="6"/>
    <n v="0.25"/>
    <n v="580"/>
    <x v="87"/>
    <n v="58"/>
    <n v="2.4166666666666665"/>
    <n v="62"/>
    <n v="2.5833333333333335"/>
    <n v="258"/>
    <n v="10.75"/>
  </r>
  <r>
    <s v="David Lee"/>
    <x v="5"/>
    <x v="90"/>
    <n v="23"/>
    <n v="230"/>
    <n v="67"/>
    <n v="11290"/>
    <n v="421"/>
    <n v="6.2835820895522385"/>
    <n v="137"/>
    <n v="230"/>
    <n v="0.59565217391304348"/>
    <n v="0"/>
    <n v="0"/>
    <e v="#DIV/0!"/>
    <n v="71"/>
    <n v="123"/>
    <n v="0.57723577235772361"/>
    <n v="109"/>
    <n v="194"/>
    <n v="303"/>
    <n v="1090"/>
    <n v="1940"/>
    <n v="3030"/>
    <n v="4.5223880597014929"/>
    <n v="43"/>
    <n v="0.64179104477611937"/>
    <n v="30"/>
    <n v="300"/>
    <n v="0.44776119402985076"/>
    <n v="200"/>
    <n v="20"/>
    <n v="0.29850746268656714"/>
    <n v="510"/>
    <x v="88"/>
    <n v="51"/>
    <n v="0.76119402985074625"/>
    <n v="124"/>
    <n v="1.8507462686567164"/>
    <n v="345"/>
    <n v="5.1492537313432836"/>
  </r>
  <r>
    <s v="Qyntel Woods"/>
    <x v="5"/>
    <x v="91"/>
    <n v="25"/>
    <n v="250"/>
    <n v="49"/>
    <n v="10130"/>
    <n v="302"/>
    <n v="6.1632653061224492"/>
    <n v="129"/>
    <n v="254"/>
    <n v="508"/>
    <n v="220"/>
    <n v="600"/>
    <n v="0.36666666666666664"/>
    <n v="49"/>
    <n v="76"/>
    <n v="0.64473684210526316"/>
    <n v="44"/>
    <n v="146"/>
    <n v="190"/>
    <n v="440"/>
    <n v="1460"/>
    <n v="1900"/>
    <n v="3.8775510204081631"/>
    <n v="47"/>
    <n v="0.95918367346938771"/>
    <n v="32"/>
    <n v="320"/>
    <n v="0.65306122448979587"/>
    <n v="130"/>
    <n v="13"/>
    <n v="0.26530612244897961"/>
    <n v="610"/>
    <x v="89"/>
    <n v="61"/>
    <n v="1.2448979591836735"/>
    <n v="96"/>
    <n v="1.9591836734693877"/>
    <n v="329"/>
    <n v="6.7142857142857144"/>
  </r>
  <r>
    <s v="Quentin Richardson"/>
    <x v="5"/>
    <x v="92"/>
    <n v="26"/>
    <n v="260"/>
    <n v="55"/>
    <n v="14420"/>
    <n v="298"/>
    <n v="5.418181818181818"/>
    <n v="163"/>
    <n v="459"/>
    <n v="355"/>
    <n v="640"/>
    <n v="1880"/>
    <n v="0.34042553191489361"/>
    <n v="61"/>
    <n v="91"/>
    <n v="0.67032967032967028"/>
    <n v="65"/>
    <n v="165"/>
    <n v="230"/>
    <n v="650"/>
    <n v="1650"/>
    <n v="2300"/>
    <n v="4.1818181818181817"/>
    <n v="88"/>
    <n v="1.6"/>
    <n v="39"/>
    <n v="390"/>
    <n v="0.70909090909090911"/>
    <n v="60"/>
    <n v="6"/>
    <n v="0.10909090909090909"/>
    <n v="560"/>
    <x v="90"/>
    <n v="56"/>
    <n v="1.0181818181818181"/>
    <n v="134"/>
    <n v="2.4363636363636365"/>
    <n v="451"/>
    <n v="8.1999999999999993"/>
  </r>
  <r>
    <s v="Nate Robinson"/>
    <x v="5"/>
    <x v="93"/>
    <n v="22"/>
    <n v="220"/>
    <n v="72"/>
    <n v="15440"/>
    <n v="344"/>
    <n v="4.7777777777777777"/>
    <n v="230"/>
    <n v="565"/>
    <n v="0.40707964601769914"/>
    <n v="580"/>
    <n v="1460"/>
    <n v="0.39726027397260272"/>
    <n v="152"/>
    <n v="202"/>
    <n v="0.75247524752475248"/>
    <n v="56"/>
    <n v="111"/>
    <n v="167"/>
    <n v="560"/>
    <n v="1110"/>
    <n v="1670"/>
    <n v="2.3194444444444446"/>
    <n v="147"/>
    <n v="2.0416666666666665"/>
    <n v="59"/>
    <n v="590"/>
    <n v="0.81944444444444442"/>
    <n v="10"/>
    <n v="1"/>
    <n v="1.3888888888888888E-2"/>
    <n v="1140"/>
    <x v="91"/>
    <n v="114"/>
    <n v="1.5833333333333333"/>
    <n v="201"/>
    <n v="2.7916666666666665"/>
    <n v="670"/>
    <n v="9.3055555555555554"/>
  </r>
  <r>
    <s v="Jackie Butler"/>
    <x v="5"/>
    <x v="94"/>
    <n v="21"/>
    <n v="210"/>
    <n v="55"/>
    <n v="7400"/>
    <n v="242"/>
    <n v="4.4000000000000004"/>
    <n v="117"/>
    <n v="215"/>
    <n v="0.54418604651162794"/>
    <n v="0"/>
    <n v="0"/>
    <e v="#DIV/0!"/>
    <n v="58"/>
    <n v="77"/>
    <n v="0.75324675324675328"/>
    <n v="67"/>
    <n v="116"/>
    <n v="183"/>
    <n v="670"/>
    <n v="1160"/>
    <n v="1830"/>
    <n v="3.3272727272727272"/>
    <n v="25"/>
    <n v="0.45454545454545453"/>
    <n v="17"/>
    <n v="170"/>
    <n v="0.30909090909090908"/>
    <n v="310"/>
    <n v="31"/>
    <n v="0.5636363636363636"/>
    <n v="620"/>
    <x v="92"/>
    <n v="62"/>
    <n v="1.1272727272727272"/>
    <n v="127"/>
    <n v="2.3090909090909091"/>
    <n v="292"/>
    <n v="5.3090909090909095"/>
  </r>
  <r>
    <s v="Trevor Ariza"/>
    <x v="5"/>
    <x v="95"/>
    <n v="20"/>
    <n v="200"/>
    <n v="36"/>
    <n v="7090"/>
    <n v="156"/>
    <n v="4.333333333333333"/>
    <n v="61"/>
    <n v="146"/>
    <n v="0.4178082191780822"/>
    <n v="10"/>
    <n v="30"/>
    <n v="0.33333333333333331"/>
    <n v="42"/>
    <n v="77"/>
    <n v="0.54545454545454541"/>
    <n v="49"/>
    <n v="88"/>
    <n v="137"/>
    <n v="490"/>
    <n v="880"/>
    <n v="1370"/>
    <n v="3.8055555555555554"/>
    <n v="46"/>
    <n v="1.2777777777777777"/>
    <n v="43"/>
    <n v="430"/>
    <n v="1.1944444444444444"/>
    <n v="90"/>
    <n v="9"/>
    <n v="0.25"/>
    <n v="460"/>
    <x v="93"/>
    <n v="46"/>
    <n v="1.2777777777777777"/>
    <n v="78"/>
    <n v="2.1666666666666665"/>
    <n v="165"/>
    <n v="4.583333333333333"/>
  </r>
  <r>
    <s v="Matt Barnes"/>
    <x v="5"/>
    <x v="96"/>
    <n v="26"/>
    <n v="260"/>
    <n v="6"/>
    <n v="930"/>
    <n v="26"/>
    <n v="4.333333333333333"/>
    <n v="11"/>
    <n v="30"/>
    <n v="0.36666666666666664"/>
    <n v="10"/>
    <n v="40"/>
    <n v="0.25"/>
    <n v="3"/>
    <n v="4"/>
    <n v="0.75"/>
    <n v="7"/>
    <n v="17"/>
    <n v="24"/>
    <n v="70"/>
    <n v="170"/>
    <n v="240"/>
    <n v="4"/>
    <n v="6"/>
    <n v="1"/>
    <n v="4"/>
    <n v="40"/>
    <n v="0.66666666666666663"/>
    <n v="0"/>
    <n v="0"/>
    <n v="0"/>
    <n v="60"/>
    <x v="94"/>
    <n v="6"/>
    <n v="1"/>
    <n v="8"/>
    <n v="1.3333333333333333"/>
    <n v="26"/>
    <n v="4.333333333333333"/>
  </r>
  <r>
    <s v="Antonio Davis"/>
    <x v="5"/>
    <x v="97"/>
    <n v="37"/>
    <n v="370"/>
    <n v="36"/>
    <n v="7490"/>
    <n v="147"/>
    <n v="4.083333333333333"/>
    <n v="68"/>
    <n v="159"/>
    <n v="428"/>
    <n v="0"/>
    <n v="10"/>
    <n v="0"/>
    <n v="45"/>
    <n v="61"/>
    <n v="0.73770491803278693"/>
    <n v="75"/>
    <n v="97"/>
    <n v="172"/>
    <n v="750"/>
    <n v="970"/>
    <n v="1720"/>
    <n v="4.7777777777777777"/>
    <n v="14"/>
    <n v="0.3888888888888889"/>
    <n v="20"/>
    <n v="200"/>
    <n v="0.55555555555555558"/>
    <n v="90"/>
    <n v="9"/>
    <n v="0.25"/>
    <n v="430"/>
    <x v="95"/>
    <n v="43"/>
    <n v="1.1944444444444444"/>
    <n v="99"/>
    <n v="2.75"/>
    <n v="181"/>
    <n v="5.0277777777777777"/>
  </r>
  <r>
    <s v="Malik Rose"/>
    <x v="5"/>
    <x v="98"/>
    <n v="31"/>
    <n v="310"/>
    <n v="72"/>
    <n v="11190"/>
    <n v="270"/>
    <n v="3.75"/>
    <n v="105"/>
    <n v="281"/>
    <n v="374"/>
    <n v="10"/>
    <n v="10"/>
    <n v="1"/>
    <n v="107"/>
    <n v="137"/>
    <n v="0.78102189781021902"/>
    <n v="84"/>
    <n v="175"/>
    <n v="259"/>
    <n v="840"/>
    <n v="1750"/>
    <n v="2590"/>
    <n v="3.5972222222222223"/>
    <n v="67"/>
    <n v="0.93055555555555558"/>
    <n v="43"/>
    <n v="430"/>
    <n v="0.59722222222222221"/>
    <n v="140"/>
    <n v="14"/>
    <n v="0.19444444444444445"/>
    <n v="800"/>
    <x v="96"/>
    <n v="80"/>
    <n v="1.1111111111111112"/>
    <n v="145"/>
    <n v="2.0138888888888888"/>
    <n v="318"/>
    <n v="4.416666666666667"/>
  </r>
  <r>
    <s v="Maurice Taylor"/>
    <x v="5"/>
    <x v="99"/>
    <n v="29"/>
    <n v="290"/>
    <n v="67"/>
    <n v="12100"/>
    <n v="227"/>
    <n v="3.3880597014925371"/>
    <n v="182"/>
    <n v="389"/>
    <n v="468"/>
    <n v="0"/>
    <n v="10"/>
    <n v="0"/>
    <n v="58"/>
    <n v="83"/>
    <n v="0.6987951807228916"/>
    <n v="65"/>
    <n v="164"/>
    <n v="229"/>
    <n v="650"/>
    <n v="1640"/>
    <n v="2290"/>
    <n v="3.4179104477611939"/>
    <n v="53"/>
    <n v="0.79104477611940294"/>
    <n v="21"/>
    <n v="210"/>
    <n v="0.31343283582089554"/>
    <n v="140"/>
    <n v="14"/>
    <n v="0.20895522388059701"/>
    <n v="1030"/>
    <x v="97"/>
    <n v="103"/>
    <n v="1.5373134328358209"/>
    <n v="177"/>
    <n v="2.6417910447761193"/>
    <n v="422"/>
    <n v="6.2985074626865671"/>
  </r>
  <r>
    <s v="Ime Udoka"/>
    <x v="5"/>
    <x v="100"/>
    <n v="28"/>
    <n v="280"/>
    <n v="8"/>
    <n v="1140"/>
    <n v="18"/>
    <n v="2.25"/>
    <n v="9"/>
    <n v="24"/>
    <n v="375"/>
    <n v="10"/>
    <n v="30"/>
    <n v="0.33333333333333331"/>
    <n v="3"/>
    <n v="6"/>
    <n v="0.5"/>
    <n v="3"/>
    <n v="14"/>
    <n v="17"/>
    <n v="30"/>
    <n v="140"/>
    <n v="170"/>
    <n v="2.125"/>
    <n v="6"/>
    <n v="0.75"/>
    <n v="1"/>
    <n v="10"/>
    <n v="0.125"/>
    <n v="0"/>
    <n v="0"/>
    <n v="0"/>
    <n v="20"/>
    <x v="98"/>
    <n v="2"/>
    <n v="0.25"/>
    <n v="8"/>
    <n v="1"/>
    <n v="22"/>
    <n v="2.75"/>
  </r>
  <r>
    <s v="Anfernee Hardaway"/>
    <x v="5"/>
    <x v="101"/>
    <n v="34"/>
    <n v="340"/>
    <n v="4"/>
    <n v="720"/>
    <n v="7"/>
    <n v="1.75"/>
    <n v="4"/>
    <n v="14"/>
    <n v="0.2857142857142857"/>
    <n v="0"/>
    <n v="10"/>
    <n v="0"/>
    <n v="2"/>
    <n v="2"/>
    <n v="1"/>
    <n v="0"/>
    <n v="10"/>
    <n v="10"/>
    <n v="0"/>
    <n v="100"/>
    <n v="100"/>
    <n v="2.5"/>
    <n v="8"/>
    <n v="2"/>
    <n v="2"/>
    <n v="20"/>
    <n v="0.5"/>
    <n v="0"/>
    <n v="0"/>
    <n v="0"/>
    <n v="60"/>
    <x v="53"/>
    <n v="6"/>
    <n v="1.5"/>
    <n v="7"/>
    <n v="1.75"/>
    <n v="10"/>
    <n v="2.5"/>
  </r>
  <r>
    <s v="Jerome James"/>
    <x v="5"/>
    <x v="102"/>
    <n v="30"/>
    <n v="300"/>
    <n v="45"/>
    <n v="4060"/>
    <n v="31"/>
    <n v="0.68888888888888888"/>
    <n v="56"/>
    <n v="121"/>
    <n v="463"/>
    <n v="0"/>
    <n v="0"/>
    <e v="#DIV/0!"/>
    <n v="25"/>
    <n v="40"/>
    <n v="0.625"/>
    <n v="39"/>
    <n v="52"/>
    <n v="91"/>
    <n v="390"/>
    <n v="520"/>
    <n v="910"/>
    <n v="2.0222222222222221"/>
    <n v="12"/>
    <n v="0.26666666666666666"/>
    <n v="3"/>
    <n v="30"/>
    <n v="6.6666666666666666E-2"/>
    <n v="230"/>
    <n v="23"/>
    <n v="0.51111111111111107"/>
    <n v="510"/>
    <x v="99"/>
    <n v="51"/>
    <n v="1.1333333333333333"/>
    <n v="104"/>
    <n v="2.3111111111111109"/>
    <n v="137"/>
    <n v="3.0444444444444443"/>
  </r>
  <r>
    <s v="David Lee"/>
    <x v="6"/>
    <x v="103"/>
    <n v="24"/>
    <n v="240"/>
    <n v="58"/>
    <n v="17270"/>
    <n v="959"/>
    <n v="16.53448275862069"/>
    <n v="240"/>
    <n v="400"/>
    <n v="0.6"/>
    <n v="0"/>
    <n v="0"/>
    <e v="#DIV/0!"/>
    <n v="141"/>
    <n v="173"/>
    <n v="0.81502890173410403"/>
    <n v="196"/>
    <n v="406"/>
    <n v="602"/>
    <n v="1960"/>
    <n v="4060"/>
    <n v="6020"/>
    <n v="10.379310344827585"/>
    <n v="104"/>
    <n v="1.7931034482758621"/>
    <n v="48"/>
    <n v="480"/>
    <n v="0.82758620689655171"/>
    <n v="230"/>
    <n v="23"/>
    <n v="0.39655172413793105"/>
    <n v="920"/>
    <x v="100"/>
    <n v="92"/>
    <n v="1.5862068965517242"/>
    <n v="155"/>
    <n v="2.6724137931034484"/>
    <n v="621"/>
    <n v="10.706896551724139"/>
  </r>
  <r>
    <s v="Eddy Curry"/>
    <x v="6"/>
    <x v="104"/>
    <n v="24"/>
    <n v="240"/>
    <n v="81"/>
    <n v="28490"/>
    <n v="1044"/>
    <n v="12.888888888888889"/>
    <n v="585"/>
    <n v="1016"/>
    <n v="576"/>
    <n v="10"/>
    <n v="10"/>
    <n v="1"/>
    <n v="405"/>
    <n v="659"/>
    <n v="0.61456752655538693"/>
    <n v="195"/>
    <n v="376"/>
    <n v="571"/>
    <n v="1950"/>
    <n v="3760"/>
    <n v="5710"/>
    <n v="7.0493827160493829"/>
    <n v="68"/>
    <n v="0.83950617283950613"/>
    <n v="34"/>
    <n v="340"/>
    <n v="0.41975308641975306"/>
    <n v="400"/>
    <n v="40"/>
    <n v="0.49382716049382713"/>
    <n v="2950"/>
    <x v="101"/>
    <n v="295"/>
    <n v="3.6419753086419755"/>
    <n v="265"/>
    <n v="3.2716049382716048"/>
    <n v="1576"/>
    <n v="19.456790123456791"/>
  </r>
  <r>
    <s v="Stephon Marbury"/>
    <x v="6"/>
    <x v="105"/>
    <n v="30"/>
    <n v="300"/>
    <n v="74"/>
    <n v="27480"/>
    <n v="897"/>
    <n v="12.121621621621621"/>
    <n v="395"/>
    <n v="952"/>
    <n v="0.41491596638655465"/>
    <n v="1230"/>
    <n v="3450"/>
    <n v="0.35652173913043478"/>
    <n v="297"/>
    <n v="386"/>
    <n v="0.76943005181347146"/>
    <n v="36"/>
    <n v="177"/>
    <n v="213"/>
    <n v="360"/>
    <n v="1770"/>
    <n v="2130"/>
    <n v="2.8783783783783785"/>
    <n v="403"/>
    <n v="5.4459459459459456"/>
    <n v="71"/>
    <n v="710"/>
    <n v="0.95945945945945943"/>
    <n v="100"/>
    <n v="10"/>
    <n v="0.13513513513513514"/>
    <n v="1790"/>
    <x v="102"/>
    <n v="179"/>
    <n v="2.4189189189189189"/>
    <n v="185"/>
    <n v="2.5"/>
    <n v="1210"/>
    <n v="16.351351351351351"/>
  </r>
  <r>
    <s v="Quentin Richardson"/>
    <x v="6"/>
    <x v="106"/>
    <n v="27"/>
    <n v="270"/>
    <n v="49"/>
    <n v="16210"/>
    <n v="582"/>
    <n v="11.877551020408163"/>
    <n v="228"/>
    <n v="545"/>
    <n v="418"/>
    <n v="970"/>
    <n v="2580"/>
    <n v="0.37596899224806202"/>
    <n v="83"/>
    <n v="120"/>
    <n v="0.69166666666666665"/>
    <n v="65"/>
    <n v="287"/>
    <n v="352"/>
    <n v="650"/>
    <n v="2870"/>
    <n v="3520"/>
    <n v="7.1836734693877551"/>
    <n v="108"/>
    <n v="2.204081632653061"/>
    <n v="36"/>
    <n v="360"/>
    <n v="0.73469387755102045"/>
    <n v="70"/>
    <n v="7"/>
    <n v="0.14285714285714285"/>
    <n v="700"/>
    <x v="103"/>
    <n v="70"/>
    <n v="1.4285714285714286"/>
    <n v="133"/>
    <n v="2.7142857142857144"/>
    <n v="636"/>
    <n v="12.979591836734693"/>
  </r>
  <r>
    <s v="Jamal Crawford"/>
    <x v="6"/>
    <x v="107"/>
    <n v="27"/>
    <n v="270"/>
    <n v="59"/>
    <n v="21980"/>
    <n v="700"/>
    <n v="11.864406779661017"/>
    <n v="354"/>
    <n v="886"/>
    <n v="4"/>
    <n v="1030"/>
    <n v="3220"/>
    <n v="0.31987577639751552"/>
    <n v="228"/>
    <n v="272"/>
    <n v="0.83823529411764708"/>
    <n v="44"/>
    <n v="145"/>
    <n v="189"/>
    <n v="440"/>
    <n v="1450"/>
    <n v="1890"/>
    <n v="3.2033898305084745"/>
    <n v="259"/>
    <n v="4.3898305084745761"/>
    <n v="57"/>
    <n v="570"/>
    <n v="0.96610169491525422"/>
    <n v="80"/>
    <n v="8"/>
    <n v="0.13559322033898305"/>
    <n v="1620"/>
    <x v="104"/>
    <n v="162"/>
    <n v="2.7457627118644066"/>
    <n v="114"/>
    <n v="1.9322033898305084"/>
    <n v="1039"/>
    <n v="17.610169491525422"/>
  </r>
  <r>
    <s v="Steve Francis"/>
    <x v="6"/>
    <x v="108"/>
    <n v="30"/>
    <n v="300"/>
    <n v="44"/>
    <n v="12370"/>
    <n v="412"/>
    <n v="9.3636363636363633"/>
    <n v="140"/>
    <n v="343"/>
    <n v="0.40816326530612246"/>
    <n v="420"/>
    <n v="1110"/>
    <n v="0.3783783783783784"/>
    <n v="175"/>
    <n v="211"/>
    <n v="0.82938388625592419"/>
    <n v="33"/>
    <n v="124"/>
    <n v="157"/>
    <n v="330"/>
    <n v="1240"/>
    <n v="1570"/>
    <n v="3.5681818181818183"/>
    <n v="170"/>
    <n v="3.8636363636363638"/>
    <n v="41"/>
    <n v="410"/>
    <n v="0.93181818181818177"/>
    <n v="120"/>
    <n v="12"/>
    <n v="0.27272727272727271"/>
    <n v="1000"/>
    <x v="105"/>
    <n v="100"/>
    <n v="2.2727272727272729"/>
    <n v="126"/>
    <n v="2.8636363636363638"/>
    <n v="497"/>
    <n v="11.295454545454545"/>
  </r>
  <r>
    <s v="Channing Frye"/>
    <x v="6"/>
    <x v="109"/>
    <n v="24"/>
    <n v="240"/>
    <n v="72"/>
    <n v="18990"/>
    <n v="494"/>
    <n v="6.8611111111111107"/>
    <n v="298"/>
    <n v="689"/>
    <n v="433"/>
    <n v="30"/>
    <n v="180"/>
    <n v="0.16666666666666666"/>
    <n v="85"/>
    <n v="108"/>
    <n v="0.78703703703703709"/>
    <n v="91"/>
    <n v="304"/>
    <n v="395"/>
    <n v="910"/>
    <n v="3040"/>
    <n v="3950"/>
    <n v="5.4861111111111107"/>
    <n v="67"/>
    <n v="0.93055555555555558"/>
    <n v="36"/>
    <n v="360"/>
    <n v="0.5"/>
    <n v="420"/>
    <n v="42"/>
    <n v="0.58333333333333337"/>
    <n v="1000"/>
    <x v="106"/>
    <n v="100"/>
    <n v="1.3888888888888888"/>
    <n v="216"/>
    <n v="3"/>
    <n v="684"/>
    <n v="9.5"/>
  </r>
  <r>
    <s v="Nate Robinson"/>
    <x v="6"/>
    <x v="110"/>
    <n v="23"/>
    <n v="230"/>
    <n v="64"/>
    <n v="13560"/>
    <n v="384"/>
    <n v="6"/>
    <n v="227"/>
    <n v="523"/>
    <n v="0.4340344168260038"/>
    <n v="830"/>
    <n v="2130"/>
    <n v="0.38967136150234744"/>
    <n v="108"/>
    <n v="139"/>
    <n v="0.7769784172661871"/>
    <n v="55"/>
    <n v="97"/>
    <n v="152"/>
    <n v="550"/>
    <n v="970"/>
    <n v="1520"/>
    <n v="2.375"/>
    <n v="90"/>
    <n v="1.40625"/>
    <n v="50"/>
    <n v="500"/>
    <n v="0.78125"/>
    <n v="60"/>
    <n v="6"/>
    <n v="9.375E-2"/>
    <n v="720"/>
    <x v="107"/>
    <n v="72"/>
    <n v="1.125"/>
    <n v="160"/>
    <n v="2.5"/>
    <n v="645"/>
    <n v="10.078125"/>
  </r>
  <r>
    <s v="Renaldo Balkman"/>
    <x v="6"/>
    <x v="111"/>
    <n v="22"/>
    <n v="220"/>
    <n v="68"/>
    <n v="10640"/>
    <n v="403"/>
    <n v="5.9264705882352944"/>
    <n v="139"/>
    <n v="275"/>
    <n v="0.50545454545454549"/>
    <n v="50"/>
    <n v="270"/>
    <n v="0.18518518518518517"/>
    <n v="51"/>
    <n v="90"/>
    <n v="0.56666666666666665"/>
    <n v="97"/>
    <n v="197"/>
    <n v="294"/>
    <n v="970"/>
    <n v="1970"/>
    <n v="2940"/>
    <n v="4.3235294117647056"/>
    <n v="44"/>
    <n v="0.6470588235294118"/>
    <n v="57"/>
    <n v="570"/>
    <n v="0.83823529411764708"/>
    <n v="440"/>
    <n v="44"/>
    <n v="0.6470588235294118"/>
    <n v="490"/>
    <x v="108"/>
    <n v="49"/>
    <n v="0.72058823529411764"/>
    <n v="146"/>
    <n v="2.1470588235294117"/>
    <n v="334"/>
    <n v="4.9117647058823533"/>
  </r>
  <r>
    <s v="Jared Jeffries"/>
    <x v="6"/>
    <x v="112"/>
    <n v="25"/>
    <n v="250"/>
    <n v="55"/>
    <n v="13070"/>
    <n v="243"/>
    <n v="4.418181818181818"/>
    <n v="95"/>
    <n v="206"/>
    <n v="461"/>
    <n v="20"/>
    <n v="200"/>
    <n v="0.1"/>
    <n v="31"/>
    <n v="68"/>
    <n v="0.45588235294117646"/>
    <n v="111"/>
    <n v="127"/>
    <n v="238"/>
    <n v="1110"/>
    <n v="1270"/>
    <n v="2380"/>
    <n v="4.3272727272727272"/>
    <n v="67"/>
    <n v="1.2181818181818183"/>
    <n v="44"/>
    <n v="440"/>
    <n v="0.8"/>
    <n v="300"/>
    <n v="30"/>
    <n v="0.54545454545454541"/>
    <n v="610"/>
    <x v="109"/>
    <n v="61"/>
    <n v="1.1090909090909091"/>
    <n v="150"/>
    <n v="2.7272727272727271"/>
    <n v="223"/>
    <n v="4.0545454545454547"/>
  </r>
  <r>
    <s v="Mardy Collins"/>
    <x v="6"/>
    <x v="113"/>
    <n v="22"/>
    <n v="220"/>
    <n v="52"/>
    <n v="7770"/>
    <n v="150"/>
    <n v="2.8846153846153846"/>
    <n v="87"/>
    <n v="228"/>
    <n v="382"/>
    <n v="130"/>
    <n v="470"/>
    <n v="0.27659574468085107"/>
    <n v="48"/>
    <n v="82"/>
    <n v="0.58536585365853655"/>
    <n v="28"/>
    <n v="76"/>
    <n v="104"/>
    <n v="280"/>
    <n v="760"/>
    <n v="1040"/>
    <n v="2"/>
    <n v="83"/>
    <n v="1.5961538461538463"/>
    <n v="32"/>
    <n v="320"/>
    <n v="0.61538461538461542"/>
    <n v="30"/>
    <n v="3"/>
    <n v="5.7692307692307696E-2"/>
    <n v="570"/>
    <x v="110"/>
    <n v="57"/>
    <n v="1.0961538461538463"/>
    <n v="75"/>
    <n v="1.4423076923076923"/>
    <n v="235"/>
    <n v="4.5192307692307692"/>
  </r>
  <r>
    <s v="Malik Rose"/>
    <x v="6"/>
    <x v="114"/>
    <n v="32"/>
    <n v="320"/>
    <n v="65"/>
    <n v="8100"/>
    <n v="160"/>
    <n v="2.4615384615384617"/>
    <n v="74"/>
    <n v="186"/>
    <n v="398"/>
    <n v="20"/>
    <n v="80"/>
    <n v="0.25"/>
    <n v="42"/>
    <n v="52"/>
    <n v="0.80769230769230771"/>
    <n v="47"/>
    <n v="128"/>
    <n v="175"/>
    <n v="470"/>
    <n v="1280"/>
    <n v="1750"/>
    <n v="2.6923076923076925"/>
    <n v="65"/>
    <n v="1"/>
    <n v="26"/>
    <n v="260"/>
    <n v="0.4"/>
    <n v="90"/>
    <n v="9"/>
    <n v="0.13846153846153847"/>
    <n v="650"/>
    <x v="111"/>
    <n v="65"/>
    <n v="1"/>
    <n v="120"/>
    <n v="1.8461538461538463"/>
    <n v="192"/>
    <n v="2.953846153846154"/>
  </r>
  <r>
    <s v="Kelvin Cato"/>
    <x v="6"/>
    <x v="115"/>
    <n v="32"/>
    <n v="320"/>
    <n v="18"/>
    <n v="950"/>
    <n v="31"/>
    <n v="1.7222222222222223"/>
    <n v="7"/>
    <n v="22"/>
    <n v="0.31818181818181818"/>
    <n v="0"/>
    <n v="0"/>
    <e v="#DIV/0!"/>
    <n v="8"/>
    <n v="12"/>
    <n v="0.66666666666666663"/>
    <n v="12"/>
    <n v="19"/>
    <n v="31"/>
    <n v="120"/>
    <n v="190"/>
    <n v="310"/>
    <n v="1.7222222222222223"/>
    <n v="0"/>
    <n v="0"/>
    <n v="3"/>
    <n v="30"/>
    <n v="0.16666666666666666"/>
    <n v="100"/>
    <n v="10"/>
    <n v="0.55555555555555558"/>
    <n v="60"/>
    <x v="112"/>
    <n v="6"/>
    <n v="0.33333333333333331"/>
    <n v="10"/>
    <n v="0.55555555555555558"/>
    <n v="22"/>
    <n v="1.2222222222222223"/>
  </r>
  <r>
    <s v="Randolph Morris"/>
    <x v="6"/>
    <x v="116"/>
    <n v="21"/>
    <n v="210"/>
    <n v="5"/>
    <n v="440"/>
    <n v="2"/>
    <n v="0.4"/>
    <n v="1"/>
    <n v="6"/>
    <n v="0.16666666666666666"/>
    <n v="0"/>
    <n v="0"/>
    <e v="#DIV/0!"/>
    <n v="2"/>
    <n v="6"/>
    <n v="0.33333333333333331"/>
    <n v="1"/>
    <n v="8"/>
    <n v="9"/>
    <n v="10"/>
    <n v="80"/>
    <n v="90"/>
    <n v="1.8"/>
    <n v="1"/>
    <n v="0.2"/>
    <n v="2"/>
    <n v="20"/>
    <n v="0.4"/>
    <n v="10"/>
    <n v="1"/>
    <n v="0.2"/>
    <n v="20"/>
    <x v="113"/>
    <n v="2"/>
    <n v="0.4"/>
    <n v="4"/>
    <n v="0.8"/>
    <n v="4"/>
    <n v="0.8"/>
  </r>
  <r>
    <s v="Jerome James"/>
    <x v="6"/>
    <x v="117"/>
    <n v="31"/>
    <n v="310"/>
    <n v="41"/>
    <n v="2730"/>
    <n v="16"/>
    <n v="0.3902439024390244"/>
    <n v="33"/>
    <n v="79"/>
    <n v="418"/>
    <n v="0"/>
    <n v="0"/>
    <e v="#DIV/0!"/>
    <n v="10"/>
    <n v="18"/>
    <n v="0.55555555555555558"/>
    <n v="21"/>
    <n v="45"/>
    <n v="66"/>
    <n v="210"/>
    <n v="450"/>
    <n v="660"/>
    <n v="1.6097560975609757"/>
    <n v="3"/>
    <n v="7.3170731707317069E-2"/>
    <n v="6"/>
    <n v="60"/>
    <n v="0.14634146341463414"/>
    <n v="150"/>
    <n v="15"/>
    <n v="0.36585365853658536"/>
    <n v="230"/>
    <x v="114"/>
    <n v="23"/>
    <n v="0.56097560975609762"/>
    <n v="73"/>
    <n v="1.7804878048780488"/>
    <n v="76"/>
    <n v="1.8536585365853659"/>
  </r>
  <r>
    <s v="Zach Randolph"/>
    <x v="7"/>
    <x v="118"/>
    <n v="26"/>
    <n v="260"/>
    <n v="69"/>
    <n v="22440"/>
    <n v="1124"/>
    <n v="16.289855072463769"/>
    <n v="486"/>
    <n v="1058"/>
    <n v="459"/>
    <n v="220"/>
    <n v="800"/>
    <n v="0.27500000000000002"/>
    <n v="223"/>
    <n v="289"/>
    <n v="0.77162629757785473"/>
    <n v="184"/>
    <n v="526"/>
    <n v="710"/>
    <n v="1840"/>
    <n v="5260"/>
    <n v="7100"/>
    <n v="10.289855072463768"/>
    <n v="140"/>
    <n v="2.0289855072463769"/>
    <n v="59"/>
    <n v="590"/>
    <n v="0.85507246376811596"/>
    <n v="160"/>
    <n v="16"/>
    <n v="0.2318840579710145"/>
    <n v="1860"/>
    <x v="115"/>
    <n v="186"/>
    <n v="2.6956521739130435"/>
    <n v="194"/>
    <n v="2.8115942028985508"/>
    <n v="1217"/>
    <n v="17.637681159420289"/>
  </r>
  <r>
    <s v="Jamal Crawford"/>
    <x v="7"/>
    <x v="119"/>
    <n v="28"/>
    <n v="280"/>
    <n v="80"/>
    <n v="31900"/>
    <n v="1139"/>
    <n v="14.237500000000001"/>
    <n v="570"/>
    <n v="1391"/>
    <n v="41"/>
    <n v="1760"/>
    <n v="4940"/>
    <n v="0.35627530364372467"/>
    <n v="329"/>
    <n v="381"/>
    <n v="0.86351706036745401"/>
    <n v="37"/>
    <n v="170"/>
    <n v="207"/>
    <n v="370"/>
    <n v="1700"/>
    <n v="2070"/>
    <n v="2.5874999999999999"/>
    <n v="398"/>
    <n v="4.9749999999999996"/>
    <n v="81"/>
    <n v="810"/>
    <n v="1.0125"/>
    <n v="170"/>
    <n v="17"/>
    <n v="0.21249999999999999"/>
    <n v="1920"/>
    <x v="116"/>
    <n v="192"/>
    <n v="2.4"/>
    <n v="144"/>
    <n v="1.8"/>
    <n v="1645"/>
    <n v="20.5625"/>
  </r>
  <r>
    <s v="David Lee"/>
    <x v="7"/>
    <x v="120"/>
    <n v="25"/>
    <n v="250"/>
    <n v="81"/>
    <n v="23560"/>
    <n v="1152"/>
    <n v="14.222222222222221"/>
    <n v="341"/>
    <n v="618"/>
    <n v="0.55177993527508096"/>
    <n v="0"/>
    <n v="20"/>
    <n v="0"/>
    <n v="194"/>
    <n v="237"/>
    <n v="0.81856540084388185"/>
    <n v="242"/>
    <n v="482"/>
    <n v="724"/>
    <n v="2420"/>
    <n v="4820"/>
    <n v="7240"/>
    <n v="8.9382716049382722"/>
    <n v="95"/>
    <n v="1.1728395061728396"/>
    <n v="55"/>
    <n v="550"/>
    <n v="0.67901234567901236"/>
    <n v="290"/>
    <n v="29"/>
    <n v="0.35802469135802467"/>
    <n v="970"/>
    <x v="117"/>
    <n v="97"/>
    <n v="1.1975308641975309"/>
    <n v="210"/>
    <n v="2.5925925925925926"/>
    <n v="876"/>
    <n v="10.814814814814815"/>
  </r>
  <r>
    <s v="Stephon Marbury"/>
    <x v="7"/>
    <x v="121"/>
    <n v="31"/>
    <n v="310"/>
    <n v="24"/>
    <n v="8050"/>
    <n v="236"/>
    <n v="9.8333333333333339"/>
    <n v="111"/>
    <n v="265"/>
    <n v="0.4188679245283019"/>
    <n v="280"/>
    <n v="740"/>
    <n v="0.3783783783783784"/>
    <n v="83"/>
    <n v="116"/>
    <n v="0.71551724137931039"/>
    <n v="17"/>
    <n v="42"/>
    <n v="59"/>
    <n v="170"/>
    <n v="420"/>
    <n v="590"/>
    <n v="2.4583333333333335"/>
    <n v="113"/>
    <n v="4.708333333333333"/>
    <n v="21"/>
    <n v="210"/>
    <n v="0.875"/>
    <n v="20"/>
    <n v="2"/>
    <n v="8.3333333333333329E-2"/>
    <n v="480"/>
    <x v="118"/>
    <n v="48"/>
    <n v="2"/>
    <n v="57"/>
    <n v="2.375"/>
    <n v="333"/>
    <n v="13.875"/>
  </r>
  <r>
    <s v="Nate Robinson"/>
    <x v="7"/>
    <x v="122"/>
    <n v="24"/>
    <n v="240"/>
    <n v="72"/>
    <n v="18830"/>
    <n v="626"/>
    <n v="8.6944444444444446"/>
    <n v="331"/>
    <n v="782"/>
    <n v="0.42327365728900257"/>
    <n v="970"/>
    <n v="2920"/>
    <n v="0.3321917808219178"/>
    <n v="154"/>
    <n v="196"/>
    <n v="0.7857142857142857"/>
    <n v="51"/>
    <n v="171"/>
    <n v="222"/>
    <n v="510"/>
    <n v="1710"/>
    <n v="2220"/>
    <n v="3.0833333333333335"/>
    <n v="212"/>
    <n v="2.9444444444444446"/>
    <n v="60"/>
    <n v="600"/>
    <n v="0.83333333333333337"/>
    <n v="10"/>
    <n v="1"/>
    <n v="1.3888888888888888E-2"/>
    <n v="1030"/>
    <x v="119"/>
    <n v="103"/>
    <n v="1.4305555555555556"/>
    <n v="186"/>
    <n v="2.5833333333333335"/>
    <n v="913"/>
    <n v="12.680555555555555"/>
  </r>
  <r>
    <s v="Eddy Curry"/>
    <x v="7"/>
    <x v="123"/>
    <n v="25"/>
    <n v="250"/>
    <n v="59"/>
    <n v="15300"/>
    <n v="488"/>
    <n v="8.2711864406779654"/>
    <n v="297"/>
    <n v="544"/>
    <n v="546"/>
    <n v="0"/>
    <n v="0"/>
    <e v="#DIV/0!"/>
    <n v="187"/>
    <n v="300"/>
    <n v="0.62333333333333329"/>
    <n v="111"/>
    <n v="164"/>
    <n v="275"/>
    <n v="1110"/>
    <n v="1640"/>
    <n v="2750"/>
    <n v="4.6610169491525424"/>
    <n v="32"/>
    <n v="0.5423728813559322"/>
    <n v="14"/>
    <n v="140"/>
    <n v="0.23728813559322035"/>
    <n v="290"/>
    <n v="29"/>
    <n v="0.49152542372881358"/>
    <n v="1260"/>
    <x v="120"/>
    <n v="126"/>
    <n v="2.1355932203389831"/>
    <n v="157"/>
    <n v="2.6610169491525424"/>
    <n v="781"/>
    <n v="13.23728813559322"/>
  </r>
  <r>
    <s v="Quentin Richardson"/>
    <x v="7"/>
    <x v="124"/>
    <n v="28"/>
    <n v="280"/>
    <n v="65"/>
    <n v="18410"/>
    <n v="411"/>
    <n v="6.3230769230769228"/>
    <n v="199"/>
    <n v="555"/>
    <n v="359"/>
    <n v="690"/>
    <n v="2140"/>
    <n v="0.32242990654205606"/>
    <n v="60"/>
    <n v="88"/>
    <n v="0.68181818181818177"/>
    <n v="56"/>
    <n v="259"/>
    <n v="315"/>
    <n v="560"/>
    <n v="2590"/>
    <n v="3150"/>
    <n v="4.8461538461538458"/>
    <n v="116"/>
    <n v="1.7846153846153847"/>
    <n v="44"/>
    <n v="440"/>
    <n v="0.67692307692307696"/>
    <n v="150"/>
    <n v="15"/>
    <n v="0.23076923076923078"/>
    <n v="690"/>
    <x v="121"/>
    <n v="69"/>
    <n v="1.0615384615384615"/>
    <n v="153"/>
    <n v="2.3538461538461539"/>
    <n v="527"/>
    <n v="8.1076923076923073"/>
  </r>
  <r>
    <s v="Fred Jones"/>
    <x v="7"/>
    <x v="125"/>
    <n v="29"/>
    <n v="290"/>
    <n v="70"/>
    <n v="17570"/>
    <n v="434"/>
    <n v="6.2"/>
    <n v="182"/>
    <n v="432"/>
    <n v="421"/>
    <n v="740"/>
    <n v="1920"/>
    <n v="0.38541666666666669"/>
    <n v="94"/>
    <n v="126"/>
    <n v="0.74603174603174605"/>
    <n v="30"/>
    <n v="140"/>
    <n v="170"/>
    <n v="300"/>
    <n v="1400"/>
    <n v="1700"/>
    <n v="2.4285714285714284"/>
    <n v="166"/>
    <n v="2.3714285714285714"/>
    <n v="48"/>
    <n v="480"/>
    <n v="0.68571428571428572"/>
    <n v="180"/>
    <n v="18"/>
    <n v="0.25714285714285712"/>
    <n v="780"/>
    <x v="122"/>
    <n v="78"/>
    <n v="1.1142857142857143"/>
    <n v="140"/>
    <n v="2"/>
    <n v="532"/>
    <n v="7.6"/>
  </r>
  <r>
    <s v="Wilson Chandler"/>
    <x v="7"/>
    <x v="126"/>
    <n v="21"/>
    <n v="210"/>
    <n v="35"/>
    <n v="6850"/>
    <n v="180"/>
    <n v="5.1428571428571432"/>
    <n v="106"/>
    <n v="242"/>
    <n v="0.43801652892561982"/>
    <n v="90"/>
    <n v="300"/>
    <n v="0.3"/>
    <n v="34"/>
    <n v="54"/>
    <n v="0.62962962962962965"/>
    <n v="38"/>
    <n v="89"/>
    <n v="127"/>
    <n v="380"/>
    <n v="890"/>
    <n v="1270"/>
    <n v="3.6285714285714286"/>
    <n v="33"/>
    <n v="0.94285714285714284"/>
    <n v="15"/>
    <n v="150"/>
    <n v="0.42857142857142855"/>
    <n v="160"/>
    <n v="16"/>
    <n v="0.45714285714285713"/>
    <n v="270"/>
    <x v="123"/>
    <n v="27"/>
    <n v="0.77142857142857146"/>
    <n v="83"/>
    <n v="2.3714285714285714"/>
    <n v="255"/>
    <n v="7.2857142857142856"/>
  </r>
  <r>
    <s v="Renaldo Balkman"/>
    <x v="7"/>
    <x v="127"/>
    <n v="23"/>
    <n v="230"/>
    <n v="65"/>
    <n v="9520"/>
    <n v="236"/>
    <n v="3.6307692307692307"/>
    <n v="91"/>
    <n v="186"/>
    <n v="0.489247311827957"/>
    <n v="10"/>
    <n v="120"/>
    <n v="8.3333333333333329E-2"/>
    <n v="41"/>
    <n v="95"/>
    <n v="0.43157894736842106"/>
    <n v="83"/>
    <n v="133"/>
    <n v="216"/>
    <n v="830"/>
    <n v="1330"/>
    <n v="2160"/>
    <n v="3.3230769230769233"/>
    <n v="40"/>
    <n v="0.61538461538461542"/>
    <n v="44"/>
    <n v="440"/>
    <n v="0.67692307692307696"/>
    <n v="300"/>
    <n v="30"/>
    <n v="0.46153846153846156"/>
    <n v="370"/>
    <x v="124"/>
    <n v="37"/>
    <n v="0.56923076923076921"/>
    <n v="132"/>
    <n v="2.0307692307692307"/>
    <n v="224"/>
    <n v="3.4461538461538463"/>
  </r>
  <r>
    <s v="Jerome James"/>
    <x v="7"/>
    <x v="128"/>
    <n v="32"/>
    <n v="320"/>
    <n v="2"/>
    <n v="50"/>
    <n v="7"/>
    <n v="3.5"/>
    <n v="1"/>
    <n v="1"/>
    <n v="10"/>
    <n v="0"/>
    <n v="0"/>
    <e v="#DIV/0!"/>
    <n v="2"/>
    <n v="2"/>
    <n v="1"/>
    <n v="0"/>
    <n v="3"/>
    <n v="3"/>
    <n v="0"/>
    <n v="30"/>
    <n v="30"/>
    <n v="1.5"/>
    <n v="0"/>
    <n v="0"/>
    <n v="0"/>
    <n v="0"/>
    <n v="0"/>
    <n v="0"/>
    <n v="0"/>
    <n v="0"/>
    <n v="0"/>
    <x v="62"/>
    <n v="0"/>
    <n v="0"/>
    <n v="0"/>
    <n v="0"/>
    <n v="4"/>
    <n v="2"/>
  </r>
  <r>
    <s v="Jared Jeffries"/>
    <x v="7"/>
    <x v="129"/>
    <n v="26"/>
    <n v="260"/>
    <n v="73"/>
    <n v="13250"/>
    <n v="235"/>
    <n v="3.2191780821917808"/>
    <n v="108"/>
    <n v="270"/>
    <n v="4"/>
    <n v="40"/>
    <n v="250"/>
    <n v="0.16"/>
    <n v="49"/>
    <n v="93"/>
    <n v="0.5268817204301075"/>
    <n v="118"/>
    <n v="125"/>
    <n v="243"/>
    <n v="1180"/>
    <n v="1250"/>
    <n v="2430"/>
    <n v="3.3287671232876712"/>
    <n v="66"/>
    <n v="0.90410958904109584"/>
    <n v="36"/>
    <n v="360"/>
    <n v="0.49315068493150682"/>
    <n v="230"/>
    <n v="23"/>
    <n v="0.31506849315068491"/>
    <n v="640"/>
    <x v="125"/>
    <n v="64"/>
    <n v="0.87671232876712324"/>
    <n v="132"/>
    <n v="1.8082191780821917"/>
    <n v="269"/>
    <n v="3.6849315068493151"/>
  </r>
  <r>
    <s v="Mardy Collins"/>
    <x v="7"/>
    <x v="130"/>
    <n v="23"/>
    <n v="230"/>
    <n v="46"/>
    <n v="6340"/>
    <n v="96"/>
    <n v="2.0869565217391304"/>
    <n v="57"/>
    <n v="175"/>
    <n v="326"/>
    <n v="80"/>
    <n v="320"/>
    <n v="0.25"/>
    <n v="23"/>
    <n v="38"/>
    <n v="0.60526315789473684"/>
    <n v="19"/>
    <n v="56"/>
    <n v="75"/>
    <n v="190"/>
    <n v="560"/>
    <n v="750"/>
    <n v="1.6304347826086956"/>
    <n v="89"/>
    <n v="1.9347826086956521"/>
    <n v="24"/>
    <n v="240"/>
    <n v="0.52173913043478259"/>
    <n v="80"/>
    <n v="8"/>
    <n v="0.17391304347826086"/>
    <n v="560"/>
    <x v="126"/>
    <n v="56"/>
    <n v="1.2173913043478262"/>
    <n v="56"/>
    <n v="1.2173913043478262"/>
    <n v="145"/>
    <n v="3.152173913043478"/>
  </r>
  <r>
    <s v="Malik Rose"/>
    <x v="7"/>
    <x v="131"/>
    <n v="33"/>
    <n v="330"/>
    <n v="49"/>
    <n v="4940"/>
    <n v="77"/>
    <n v="1.5714285714285714"/>
    <n v="66"/>
    <n v="180"/>
    <n v="367"/>
    <n v="20"/>
    <n v="70"/>
    <n v="0.2857142857142857"/>
    <n v="37"/>
    <n v="51"/>
    <n v="0.72549019607843135"/>
    <n v="31"/>
    <n v="72"/>
    <n v="103"/>
    <n v="310"/>
    <n v="720"/>
    <n v="1030"/>
    <n v="2.1020408163265305"/>
    <n v="28"/>
    <n v="0.5714285714285714"/>
    <n v="16"/>
    <n v="160"/>
    <n v="0.32653061224489793"/>
    <n v="70"/>
    <n v="7"/>
    <n v="0.14285714285714285"/>
    <n v="400"/>
    <x v="59"/>
    <n v="40"/>
    <n v="0.81632653061224492"/>
    <n v="80"/>
    <n v="1.6326530612244898"/>
    <n v="171"/>
    <n v="3.489795918367347"/>
  </r>
  <r>
    <s v="Randolph Morris"/>
    <x v="7"/>
    <x v="132"/>
    <n v="22"/>
    <n v="220"/>
    <n v="18"/>
    <n v="1810"/>
    <n v="3"/>
    <n v="0.16666666666666666"/>
    <n v="21"/>
    <n v="58"/>
    <n v="0.36206896551724138"/>
    <n v="0"/>
    <n v="0"/>
    <e v="#DIV/0!"/>
    <n v="14"/>
    <n v="29"/>
    <n v="0.48275862068965519"/>
    <n v="12"/>
    <n v="25"/>
    <n v="37"/>
    <n v="120"/>
    <n v="250"/>
    <n v="370"/>
    <n v="2.0555555555555554"/>
    <n v="2"/>
    <n v="0.1111111111111111"/>
    <n v="4"/>
    <n v="40"/>
    <n v="0.22222222222222221"/>
    <n v="20"/>
    <n v="2"/>
    <n v="0.1111111111111111"/>
    <n v="90"/>
    <x v="127"/>
    <n v="9"/>
    <n v="0.5"/>
    <n v="37"/>
    <n v="2.0555555555555554"/>
    <n v="56"/>
    <n v="3.1111111111111112"/>
  </r>
  <r>
    <s v="Zach Randolph"/>
    <x v="8"/>
    <x v="133"/>
    <n v="27"/>
    <n v="270"/>
    <n v="11"/>
    <n v="3880"/>
    <n v="224"/>
    <n v="20.363636363636363"/>
    <n v="82"/>
    <n v="189"/>
    <n v="434"/>
    <n v="70"/>
    <n v="240"/>
    <n v="0.29166666666666669"/>
    <n v="55"/>
    <n v="67"/>
    <n v="0.82089552238805974"/>
    <n v="40"/>
    <n v="97"/>
    <n v="137"/>
    <n v="400"/>
    <n v="970"/>
    <n v="1370"/>
    <n v="12.454545454545455"/>
    <n v="15"/>
    <n v="1.3636363636363635"/>
    <n v="13"/>
    <n v="130"/>
    <n v="1.1818181818181819"/>
    <n v="30"/>
    <n v="3"/>
    <n v="0.27272727272727271"/>
    <n v="230"/>
    <x v="128"/>
    <n v="23"/>
    <n v="2.0909090909090908"/>
    <n v="28"/>
    <n v="2.5454545454545454"/>
    <n v="226"/>
    <n v="20.545454545454547"/>
  </r>
  <r>
    <s v="David Lee"/>
    <x v="8"/>
    <x v="134"/>
    <n v="26"/>
    <n v="260"/>
    <n v="81"/>
    <n v="28240"/>
    <n v="1600"/>
    <n v="19.753086419753085"/>
    <n v="522"/>
    <n v="951"/>
    <n v="0.54889589905362779"/>
    <n v="0"/>
    <n v="30"/>
    <n v="0"/>
    <n v="249"/>
    <n v="330"/>
    <n v="0.75454545454545452"/>
    <n v="256"/>
    <n v="695"/>
    <n v="951"/>
    <n v="2560"/>
    <n v="6950"/>
    <n v="9510"/>
    <n v="11.74074074074074"/>
    <n v="174"/>
    <n v="2.1481481481481484"/>
    <n v="80"/>
    <n v="800"/>
    <n v="0.98765432098765427"/>
    <n v="220"/>
    <n v="22"/>
    <n v="0.27160493827160492"/>
    <n v="1500"/>
    <x v="129"/>
    <n v="150"/>
    <n v="1.8518518518518519"/>
    <n v="260"/>
    <n v="3.2098765432098766"/>
    <n v="1293"/>
    <n v="15.962962962962964"/>
  </r>
  <r>
    <s v="Al Harrington"/>
    <x v="8"/>
    <x v="135"/>
    <n v="29"/>
    <n v="290"/>
    <n v="68"/>
    <n v="23800"/>
    <n v="973"/>
    <n v="14.308823529411764"/>
    <n v="509"/>
    <n v="1142"/>
    <n v="0.44570928196147108"/>
    <n v="1600"/>
    <n v="4420"/>
    <n v="0.36199095022624433"/>
    <n v="229"/>
    <n v="285"/>
    <n v="0.80350877192982462"/>
    <n v="89"/>
    <n v="338"/>
    <n v="427"/>
    <n v="890"/>
    <n v="3380"/>
    <n v="4270"/>
    <n v="6.2794117647058822"/>
    <n v="92"/>
    <n v="1.3529411764705883"/>
    <n v="81"/>
    <n v="810"/>
    <n v="1.1911764705882353"/>
    <n v="220"/>
    <n v="22"/>
    <n v="0.3235294117647059"/>
    <n v="1540"/>
    <x v="130"/>
    <n v="154"/>
    <n v="2.2647058823529411"/>
    <n v="213"/>
    <n v="3.1323529411764706"/>
    <n v="1407"/>
    <n v="20.691176470588236"/>
  </r>
  <r>
    <s v="Nate Robinson"/>
    <x v="8"/>
    <x v="136"/>
    <n v="25"/>
    <n v="250"/>
    <n v="74"/>
    <n v="22090"/>
    <n v="993"/>
    <n v="13.418918918918919"/>
    <n v="449"/>
    <n v="1028"/>
    <n v="0.4367704280155642"/>
    <n v="1250"/>
    <n v="3850"/>
    <n v="0.32467532467532467"/>
    <n v="249"/>
    <n v="296"/>
    <n v="0.84121621621621623"/>
    <n v="98"/>
    <n v="192"/>
    <n v="290"/>
    <n v="980"/>
    <n v="1920"/>
    <n v="2900"/>
    <n v="3.9189189189189189"/>
    <n v="301"/>
    <n v="4.0675675675675675"/>
    <n v="95"/>
    <n v="950"/>
    <n v="1.2837837837837838"/>
    <n v="60"/>
    <n v="6"/>
    <n v="8.1081081081081086E-2"/>
    <n v="1390"/>
    <x v="131"/>
    <n v="139"/>
    <n v="1.8783783783783783"/>
    <n v="206"/>
    <n v="2.7837837837837838"/>
    <n v="1272"/>
    <n v="17.189189189189189"/>
  </r>
  <r>
    <s v="Jamal Crawford"/>
    <x v="8"/>
    <x v="137"/>
    <n v="29"/>
    <n v="290"/>
    <n v="11"/>
    <n v="3920"/>
    <n v="144"/>
    <n v="13.090909090909092"/>
    <n v="73"/>
    <n v="169"/>
    <n v="432"/>
    <n v="350"/>
    <n v="770"/>
    <n v="0.45454545454545453"/>
    <n v="35"/>
    <n v="46"/>
    <n v="0.76086956521739135"/>
    <n v="2"/>
    <n v="15"/>
    <n v="17"/>
    <n v="20"/>
    <n v="150"/>
    <n v="170"/>
    <n v="1.5454545454545454"/>
    <n v="48"/>
    <n v="4.3636363636363633"/>
    <n v="9"/>
    <n v="90"/>
    <n v="0.81818181818181823"/>
    <n v="0"/>
    <n v="0"/>
    <n v="0"/>
    <n v="260"/>
    <x v="132"/>
    <n v="26"/>
    <n v="2.3636363636363638"/>
    <n v="13"/>
    <n v="1.1818181818181819"/>
    <n v="216"/>
    <n v="19.636363636363637"/>
  </r>
  <r>
    <s v="Chris Duhon"/>
    <x v="8"/>
    <x v="138"/>
    <n v="26"/>
    <n v="260"/>
    <n v="79"/>
    <n v="29060"/>
    <n v="1000"/>
    <n v="12.658227848101266"/>
    <n v="287"/>
    <n v="681"/>
    <n v="0.42143906020558003"/>
    <n v="1270"/>
    <n v="3250"/>
    <n v="0.39076923076923076"/>
    <n v="179"/>
    <n v="209"/>
    <n v="0.8564593301435407"/>
    <n v="45"/>
    <n v="201"/>
    <n v="246"/>
    <n v="450"/>
    <n v="2010"/>
    <n v="2460"/>
    <n v="3.1139240506329116"/>
    <n v="566"/>
    <n v="7.1645569620253164"/>
    <n v="72"/>
    <n v="720"/>
    <n v="0.91139240506329111"/>
    <n v="70"/>
    <n v="7"/>
    <n v="8.8607594936708861E-2"/>
    <n v="2210"/>
    <x v="133"/>
    <n v="221"/>
    <n v="2.7974683544303796"/>
    <n v="126"/>
    <n v="1.5949367088607596"/>
    <n v="880"/>
    <n v="11.139240506329115"/>
  </r>
  <r>
    <s v="Wilson Chandler"/>
    <x v="8"/>
    <x v="139"/>
    <n v="22"/>
    <n v="220"/>
    <n v="82"/>
    <n v="27350"/>
    <n v="913"/>
    <n v="11.134146341463415"/>
    <n v="455"/>
    <n v="1054"/>
    <n v="0.43168880455407971"/>
    <n v="1030"/>
    <n v="3140"/>
    <n v="0.32802547770700635"/>
    <n v="171"/>
    <n v="215"/>
    <n v="0.79534883720930227"/>
    <n v="91"/>
    <n v="354"/>
    <n v="445"/>
    <n v="910"/>
    <n v="3540"/>
    <n v="4450"/>
    <n v="5.4268292682926829"/>
    <n v="170"/>
    <n v="2.0731707317073171"/>
    <n v="71"/>
    <n v="710"/>
    <n v="0.86585365853658536"/>
    <n v="750"/>
    <n v="75"/>
    <n v="0.91463414634146345"/>
    <n v="1390"/>
    <x v="134"/>
    <n v="139"/>
    <n v="1.6951219512195121"/>
    <n v="250"/>
    <n v="3.0487804878048781"/>
    <n v="1184"/>
    <n v="14.439024390243903"/>
  </r>
  <r>
    <s v="Quentin Richardson"/>
    <x v="8"/>
    <x v="140"/>
    <n v="29"/>
    <n v="290"/>
    <n v="72"/>
    <n v="18940"/>
    <n v="584"/>
    <n v="8.1111111111111107"/>
    <n v="262"/>
    <n v="667"/>
    <n v="393"/>
    <n v="1200"/>
    <n v="3290"/>
    <n v="0.36474164133738601"/>
    <n v="89"/>
    <n v="117"/>
    <n v="0.76068376068376065"/>
    <n v="71"/>
    <n v="248"/>
    <n v="319"/>
    <n v="710"/>
    <n v="2480"/>
    <n v="3190"/>
    <n v="4.4305555555555554"/>
    <n v="117"/>
    <n v="1.625"/>
    <n v="47"/>
    <n v="470"/>
    <n v="0.65277777777777779"/>
    <n v="70"/>
    <n v="7"/>
    <n v="9.7222222222222224E-2"/>
    <n v="740"/>
    <x v="135"/>
    <n v="74"/>
    <n v="1.0277777777777777"/>
    <n v="132"/>
    <n v="1.8333333333333333"/>
    <n v="733"/>
    <n v="10.180555555555555"/>
  </r>
  <r>
    <s v="Larry Hughes"/>
    <x v="8"/>
    <x v="141"/>
    <n v="30"/>
    <n v="300"/>
    <n v="25"/>
    <n v="6870"/>
    <n v="200"/>
    <n v="8"/>
    <n v="97"/>
    <n v="249"/>
    <n v="0.38955823293172692"/>
    <n v="350"/>
    <n v="910"/>
    <n v="0.38461538461538464"/>
    <n v="50"/>
    <n v="63"/>
    <n v="0.79365079365079361"/>
    <n v="10"/>
    <n v="55"/>
    <n v="65"/>
    <n v="100"/>
    <n v="550"/>
    <n v="650"/>
    <n v="2.6"/>
    <n v="60"/>
    <n v="2.4"/>
    <n v="36"/>
    <n v="360"/>
    <n v="1.44"/>
    <n v="50"/>
    <n v="5"/>
    <n v="0.2"/>
    <n v="350"/>
    <x v="136"/>
    <n v="35"/>
    <n v="1.4"/>
    <n v="45"/>
    <n v="1.8"/>
    <n v="279"/>
    <n v="11.16"/>
  </r>
  <r>
    <s v="Mouhamed Sene"/>
    <x v="8"/>
    <x v="142"/>
    <n v="23"/>
    <n v="230"/>
    <n v="1"/>
    <n v="60"/>
    <n v="7"/>
    <n v="7"/>
    <n v="1"/>
    <n v="2"/>
    <n v="5"/>
    <n v="0"/>
    <n v="0"/>
    <e v="#DIV/0!"/>
    <n v="1"/>
    <n v="1"/>
    <n v="1"/>
    <n v="2"/>
    <n v="3"/>
    <n v="5"/>
    <n v="20"/>
    <n v="30"/>
    <n v="50"/>
    <n v="5"/>
    <n v="0"/>
    <n v="0"/>
    <n v="0"/>
    <n v="0"/>
    <n v="0"/>
    <n v="10"/>
    <n v="1"/>
    <n v="1"/>
    <n v="10"/>
    <x v="47"/>
    <n v="1"/>
    <n v="1"/>
    <n v="0"/>
    <n v="0"/>
    <n v="3"/>
    <n v="3"/>
  </r>
  <r>
    <s v="Tim Thomas"/>
    <x v="8"/>
    <x v="143"/>
    <n v="32"/>
    <n v="320"/>
    <n v="36"/>
    <n v="7730"/>
    <n v="247"/>
    <n v="6.8611111111111107"/>
    <n v="119"/>
    <n v="258"/>
    <n v="461"/>
    <n v="530"/>
    <n v="1260"/>
    <n v="0.42063492063492064"/>
    <n v="54"/>
    <n v="67"/>
    <n v="0.80597014925373134"/>
    <n v="20"/>
    <n v="93"/>
    <n v="113"/>
    <n v="200"/>
    <n v="930"/>
    <n v="1130"/>
    <n v="3.1388888888888888"/>
    <n v="46"/>
    <n v="1.2777777777777777"/>
    <n v="22"/>
    <n v="220"/>
    <n v="0.61111111111111116"/>
    <n v="100"/>
    <n v="10"/>
    <n v="0.27777777777777779"/>
    <n v="460"/>
    <x v="137"/>
    <n v="46"/>
    <n v="1.2777777777777777"/>
    <n v="91"/>
    <n v="2.5277777777777777"/>
    <n v="345"/>
    <n v="9.5833333333333339"/>
  </r>
  <r>
    <s v="Courtney Sims"/>
    <x v="8"/>
    <x v="144"/>
    <n v="25"/>
    <n v="250"/>
    <n v="1"/>
    <n v="110"/>
    <n v="6"/>
    <n v="6"/>
    <n v="3"/>
    <n v="6"/>
    <n v="0.5"/>
    <n v="0"/>
    <n v="0"/>
    <e v="#DIV/0!"/>
    <n v="0"/>
    <n v="0"/>
    <e v="#DIV/0!"/>
    <n v="2"/>
    <n v="2"/>
    <n v="4"/>
    <n v="20"/>
    <n v="20"/>
    <n v="40"/>
    <n v="4"/>
    <n v="0"/>
    <n v="0"/>
    <n v="0"/>
    <n v="0"/>
    <n v="0"/>
    <n v="0"/>
    <n v="0"/>
    <n v="0"/>
    <n v="0"/>
    <x v="55"/>
    <n v="0"/>
    <n v="0"/>
    <n v="1"/>
    <n v="1"/>
    <n v="6"/>
    <n v="6"/>
  </r>
  <r>
    <s v="Jared Jeffries"/>
    <x v="8"/>
    <x v="145"/>
    <n v="27"/>
    <n v="270"/>
    <n v="56"/>
    <n v="13100"/>
    <n v="281"/>
    <n v="5.0178571428571432"/>
    <n v="120"/>
    <n v="273"/>
    <n v="44"/>
    <n v="10"/>
    <n v="120"/>
    <n v="8.3333333333333329E-2"/>
    <n v="55"/>
    <n v="90"/>
    <n v="0.61111111111111116"/>
    <n v="128"/>
    <n v="103"/>
    <n v="231"/>
    <n v="1280"/>
    <n v="1030"/>
    <n v="2310"/>
    <n v="4.125"/>
    <n v="80"/>
    <n v="1.4285714285714286"/>
    <n v="47"/>
    <n v="470"/>
    <n v="0.8392857142857143"/>
    <n v="330"/>
    <n v="33"/>
    <n v="0.5892857142857143"/>
    <n v="650"/>
    <x v="138"/>
    <n v="65"/>
    <n v="1.1607142857142858"/>
    <n v="153"/>
    <n v="2.7321428571428572"/>
    <n v="296"/>
    <n v="5.2857142857142856"/>
  </r>
  <r>
    <s v="Danilo Gallinari"/>
    <x v="8"/>
    <x v="146"/>
    <n v="20"/>
    <n v="200"/>
    <n v="28"/>
    <n v="4120"/>
    <n v="125"/>
    <n v="4.4642857142857144"/>
    <n v="56"/>
    <n v="125"/>
    <n v="448"/>
    <n v="320"/>
    <n v="720"/>
    <n v="0.44444444444444442"/>
    <n v="26"/>
    <n v="27"/>
    <n v="0.96296296296296291"/>
    <n v="13"/>
    <n v="42"/>
    <n v="55"/>
    <n v="130"/>
    <n v="420"/>
    <n v="550"/>
    <n v="1.9642857142857142"/>
    <n v="15"/>
    <n v="0.5357142857142857"/>
    <n v="14"/>
    <n v="140"/>
    <n v="0.5"/>
    <n v="40"/>
    <n v="4"/>
    <n v="0.14285714285714285"/>
    <n v="150"/>
    <x v="139"/>
    <n v="15"/>
    <n v="0.5357142857142857"/>
    <n v="48"/>
    <n v="1.7142857142857142"/>
    <n v="170"/>
    <n v="6.0714285714285712"/>
  </r>
  <r>
    <s v="Chris Wilcox"/>
    <x v="8"/>
    <x v="147"/>
    <n v="26"/>
    <n v="260"/>
    <n v="25"/>
    <n v="3300"/>
    <n v="102"/>
    <n v="4.08"/>
    <n v="54"/>
    <n v="102"/>
    <n v="529"/>
    <n v="0"/>
    <n v="10"/>
    <n v="0"/>
    <n v="27"/>
    <n v="53"/>
    <n v="0.50943396226415094"/>
    <n v="31"/>
    <n v="51"/>
    <n v="82"/>
    <n v="310"/>
    <n v="510"/>
    <n v="820"/>
    <n v="3.28"/>
    <n v="14"/>
    <n v="0.56000000000000005"/>
    <n v="8"/>
    <n v="80"/>
    <n v="0.32"/>
    <n v="50"/>
    <n v="5"/>
    <n v="0.2"/>
    <n v="200"/>
    <x v="140"/>
    <n v="20"/>
    <n v="0.8"/>
    <n v="48"/>
    <n v="1.92"/>
    <n v="135"/>
    <n v="5.4"/>
  </r>
  <r>
    <s v="Joe Crawford"/>
    <x v="8"/>
    <x v="148"/>
    <n v="23"/>
    <n v="230"/>
    <n v="2"/>
    <n v="230"/>
    <n v="6"/>
    <n v="3"/>
    <n v="3"/>
    <n v="10"/>
    <n v="3"/>
    <n v="10"/>
    <n v="40"/>
    <n v="0.25"/>
    <n v="2"/>
    <n v="2"/>
    <n v="1"/>
    <n v="1"/>
    <n v="3"/>
    <n v="4"/>
    <n v="10"/>
    <n v="30"/>
    <n v="40"/>
    <n v="2"/>
    <n v="1"/>
    <n v="0.5"/>
    <n v="1"/>
    <n v="10"/>
    <n v="0.5"/>
    <n v="0"/>
    <n v="0"/>
    <n v="0"/>
    <n v="0"/>
    <x v="141"/>
    <n v="0"/>
    <n v="0"/>
    <n v="2"/>
    <n v="1"/>
    <n v="9"/>
    <n v="4.5"/>
  </r>
  <r>
    <s v="Anthony Roberson"/>
    <x v="8"/>
    <x v="149"/>
    <n v="26"/>
    <n v="260"/>
    <n v="23"/>
    <n v="2530"/>
    <n v="63"/>
    <n v="2.7391304347826089"/>
    <n v="39"/>
    <n v="103"/>
    <n v="379"/>
    <n v="240"/>
    <n v="710"/>
    <n v="0.3380281690140845"/>
    <n v="5"/>
    <n v="5"/>
    <n v="1"/>
    <n v="4"/>
    <n v="11"/>
    <n v="15"/>
    <n v="40"/>
    <n v="110"/>
    <n v="150"/>
    <n v="0.65217391304347827"/>
    <n v="19"/>
    <n v="0.82608695652173914"/>
    <n v="10"/>
    <n v="100"/>
    <n v="0.43478260869565216"/>
    <n v="10"/>
    <n v="1"/>
    <n v="4.3478260869565216E-2"/>
    <n v="70"/>
    <x v="142"/>
    <n v="7"/>
    <n v="0.30434782608695654"/>
    <n v="18"/>
    <n v="0.78260869565217395"/>
    <n v="107"/>
    <n v="4.6521739130434785"/>
  </r>
  <r>
    <s v="Demetris Nichols"/>
    <x v="8"/>
    <x v="150"/>
    <n v="24"/>
    <n v="240"/>
    <n v="2"/>
    <n v="90"/>
    <n v="4"/>
    <n v="2"/>
    <n v="2"/>
    <n v="5"/>
    <n v="0.4"/>
    <n v="0"/>
    <n v="10"/>
    <n v="0"/>
    <n v="1"/>
    <n v="2"/>
    <n v="0.5"/>
    <n v="0"/>
    <n v="2"/>
    <n v="2"/>
    <n v="0"/>
    <n v="20"/>
    <n v="20"/>
    <n v="1"/>
    <n v="0"/>
    <n v="0"/>
    <n v="0"/>
    <n v="0"/>
    <n v="0"/>
    <n v="10"/>
    <n v="1"/>
    <n v="0.5"/>
    <n v="0"/>
    <x v="62"/>
    <n v="0"/>
    <n v="0"/>
    <n v="0"/>
    <n v="0"/>
    <n v="5"/>
    <n v="2.5"/>
  </r>
  <r>
    <s v="Jerome James"/>
    <x v="8"/>
    <x v="151"/>
    <n v="33"/>
    <n v="330"/>
    <n v="2"/>
    <n v="100"/>
    <n v="3"/>
    <n v="1.5"/>
    <n v="3"/>
    <n v="8"/>
    <n v="375"/>
    <n v="0"/>
    <n v="0"/>
    <e v="#DIV/0!"/>
    <n v="0"/>
    <n v="0"/>
    <e v="#DIV/0!"/>
    <n v="1"/>
    <n v="2"/>
    <n v="3"/>
    <n v="10"/>
    <n v="20"/>
    <n v="30"/>
    <n v="1.5"/>
    <n v="0"/>
    <n v="0"/>
    <n v="1"/>
    <n v="10"/>
    <n v="0.5"/>
    <n v="10"/>
    <n v="1"/>
    <n v="0.5"/>
    <n v="10"/>
    <x v="141"/>
    <n v="1"/>
    <n v="0.5"/>
    <n v="2"/>
    <n v="1"/>
    <n v="6"/>
    <n v="3"/>
  </r>
  <r>
    <s v="Mardy Collins"/>
    <x v="8"/>
    <x v="152"/>
    <n v="24"/>
    <n v="240"/>
    <n v="9"/>
    <n v="750"/>
    <n v="8"/>
    <n v="0.88888888888888884"/>
    <n v="8"/>
    <n v="23"/>
    <n v="348"/>
    <n v="0"/>
    <n v="30"/>
    <n v="0"/>
    <n v="4"/>
    <n v="9"/>
    <n v="0.44444444444444442"/>
    <n v="2"/>
    <n v="6"/>
    <n v="8"/>
    <n v="20"/>
    <n v="60"/>
    <n v="80"/>
    <n v="0.88888888888888884"/>
    <n v="10"/>
    <n v="1.1111111111111112"/>
    <n v="2"/>
    <n v="20"/>
    <n v="0.22222222222222221"/>
    <n v="0"/>
    <n v="0"/>
    <n v="0"/>
    <n v="50"/>
    <x v="143"/>
    <n v="5"/>
    <n v="0.55555555555555558"/>
    <n v="7"/>
    <n v="0.77777777777777779"/>
    <n v="20"/>
    <n v="2.2222222222222223"/>
  </r>
  <r>
    <s v="Eddy Curry"/>
    <x v="8"/>
    <x v="153"/>
    <n v="26"/>
    <n v="260"/>
    <n v="3"/>
    <n v="120"/>
    <n v="0"/>
    <n v="0"/>
    <n v="2"/>
    <n v="2"/>
    <n v="10"/>
    <n v="0"/>
    <n v="0"/>
    <e v="#DIV/0!"/>
    <n v="1"/>
    <n v="3"/>
    <n v="0.33333333333333331"/>
    <n v="0"/>
    <n v="4"/>
    <n v="4"/>
    <n v="0"/>
    <n v="40"/>
    <n v="40"/>
    <n v="1.3333333333333333"/>
    <n v="0"/>
    <n v="0"/>
    <n v="0"/>
    <n v="0"/>
    <n v="0"/>
    <n v="0"/>
    <n v="0"/>
    <n v="0"/>
    <n v="20"/>
    <x v="144"/>
    <n v="2"/>
    <n v="0.66666666666666663"/>
    <n v="5"/>
    <n v="1.6666666666666667"/>
    <n v="5"/>
    <n v="1.6666666666666667"/>
  </r>
  <r>
    <s v="Malik Rose"/>
    <x v="8"/>
    <x v="154"/>
    <n v="34"/>
    <n v="340"/>
    <n v="18"/>
    <n v="1600"/>
    <n v="-1"/>
    <n v="-5.5555555555555552E-2"/>
    <n v="11"/>
    <n v="41"/>
    <n v="268"/>
    <n v="0"/>
    <n v="40"/>
    <n v="0"/>
    <n v="8"/>
    <n v="11"/>
    <n v="0.72727272727272729"/>
    <n v="4"/>
    <n v="27"/>
    <n v="31"/>
    <n v="40"/>
    <n v="270"/>
    <n v="310"/>
    <n v="1.7222222222222223"/>
    <n v="10"/>
    <n v="0.55555555555555558"/>
    <n v="1"/>
    <n v="10"/>
    <n v="5.5555555555555552E-2"/>
    <n v="10"/>
    <n v="1"/>
    <n v="5.5555555555555552E-2"/>
    <n v="170"/>
    <x v="58"/>
    <n v="17"/>
    <n v="0.94444444444444442"/>
    <n v="24"/>
    <n v="1.3333333333333333"/>
    <n v="30"/>
    <n v="1.6666666666666667"/>
  </r>
  <r>
    <s v="Cheikh Samb"/>
    <x v="8"/>
    <x v="155"/>
    <n v="24"/>
    <n v="240"/>
    <n v="2"/>
    <n v="80"/>
    <n v="-3"/>
    <n v="-1.5"/>
    <n v="0"/>
    <n v="3"/>
    <n v="0"/>
    <n v="0"/>
    <n v="0"/>
    <e v="#DIV/0!"/>
    <n v="0"/>
    <n v="2"/>
    <n v="0"/>
    <n v="1"/>
    <n v="1"/>
    <n v="2"/>
    <n v="10"/>
    <n v="10"/>
    <n v="20"/>
    <n v="1"/>
    <n v="0"/>
    <n v="0"/>
    <n v="0"/>
    <n v="0"/>
    <n v="0"/>
    <n v="0"/>
    <n v="0"/>
    <n v="0"/>
    <n v="0"/>
    <x v="28"/>
    <n v="0"/>
    <n v="0"/>
    <n v="0"/>
    <n v="0"/>
    <n v="0"/>
    <n v="0"/>
  </r>
  <r>
    <s v="David Lee"/>
    <x v="9"/>
    <x v="156"/>
    <n v="27"/>
    <n v="270"/>
    <n v="81"/>
    <n v="30190"/>
    <n v="1929"/>
    <n v="23.814814814814813"/>
    <n v="686"/>
    <n v="1258"/>
    <n v="0.54531001589825123"/>
    <n v="0"/>
    <n v="80"/>
    <n v="0"/>
    <n v="268"/>
    <n v="330"/>
    <n v="0.81212121212121213"/>
    <n v="228"/>
    <n v="721"/>
    <n v="949"/>
    <n v="2280"/>
    <n v="7210"/>
    <n v="9490"/>
    <n v="11.716049382716049"/>
    <n v="295"/>
    <n v="3.6419753086419755"/>
    <n v="85"/>
    <n v="850"/>
    <n v="1.0493827160493827"/>
    <n v="400"/>
    <n v="40"/>
    <n v="0.49382716049382713"/>
    <n v="1890"/>
    <x v="145"/>
    <n v="189"/>
    <n v="2.3333333333333335"/>
    <n v="257"/>
    <n v="3.1728395061728394"/>
    <n v="1640"/>
    <n v="20.246913580246915"/>
  </r>
  <r>
    <s v="Earl Barron"/>
    <x v="9"/>
    <x v="157"/>
    <n v="28"/>
    <n v="280"/>
    <n v="7"/>
    <n v="2320"/>
    <n v="95"/>
    <n v="13.571428571428571"/>
    <n v="30"/>
    <n v="68"/>
    <n v="0.44117647058823528"/>
    <n v="0"/>
    <n v="0"/>
    <e v="#DIV/0!"/>
    <n v="22"/>
    <n v="29"/>
    <n v="0.75862068965517238"/>
    <n v="31"/>
    <n v="46"/>
    <n v="77"/>
    <n v="310"/>
    <n v="460"/>
    <n v="770"/>
    <n v="11"/>
    <n v="8"/>
    <n v="1.1428571428571428"/>
    <n v="4"/>
    <n v="40"/>
    <n v="0.5714285714285714"/>
    <n v="40"/>
    <n v="4"/>
    <n v="0.5714285714285714"/>
    <n v="110"/>
    <x v="146"/>
    <n v="11"/>
    <n v="1.5714285714285714"/>
    <n v="24"/>
    <n v="3.4285714285714284"/>
    <n v="82"/>
    <n v="11.714285714285714"/>
  </r>
  <r>
    <s v="Wilson Chandler"/>
    <x v="9"/>
    <x v="158"/>
    <n v="23"/>
    <n v="230"/>
    <n v="65"/>
    <n v="23200"/>
    <n v="803"/>
    <n v="12.353846153846154"/>
    <n v="412"/>
    <n v="860"/>
    <n v="0.47906976744186047"/>
    <n v="400"/>
    <n v="1500"/>
    <n v="0.26666666666666666"/>
    <n v="129"/>
    <n v="160"/>
    <n v="0.80625000000000002"/>
    <n v="93"/>
    <n v="255"/>
    <n v="348"/>
    <n v="930"/>
    <n v="2550"/>
    <n v="3480"/>
    <n v="5.3538461538461535"/>
    <n v="138"/>
    <n v="2.1230769230769231"/>
    <n v="46"/>
    <n v="460"/>
    <n v="0.70769230769230773"/>
    <n v="490"/>
    <n v="49"/>
    <n v="0.75384615384615383"/>
    <n v="1080"/>
    <x v="147"/>
    <n v="108"/>
    <n v="1.6615384615384616"/>
    <n v="184"/>
    <n v="2.8307692307692309"/>
    <n v="993"/>
    <n v="15.276923076923078"/>
  </r>
  <r>
    <s v="Danilo Gallinari"/>
    <x v="9"/>
    <x v="159"/>
    <n v="21"/>
    <n v="210"/>
    <n v="81"/>
    <n v="27470"/>
    <n v="995"/>
    <n v="12.283950617283951"/>
    <n v="392"/>
    <n v="927"/>
    <n v="423"/>
    <n v="1860"/>
    <n v="4880"/>
    <n v="0.38114754098360654"/>
    <n v="251"/>
    <n v="307"/>
    <n v="0.8175895765472313"/>
    <n v="65"/>
    <n v="333"/>
    <n v="398"/>
    <n v="650"/>
    <n v="3330"/>
    <n v="3980"/>
    <n v="4.9135802469135799"/>
    <n v="135"/>
    <n v="1.6666666666666667"/>
    <n v="75"/>
    <n v="750"/>
    <n v="0.92592592592592593"/>
    <n v="580"/>
    <n v="58"/>
    <n v="0.71604938271604934"/>
    <n v="1100"/>
    <x v="148"/>
    <n v="110"/>
    <n v="1.3580246913580247"/>
    <n v="191"/>
    <n v="2.3580246913580245"/>
    <n v="1221"/>
    <n v="15.074074074074074"/>
  </r>
  <r>
    <s v="Al Harrington"/>
    <x v="9"/>
    <x v="160"/>
    <n v="30"/>
    <n v="300"/>
    <n v="72"/>
    <n v="21950"/>
    <n v="879"/>
    <n v="12.208333333333334"/>
    <n v="448"/>
    <n v="1030"/>
    <n v="0.43495145631067961"/>
    <n v="1400"/>
    <n v="4090"/>
    <n v="0.34229828850855748"/>
    <n v="240"/>
    <n v="317"/>
    <n v="0.75709779179810721"/>
    <n v="88"/>
    <n v="317"/>
    <n v="405"/>
    <n v="880"/>
    <n v="3170"/>
    <n v="4050"/>
    <n v="5.625"/>
    <n v="110"/>
    <n v="1.5277777777777777"/>
    <n v="62"/>
    <n v="620"/>
    <n v="0.86111111111111116"/>
    <n v="260"/>
    <n v="26"/>
    <n v="0.3611111111111111"/>
    <n v="1320"/>
    <x v="149"/>
    <n v="132"/>
    <n v="1.8333333333333333"/>
    <n v="209"/>
    <n v="2.9027777777777777"/>
    <n v="1276"/>
    <n v="17.722222222222221"/>
  </r>
  <r>
    <s v="Nate Robinson"/>
    <x v="9"/>
    <x v="161"/>
    <n v="26"/>
    <n v="260"/>
    <n v="30"/>
    <n v="7330"/>
    <n v="298"/>
    <n v="9.9333333333333336"/>
    <n v="152"/>
    <n v="336"/>
    <n v="0.45238095238095238"/>
    <n v="510"/>
    <n v="1360"/>
    <n v="0.375"/>
    <n v="42"/>
    <n v="54"/>
    <n v="0.77777777777777779"/>
    <n v="23"/>
    <n v="49"/>
    <n v="72"/>
    <n v="230"/>
    <n v="490"/>
    <n v="720"/>
    <n v="2.4"/>
    <n v="112"/>
    <n v="3.7333333333333334"/>
    <n v="27"/>
    <n v="270"/>
    <n v="0.9"/>
    <n v="50"/>
    <n v="5"/>
    <n v="0.16666666666666666"/>
    <n v="530"/>
    <x v="150"/>
    <n v="53"/>
    <n v="1.7666666666666666"/>
    <n v="66"/>
    <n v="2.2000000000000002"/>
    <n v="397"/>
    <n v="13.233333333333333"/>
  </r>
  <r>
    <s v="Chris Duhon"/>
    <x v="9"/>
    <x v="162"/>
    <n v="27"/>
    <n v="270"/>
    <n v="67"/>
    <n v="20720"/>
    <n v="609"/>
    <n v="9.08955223880597"/>
    <n v="168"/>
    <n v="451"/>
    <n v="0.37250554323725055"/>
    <n v="900"/>
    <n v="2580"/>
    <n v="0.34883720930232559"/>
    <n v="68"/>
    <n v="95"/>
    <n v="0.71578947368421053"/>
    <n v="28"/>
    <n v="150"/>
    <n v="178"/>
    <n v="280"/>
    <n v="1500"/>
    <n v="1780"/>
    <n v="2.6567164179104479"/>
    <n v="378"/>
    <n v="5.6417910447761193"/>
    <n v="59"/>
    <n v="590"/>
    <n v="0.88059701492537312"/>
    <n v="30"/>
    <n v="3"/>
    <n v="4.4776119402985072E-2"/>
    <n v="1100"/>
    <x v="151"/>
    <n v="110"/>
    <n v="1.6417910447761195"/>
    <n v="83"/>
    <n v="1.2388059701492538"/>
    <n v="494"/>
    <n v="7.3731343283582094"/>
  </r>
  <r>
    <s v="Henry Walker"/>
    <x v="9"/>
    <x v="163"/>
    <n v="22"/>
    <n v="220"/>
    <n v="27"/>
    <n v="7390"/>
    <n v="243"/>
    <n v="9"/>
    <n v="117"/>
    <n v="226"/>
    <n v="518"/>
    <n v="500"/>
    <n v="1160"/>
    <n v="0.43103448275862066"/>
    <n v="37"/>
    <n v="47"/>
    <n v="0.78723404255319152"/>
    <n v="15"/>
    <n v="68"/>
    <n v="83"/>
    <n v="150"/>
    <n v="680"/>
    <n v="830"/>
    <n v="3.074074074074074"/>
    <n v="37"/>
    <n v="1.3703703703703705"/>
    <n v="23"/>
    <n v="230"/>
    <n v="0.85185185185185186"/>
    <n v="30"/>
    <n v="3"/>
    <n v="0.1111111111111111"/>
    <n v="260"/>
    <x v="152"/>
    <n v="26"/>
    <n v="0.96296296296296291"/>
    <n v="79"/>
    <n v="2.925925925925926"/>
    <n v="321"/>
    <n v="11.888888888888889"/>
  </r>
  <r>
    <s v="Tracy McGrady"/>
    <x v="9"/>
    <x v="164"/>
    <n v="31"/>
    <n v="310"/>
    <n v="24"/>
    <n v="6270"/>
    <n v="208"/>
    <n v="8.6666666666666661"/>
    <n v="84"/>
    <n v="216"/>
    <n v="0.3888888888888889"/>
    <n v="150"/>
    <n v="620"/>
    <n v="0.24193548387096775"/>
    <n v="43"/>
    <n v="57"/>
    <n v="0.75438596491228072"/>
    <n v="22"/>
    <n v="67"/>
    <n v="89"/>
    <n v="220"/>
    <n v="670"/>
    <n v="890"/>
    <n v="3.7083333333333335"/>
    <n v="93"/>
    <n v="3.875"/>
    <n v="15"/>
    <n v="150"/>
    <n v="0.625"/>
    <n v="120"/>
    <n v="12"/>
    <n v="0.5"/>
    <n v="430"/>
    <x v="153"/>
    <n v="43"/>
    <n v="1.7916666666666667"/>
    <n v="38"/>
    <n v="1.5833333333333333"/>
    <n v="226"/>
    <n v="9.4166666666666661"/>
  </r>
  <r>
    <s v="Larry Hughes"/>
    <x v="9"/>
    <x v="165"/>
    <n v="31"/>
    <n v="310"/>
    <n v="31"/>
    <n v="8200"/>
    <n v="267"/>
    <n v="8.612903225806452"/>
    <n v="102"/>
    <n v="279"/>
    <n v="0.36559139784946237"/>
    <n v="280"/>
    <n v="970"/>
    <n v="0.28865979381443296"/>
    <n v="65"/>
    <n v="79"/>
    <n v="0.82278481012658233"/>
    <n v="16"/>
    <n v="94"/>
    <n v="110"/>
    <n v="160"/>
    <n v="940"/>
    <n v="1100"/>
    <n v="3.5483870967741935"/>
    <n v="109"/>
    <n v="3.5161290322580645"/>
    <n v="40"/>
    <n v="400"/>
    <n v="1.2903225806451613"/>
    <n v="110"/>
    <n v="11"/>
    <n v="0.35483870967741937"/>
    <n v="560"/>
    <x v="154"/>
    <n v="56"/>
    <n v="1.8064516129032258"/>
    <n v="53"/>
    <n v="1.7096774193548387"/>
    <n v="297"/>
    <n v="9.5806451612903221"/>
  </r>
  <r>
    <s v="Sergio Rodriguez"/>
    <x v="9"/>
    <x v="166"/>
    <n v="24"/>
    <n v="240"/>
    <n v="27"/>
    <n v="5310"/>
    <n v="172"/>
    <n v="6.3703703703703702"/>
    <n v="79"/>
    <n v="161"/>
    <n v="0.49068322981366458"/>
    <n v="170"/>
    <n v="490"/>
    <n v="0.34693877551020408"/>
    <n v="25"/>
    <n v="31"/>
    <n v="0.80645161290322576"/>
    <n v="9"/>
    <n v="30"/>
    <n v="39"/>
    <n v="90"/>
    <n v="300"/>
    <n v="390"/>
    <n v="1.4444444444444444"/>
    <n v="91"/>
    <n v="3.3703703703703702"/>
    <n v="21"/>
    <n v="210"/>
    <n v="0.77777777777777779"/>
    <n v="20"/>
    <n v="2"/>
    <n v="7.407407407407407E-2"/>
    <n v="550"/>
    <x v="155"/>
    <n v="55"/>
    <n v="2.0370370370370372"/>
    <n v="38"/>
    <n v="1.4074074074074074"/>
    <n v="200"/>
    <n v="7.4074074074074074"/>
  </r>
  <r>
    <s v="Toney Douglas"/>
    <x v="9"/>
    <x v="167"/>
    <n v="24"/>
    <n v="240"/>
    <n v="56"/>
    <n v="10870"/>
    <n v="350"/>
    <n v="6.25"/>
    <n v="179"/>
    <n v="391"/>
    <n v="0.4578005115089514"/>
    <n v="680"/>
    <n v="1750"/>
    <n v="0.38857142857142857"/>
    <n v="55"/>
    <n v="68"/>
    <n v="0.80882352941176472"/>
    <n v="40"/>
    <n v="68"/>
    <n v="108"/>
    <n v="400"/>
    <n v="680"/>
    <n v="1080"/>
    <n v="1.9285714285714286"/>
    <n v="112"/>
    <n v="2"/>
    <n v="42"/>
    <n v="420"/>
    <n v="0.75"/>
    <n v="30"/>
    <n v="3"/>
    <n v="5.3571428571428568E-2"/>
    <n v="550"/>
    <x v="156"/>
    <n v="55"/>
    <n v="0.9821428571428571"/>
    <n v="116"/>
    <n v="2.0714285714285716"/>
    <n v="481"/>
    <n v="8.5892857142857135"/>
  </r>
  <r>
    <s v="Jared Jeffries"/>
    <x v="9"/>
    <x v="168"/>
    <n v="28"/>
    <n v="280"/>
    <n v="52"/>
    <n v="14620"/>
    <n v="321"/>
    <n v="6.1730769230769234"/>
    <n v="102"/>
    <n v="230"/>
    <n v="443"/>
    <n v="200"/>
    <n v="620"/>
    <n v="0.32258064516129031"/>
    <n v="60"/>
    <n v="93"/>
    <n v="0.64516129032258063"/>
    <n v="99"/>
    <n v="124"/>
    <n v="223"/>
    <n v="990"/>
    <n v="1240"/>
    <n v="2230"/>
    <n v="4.2884615384615383"/>
    <n v="83"/>
    <n v="1.5961538461538463"/>
    <n v="53"/>
    <n v="530"/>
    <n v="1.0192307692307692"/>
    <n v="580"/>
    <n v="58"/>
    <n v="1.1153846153846154"/>
    <n v="620"/>
    <x v="157"/>
    <n v="62"/>
    <n v="1.1923076923076923"/>
    <n v="157"/>
    <n v="3.0192307692307692"/>
    <n v="284"/>
    <n v="5.4615384615384617"/>
  </r>
  <r>
    <s v="Eddie House"/>
    <x v="9"/>
    <x v="169"/>
    <n v="32"/>
    <n v="320"/>
    <n v="18"/>
    <n v="3710"/>
    <n v="75"/>
    <n v="4.166666666666667"/>
    <n v="44"/>
    <n v="133"/>
    <n v="0.33082706766917291"/>
    <n v="150"/>
    <n v="600"/>
    <n v="0.25"/>
    <n v="12"/>
    <n v="12"/>
    <n v="1"/>
    <n v="6"/>
    <n v="34"/>
    <n v="40"/>
    <n v="60"/>
    <n v="340"/>
    <n v="400"/>
    <n v="2.2222222222222223"/>
    <n v="37"/>
    <n v="2.0555555555555554"/>
    <n v="12"/>
    <n v="120"/>
    <n v="0.66666666666666663"/>
    <n v="0"/>
    <n v="0"/>
    <n v="0"/>
    <n v="200"/>
    <x v="158"/>
    <n v="20"/>
    <n v="1.1111111111111112"/>
    <n v="20"/>
    <n v="1.1111111111111112"/>
    <n v="115"/>
    <n v="6.3888888888888893"/>
  </r>
  <r>
    <s v="Jonathan Bender"/>
    <x v="9"/>
    <x v="170"/>
    <n v="29"/>
    <n v="290"/>
    <n v="25"/>
    <n v="2920"/>
    <n v="82"/>
    <n v="3.28"/>
    <n v="40"/>
    <n v="100"/>
    <n v="4"/>
    <n v="140"/>
    <n v="390"/>
    <n v="0.35897435897435898"/>
    <n v="24"/>
    <n v="26"/>
    <n v="0.92307692307692313"/>
    <n v="15"/>
    <n v="37"/>
    <n v="52"/>
    <n v="150"/>
    <n v="370"/>
    <n v="520"/>
    <n v="2.08"/>
    <n v="16"/>
    <n v="0.64"/>
    <n v="2"/>
    <n v="20"/>
    <n v="0.08"/>
    <n v="170"/>
    <n v="17"/>
    <n v="0.68"/>
    <n v="280"/>
    <x v="159"/>
    <n v="28"/>
    <n v="1.1200000000000001"/>
    <n v="33"/>
    <n v="1.32"/>
    <n v="118"/>
    <n v="4.72"/>
  </r>
  <r>
    <s v="J.R. Giddens"/>
    <x v="9"/>
    <x v="171"/>
    <n v="25"/>
    <n v="250"/>
    <n v="11"/>
    <n v="1400"/>
    <n v="36"/>
    <n v="3.2727272727272729"/>
    <n v="19"/>
    <n v="39"/>
    <n v="487"/>
    <n v="0"/>
    <n v="80"/>
    <n v="0"/>
    <n v="7"/>
    <n v="11"/>
    <n v="0.63636363636363635"/>
    <n v="12"/>
    <n v="19"/>
    <n v="31"/>
    <n v="120"/>
    <n v="190"/>
    <n v="310"/>
    <n v="2.8181818181818183"/>
    <n v="7"/>
    <n v="0.63636363636363635"/>
    <n v="5"/>
    <n v="50"/>
    <n v="0.45454545454545453"/>
    <n v="10"/>
    <n v="1"/>
    <n v="9.0909090909090912E-2"/>
    <n v="100"/>
    <x v="160"/>
    <n v="10"/>
    <n v="0.90909090909090906"/>
    <n v="19"/>
    <n v="1.7272727272727273"/>
    <n v="45"/>
    <n v="4.0909090909090908"/>
  </r>
  <r>
    <s v="Jordan Hill"/>
    <x v="9"/>
    <x v="172"/>
    <n v="22"/>
    <n v="220"/>
    <n v="24"/>
    <n v="2520"/>
    <n v="78"/>
    <n v="3.25"/>
    <n v="41"/>
    <n v="92"/>
    <n v="0.44565217391304346"/>
    <n v="0"/>
    <n v="20"/>
    <n v="0"/>
    <n v="15"/>
    <n v="21"/>
    <n v="0.7142857142857143"/>
    <n v="32"/>
    <n v="29"/>
    <n v="61"/>
    <n v="320"/>
    <n v="290"/>
    <n v="610"/>
    <n v="2.5416666666666665"/>
    <n v="7"/>
    <n v="0.29166666666666669"/>
    <n v="10"/>
    <n v="100"/>
    <n v="0.41666666666666669"/>
    <n v="90"/>
    <n v="9"/>
    <n v="0.375"/>
    <n v="120"/>
    <x v="161"/>
    <n v="12"/>
    <n v="0.5"/>
    <n v="37"/>
    <n v="1.5416666666666667"/>
    <n v="97"/>
    <n v="4.041666666666667"/>
  </r>
  <r>
    <s v="Darko Milicic"/>
    <x v="9"/>
    <x v="173"/>
    <n v="25"/>
    <n v="250"/>
    <n v="8"/>
    <n v="710"/>
    <n v="25"/>
    <n v="3.125"/>
    <n v="8"/>
    <n v="17"/>
    <n v="0.47058823529411764"/>
    <n v="0"/>
    <n v="0"/>
    <e v="#DIV/0!"/>
    <n v="0"/>
    <n v="0"/>
    <e v="#DIV/0!"/>
    <n v="5"/>
    <n v="13"/>
    <n v="18"/>
    <n v="50"/>
    <n v="130"/>
    <n v="180"/>
    <n v="2.25"/>
    <n v="4"/>
    <n v="0.5"/>
    <n v="4"/>
    <n v="40"/>
    <n v="0.5"/>
    <n v="10"/>
    <n v="1"/>
    <n v="0.125"/>
    <n v="20"/>
    <x v="162"/>
    <n v="2"/>
    <n v="0.25"/>
    <n v="7"/>
    <n v="0.875"/>
    <n v="16"/>
    <n v="2"/>
  </r>
  <r>
    <s v="Marcus Landry"/>
    <x v="9"/>
    <x v="174"/>
    <n v="24"/>
    <n v="240"/>
    <n v="17"/>
    <n v="1080"/>
    <n v="19"/>
    <n v="1.1176470588235294"/>
    <n v="16"/>
    <n v="41"/>
    <n v="0.3902439024390244"/>
    <n v="90"/>
    <n v="260"/>
    <n v="0.34615384615384615"/>
    <n v="3"/>
    <n v="5"/>
    <n v="0.6"/>
    <n v="5"/>
    <n v="14"/>
    <n v="19"/>
    <n v="50"/>
    <n v="140"/>
    <n v="190"/>
    <n v="1.1176470588235294"/>
    <n v="0"/>
    <n v="0"/>
    <n v="1"/>
    <n v="10"/>
    <n v="5.8823529411764705E-2"/>
    <n v="20"/>
    <n v="2"/>
    <n v="0.11764705882352941"/>
    <n v="60"/>
    <x v="163"/>
    <n v="6"/>
    <n v="0.35294117647058826"/>
    <n v="14"/>
    <n v="0.82352941176470584"/>
    <n v="44"/>
    <n v="2.5882352941176472"/>
  </r>
  <r>
    <s v="Eddy Curry"/>
    <x v="9"/>
    <x v="175"/>
    <n v="27"/>
    <n v="270"/>
    <n v="7"/>
    <n v="620"/>
    <n v="-6"/>
    <n v="-0.8571428571428571"/>
    <n v="8"/>
    <n v="21"/>
    <n v="381"/>
    <n v="0"/>
    <n v="0"/>
    <e v="#DIV/0!"/>
    <n v="10"/>
    <n v="17"/>
    <n v="0.58823529411764708"/>
    <n v="4"/>
    <n v="9"/>
    <n v="13"/>
    <n v="40"/>
    <n v="90"/>
    <n v="130"/>
    <n v="1.8571428571428572"/>
    <n v="0"/>
    <n v="0"/>
    <n v="0"/>
    <n v="0"/>
    <n v="0"/>
    <n v="10"/>
    <n v="1"/>
    <n v="0.14285714285714285"/>
    <n v="130"/>
    <x v="164"/>
    <n v="13"/>
    <n v="1.8571428571428572"/>
    <n v="13"/>
    <n v="1.8571428571428572"/>
    <n v="26"/>
    <n v="3.7142857142857144"/>
  </r>
  <r>
    <s v="Amar'e Stoudemire"/>
    <x v="10"/>
    <x v="176"/>
    <n v="28"/>
    <n v="280"/>
    <n v="78"/>
    <n v="28700"/>
    <n v="1644"/>
    <n v="21.076923076923077"/>
    <n v="744"/>
    <n v="1482"/>
    <n v="502"/>
    <n v="100"/>
    <n v="230"/>
    <n v="0.43478260869565216"/>
    <n v="473"/>
    <n v="597"/>
    <n v="0.79229480737018421"/>
    <n v="198"/>
    <n v="438"/>
    <n v="636"/>
    <n v="1980"/>
    <n v="4380"/>
    <n v="6360"/>
    <n v="8.1538461538461533"/>
    <n v="202"/>
    <n v="2.5897435897435899"/>
    <n v="71"/>
    <n v="710"/>
    <n v="0.91025641025641024"/>
    <n v="1500"/>
    <n v="150"/>
    <n v="1.9230769230769231"/>
    <n v="2500"/>
    <x v="165"/>
    <n v="250"/>
    <n v="3.2051282051282053"/>
    <n v="274"/>
    <n v="3.5128205128205128"/>
    <n v="1971"/>
    <n v="25.26923076923077"/>
  </r>
  <r>
    <s v="Carmelo Anthony"/>
    <x v="10"/>
    <x v="177"/>
    <n v="27"/>
    <n v="270"/>
    <n v="27"/>
    <n v="9770"/>
    <n v="546"/>
    <n v="20.222222222222221"/>
    <n v="247"/>
    <n v="536"/>
    <n v="0.46082089552238809"/>
    <n v="530"/>
    <n v="1250"/>
    <n v="0.42399999999999999"/>
    <n v="164"/>
    <n v="188"/>
    <n v="0.87234042553191493"/>
    <n v="41"/>
    <n v="140"/>
    <n v="181"/>
    <n v="410"/>
    <n v="1400"/>
    <n v="1810"/>
    <n v="6.7037037037037033"/>
    <n v="81"/>
    <n v="3"/>
    <n v="25"/>
    <n v="250"/>
    <n v="0.92592592592592593"/>
    <n v="150"/>
    <n v="15"/>
    <n v="0.55555555555555558"/>
    <n v="640"/>
    <x v="166"/>
    <n v="64"/>
    <n v="2.3703703703703702"/>
    <n v="90"/>
    <n v="3.3333333333333335"/>
    <n v="711"/>
    <n v="26.333333333333332"/>
  </r>
  <r>
    <s v="Raymond Felton"/>
    <x v="10"/>
    <x v="178"/>
    <n v="27"/>
    <n v="270"/>
    <n v="54"/>
    <n v="20740"/>
    <n v="938"/>
    <n v="17.37037037037037"/>
    <n v="339"/>
    <n v="801"/>
    <n v="0.42322097378277151"/>
    <n v="880"/>
    <n v="2680"/>
    <n v="0.32835820895522388"/>
    <n v="157"/>
    <n v="181"/>
    <n v="0.86740331491712708"/>
    <n v="40"/>
    <n v="154"/>
    <n v="194"/>
    <n v="400"/>
    <n v="1540"/>
    <n v="1940"/>
    <n v="3.5925925925925926"/>
    <n v="488"/>
    <n v="9.0370370370370363"/>
    <n v="97"/>
    <n v="970"/>
    <n v="1.7962962962962963"/>
    <n v="110"/>
    <n v="11"/>
    <n v="0.20370370370370369"/>
    <n v="1760"/>
    <x v="167"/>
    <n v="176"/>
    <n v="3.2592592592592591"/>
    <n v="113"/>
    <n v="2.0925925925925926"/>
    <n v="923"/>
    <n v="17.092592592592592"/>
  </r>
  <r>
    <s v="Chauncey Billups"/>
    <x v="10"/>
    <x v="179"/>
    <n v="34"/>
    <n v="340"/>
    <n v="21"/>
    <n v="6640"/>
    <n v="303"/>
    <n v="14.428571428571429"/>
    <n v="104"/>
    <n v="258"/>
    <n v="0.40310077519379844"/>
    <n v="410"/>
    <n v="1250"/>
    <n v="0.32800000000000001"/>
    <n v="119"/>
    <n v="132"/>
    <n v="0.90151515151515149"/>
    <n v="13"/>
    <n v="52"/>
    <n v="65"/>
    <n v="130"/>
    <n v="520"/>
    <n v="650"/>
    <n v="3.0952380952380953"/>
    <n v="116"/>
    <n v="5.5238095238095237"/>
    <n v="19"/>
    <n v="190"/>
    <n v="0.90476190476190477"/>
    <n v="20"/>
    <n v="2"/>
    <n v="9.5238095238095233E-2"/>
    <n v="480"/>
    <x v="168"/>
    <n v="48"/>
    <n v="2.2857142857142856"/>
    <n v="52"/>
    <n v="2.4761904761904763"/>
    <n v="368"/>
    <n v="17.523809523809526"/>
  </r>
  <r>
    <s v="Wilson Chandler"/>
    <x v="10"/>
    <x v="180"/>
    <n v="24"/>
    <n v="240"/>
    <n v="51"/>
    <n v="17590"/>
    <n v="705"/>
    <n v="13.823529411764707"/>
    <n v="328"/>
    <n v="712"/>
    <n v="0.4606741573033708"/>
    <n v="860"/>
    <n v="2450"/>
    <n v="0.3510204081632653"/>
    <n v="96"/>
    <n v="119"/>
    <n v="0.80672268907563027"/>
    <n v="62"/>
    <n v="241"/>
    <n v="303"/>
    <n v="620"/>
    <n v="2410"/>
    <n v="3030"/>
    <n v="5.9411764705882355"/>
    <n v="86"/>
    <n v="1.6862745098039216"/>
    <n v="34"/>
    <n v="340"/>
    <n v="0.66666666666666663"/>
    <n v="700"/>
    <n v="70"/>
    <n v="1.3725490196078431"/>
    <n v="670"/>
    <x v="169"/>
    <n v="67"/>
    <n v="1.3137254901960784"/>
    <n v="152"/>
    <n v="2.9803921568627452"/>
    <n v="838"/>
    <n v="16.431372549019606"/>
  </r>
  <r>
    <s v="Danilo Gallinari"/>
    <x v="10"/>
    <x v="181"/>
    <n v="22"/>
    <n v="220"/>
    <n v="48"/>
    <n v="16710"/>
    <n v="627"/>
    <n v="13.0625"/>
    <n v="211"/>
    <n v="509"/>
    <n v="415"/>
    <n v="830"/>
    <n v="2390"/>
    <n v="0.34728033472803349"/>
    <n v="259"/>
    <n v="290"/>
    <n v="0.89310344827586208"/>
    <n v="48"/>
    <n v="181"/>
    <n v="229"/>
    <n v="480"/>
    <n v="1810"/>
    <n v="2290"/>
    <n v="4.770833333333333"/>
    <n v="82"/>
    <n v="1.7083333333333333"/>
    <n v="38"/>
    <n v="380"/>
    <n v="0.79166666666666663"/>
    <n v="180"/>
    <n v="18"/>
    <n v="0.375"/>
    <n v="580"/>
    <x v="170"/>
    <n v="58"/>
    <n v="1.2083333333333333"/>
    <n v="117"/>
    <n v="2.4375"/>
    <n v="764"/>
    <n v="15.916666666666666"/>
  </r>
  <r>
    <s v="Landry Fields"/>
    <x v="10"/>
    <x v="182"/>
    <n v="23"/>
    <n v="230"/>
    <n v="82"/>
    <n v="25410"/>
    <n v="1012"/>
    <n v="12.341463414634147"/>
    <n v="299"/>
    <n v="602"/>
    <n v="0.49667774086378735"/>
    <n v="860"/>
    <n v="2190"/>
    <n v="0.39269406392694062"/>
    <n v="113"/>
    <n v="147"/>
    <n v="0.76870748299319724"/>
    <n v="105"/>
    <n v="416"/>
    <n v="521"/>
    <n v="1050"/>
    <n v="4160"/>
    <n v="5210"/>
    <n v="6.3536585365853657"/>
    <n v="155"/>
    <n v="1.8902439024390243"/>
    <n v="80"/>
    <n v="800"/>
    <n v="0.97560975609756095"/>
    <n v="170"/>
    <n v="17"/>
    <n v="0.2073170731707317"/>
    <n v="1070"/>
    <x v="171"/>
    <n v="107"/>
    <n v="1.3048780487804879"/>
    <n v="114"/>
    <n v="1.3902439024390243"/>
    <n v="797"/>
    <n v="9.7195121951219505"/>
  </r>
  <r>
    <s v="Toney Douglas"/>
    <x v="10"/>
    <x v="183"/>
    <n v="25"/>
    <n v="250"/>
    <n v="81"/>
    <n v="19710"/>
    <n v="708"/>
    <n v="8.7407407407407405"/>
    <n v="314"/>
    <n v="755"/>
    <n v="0.41589403973509936"/>
    <n v="1430"/>
    <n v="3830"/>
    <n v="0.37336814621409919"/>
    <n v="85"/>
    <n v="107"/>
    <n v="0.79439252336448596"/>
    <n v="65"/>
    <n v="179"/>
    <n v="244"/>
    <n v="650"/>
    <n v="1790"/>
    <n v="2440"/>
    <n v="3.0123456790123457"/>
    <n v="244"/>
    <n v="3.0123456790123457"/>
    <n v="89"/>
    <n v="890"/>
    <n v="1.0987654320987654"/>
    <n v="40"/>
    <n v="4"/>
    <n v="4.9382716049382713E-2"/>
    <n v="890"/>
    <x v="172"/>
    <n v="89"/>
    <n v="1.0987654320987654"/>
    <n v="177"/>
    <n v="2.1851851851851851"/>
    <n v="856"/>
    <n v="10.567901234567902"/>
  </r>
  <r>
    <s v="Shawne Williams"/>
    <x v="10"/>
    <x v="184"/>
    <n v="25"/>
    <n v="250"/>
    <n v="64"/>
    <n v="13230"/>
    <n v="391"/>
    <n v="6.109375"/>
    <n v="164"/>
    <n v="385"/>
    <n v="426"/>
    <n v="850"/>
    <n v="2120"/>
    <n v="0.40094339622641512"/>
    <n v="41"/>
    <n v="49"/>
    <n v="0.83673469387755106"/>
    <n v="60"/>
    <n v="179"/>
    <n v="239"/>
    <n v="600"/>
    <n v="1790"/>
    <n v="2390"/>
    <n v="3.734375"/>
    <n v="47"/>
    <n v="0.734375"/>
    <n v="39"/>
    <n v="390"/>
    <n v="0.609375"/>
    <n v="510"/>
    <n v="51"/>
    <n v="0.796875"/>
    <n v="460"/>
    <x v="173"/>
    <n v="46"/>
    <n v="0.71875"/>
    <n v="164"/>
    <n v="2.5625"/>
    <n v="454"/>
    <n v="7.09375"/>
  </r>
  <r>
    <s v="Ronny Turiaf"/>
    <x v="10"/>
    <x v="185"/>
    <n v="28"/>
    <n v="280"/>
    <n v="64"/>
    <n v="11410"/>
    <n v="376"/>
    <n v="5.875"/>
    <n v="103"/>
    <n v="163"/>
    <n v="632"/>
    <n v="0"/>
    <n v="0"/>
    <e v="#DIV/0!"/>
    <n v="61"/>
    <n v="98"/>
    <n v="0.62244897959183676"/>
    <n v="64"/>
    <n v="143"/>
    <n v="207"/>
    <n v="640"/>
    <n v="1430"/>
    <n v="2070"/>
    <n v="3.234375"/>
    <n v="92"/>
    <n v="1.4375"/>
    <n v="35"/>
    <n v="350"/>
    <n v="0.546875"/>
    <n v="730"/>
    <n v="73"/>
    <n v="1.140625"/>
    <n v="410"/>
    <x v="174"/>
    <n v="41"/>
    <n v="0.640625"/>
    <n v="160"/>
    <n v="2.5"/>
    <n v="267"/>
    <n v="4.171875"/>
  </r>
  <r>
    <s v="Anthony Carter"/>
    <x v="10"/>
    <x v="186"/>
    <n v="36"/>
    <n v="360"/>
    <n v="19"/>
    <n v="3100"/>
    <n v="93"/>
    <n v="4.8947368421052628"/>
    <n v="35"/>
    <n v="76"/>
    <n v="0.46052631578947367"/>
    <n v="80"/>
    <n v="280"/>
    <n v="0.2857142857142857"/>
    <n v="6"/>
    <n v="6"/>
    <n v="1"/>
    <n v="7"/>
    <n v="32"/>
    <n v="39"/>
    <n v="70"/>
    <n v="320"/>
    <n v="390"/>
    <n v="2.0526315789473686"/>
    <n v="43"/>
    <n v="2.263157894736842"/>
    <n v="18"/>
    <n v="180"/>
    <n v="0.94736842105263153"/>
    <n v="50"/>
    <n v="5"/>
    <n v="0.26315789473684209"/>
    <n v="250"/>
    <x v="175"/>
    <n v="25"/>
    <n v="1.3157894736842106"/>
    <n v="30"/>
    <n v="1.5789473684210527"/>
    <n v="84"/>
    <n v="4.4210526315789478"/>
  </r>
  <r>
    <s v="Shelden Williams"/>
    <x v="10"/>
    <x v="187"/>
    <n v="27"/>
    <n v="270"/>
    <n v="17"/>
    <n v="1980"/>
    <n v="75"/>
    <n v="4.4117647058823533"/>
    <n v="21"/>
    <n v="39"/>
    <n v="538"/>
    <n v="0"/>
    <n v="0"/>
    <e v="#DIV/0!"/>
    <n v="24"/>
    <n v="29"/>
    <n v="0.82758620689655171"/>
    <n v="19"/>
    <n v="31"/>
    <n v="50"/>
    <n v="190"/>
    <n v="310"/>
    <n v="500"/>
    <n v="2.9411764705882355"/>
    <n v="13"/>
    <n v="0.76470588235294112"/>
    <n v="5"/>
    <n v="50"/>
    <n v="0.29411764705882354"/>
    <n v="40"/>
    <n v="4"/>
    <n v="0.23529411764705882"/>
    <n v="60"/>
    <x v="176"/>
    <n v="6"/>
    <n v="0.35294117647058826"/>
    <n v="34"/>
    <n v="2"/>
    <n v="66"/>
    <n v="3.8823529411764706"/>
  </r>
  <r>
    <s v="Derrick Brown"/>
    <x v="10"/>
    <x v="188"/>
    <n v="23"/>
    <n v="230"/>
    <n v="8"/>
    <n v="880"/>
    <n v="29"/>
    <n v="3.625"/>
    <n v="12"/>
    <n v="18"/>
    <n v="0.66666666666666663"/>
    <n v="30"/>
    <n v="40"/>
    <n v="0.75"/>
    <n v="7"/>
    <n v="13"/>
    <n v="0.53846153846153844"/>
    <n v="9"/>
    <n v="6"/>
    <n v="15"/>
    <n v="90"/>
    <n v="60"/>
    <n v="150"/>
    <n v="1.875"/>
    <n v="4"/>
    <n v="0.5"/>
    <n v="4"/>
    <n v="40"/>
    <n v="0.5"/>
    <n v="20"/>
    <n v="2"/>
    <n v="0.25"/>
    <n v="70"/>
    <x v="177"/>
    <n v="7"/>
    <n v="0.875"/>
    <n v="11"/>
    <n v="1.375"/>
    <n v="34"/>
    <n v="4.25"/>
  </r>
  <r>
    <s v="Henry Walker"/>
    <x v="10"/>
    <x v="189"/>
    <n v="23"/>
    <n v="230"/>
    <n v="61"/>
    <n v="7840"/>
    <n v="218"/>
    <n v="3.5737704918032787"/>
    <n v="104"/>
    <n v="236"/>
    <n v="441"/>
    <n v="590"/>
    <n v="1530"/>
    <n v="0.38562091503267976"/>
    <n v="31"/>
    <n v="44"/>
    <n v="0.70454545454545459"/>
    <n v="16"/>
    <n v="106"/>
    <n v="122"/>
    <n v="160"/>
    <n v="1060"/>
    <n v="1220"/>
    <n v="2"/>
    <n v="34"/>
    <n v="0.55737704918032782"/>
    <n v="21"/>
    <n v="210"/>
    <n v="0.34426229508196721"/>
    <n v="60"/>
    <n v="6"/>
    <n v="9.8360655737704916E-2"/>
    <n v="370"/>
    <x v="178"/>
    <n v="37"/>
    <n v="0.60655737704918034"/>
    <n v="81"/>
    <n v="1.3278688524590163"/>
    <n v="298"/>
    <n v="4.8852459016393439"/>
  </r>
  <r>
    <s v="Jared Jeffries"/>
    <x v="10"/>
    <x v="190"/>
    <n v="29"/>
    <n v="290"/>
    <n v="24"/>
    <n v="4630"/>
    <n v="78"/>
    <n v="3.25"/>
    <n v="19"/>
    <n v="50"/>
    <n v="38"/>
    <n v="10"/>
    <n v="30"/>
    <n v="0.33333333333333331"/>
    <n v="8"/>
    <n v="19"/>
    <n v="0.42105263157894735"/>
    <n v="42"/>
    <n v="39"/>
    <n v="81"/>
    <n v="420"/>
    <n v="390"/>
    <n v="810"/>
    <n v="3.375"/>
    <n v="25"/>
    <n v="1.0416666666666667"/>
    <n v="24"/>
    <n v="240"/>
    <n v="1"/>
    <n v="140"/>
    <n v="14"/>
    <n v="0.58333333333333337"/>
    <n v="170"/>
    <x v="179"/>
    <n v="17"/>
    <n v="0.70833333333333337"/>
    <n v="54"/>
    <n v="2.25"/>
    <n v="47"/>
    <n v="1.9583333333333333"/>
  </r>
  <r>
    <s v="Timofey Mozgov"/>
    <x v="10"/>
    <x v="191"/>
    <n v="24"/>
    <n v="240"/>
    <n v="34"/>
    <n v="4580"/>
    <n v="110"/>
    <n v="3.2352941176470589"/>
    <n v="52"/>
    <n v="112"/>
    <n v="0.4642857142857143"/>
    <n v="0"/>
    <n v="0"/>
    <e v="#DIV/0!"/>
    <n v="31"/>
    <n v="44"/>
    <n v="0.70454545454545459"/>
    <n v="41"/>
    <n v="63"/>
    <n v="104"/>
    <n v="410"/>
    <n v="630"/>
    <n v="1040"/>
    <n v="3.0588235294117645"/>
    <n v="15"/>
    <n v="0.44117647058823528"/>
    <n v="14"/>
    <n v="140"/>
    <n v="0.41176470588235292"/>
    <n v="230"/>
    <n v="23"/>
    <n v="0.67647058823529416"/>
    <n v="320"/>
    <x v="180"/>
    <n v="32"/>
    <n v="0.94117647058823528"/>
    <n v="76"/>
    <n v="2.2352941176470589"/>
    <n v="135"/>
    <n v="3.9705882352941178"/>
  </r>
  <r>
    <s v="Roger Mason Jr."/>
    <x v="10"/>
    <x v="192"/>
    <n v="30"/>
    <n v="300"/>
    <n v="26"/>
    <n v="3190"/>
    <n v="61"/>
    <n v="2.3461538461538463"/>
    <n v="26"/>
    <n v="77"/>
    <n v="0.33766233766233766"/>
    <n v="160"/>
    <n v="440"/>
    <n v="0.36363636363636365"/>
    <n v="7"/>
    <n v="10"/>
    <n v="0.7"/>
    <n v="5"/>
    <n v="38"/>
    <n v="43"/>
    <n v="50"/>
    <n v="380"/>
    <n v="430"/>
    <n v="1.6538461538461537"/>
    <n v="20"/>
    <n v="0.76923076923076927"/>
    <n v="6"/>
    <n v="60"/>
    <n v="0.23076923076923078"/>
    <n v="20"/>
    <n v="2"/>
    <n v="7.6923076923076927E-2"/>
    <n v="60"/>
    <x v="181"/>
    <n v="6"/>
    <n v="0.23076923076923078"/>
    <n v="25"/>
    <n v="0.96153846153846156"/>
    <n v="75"/>
    <n v="2.8846153846153846"/>
  </r>
  <r>
    <s v="Anthony Randolph"/>
    <x v="10"/>
    <x v="193"/>
    <n v="21"/>
    <n v="210"/>
    <n v="17"/>
    <n v="1270"/>
    <n v="32"/>
    <n v="1.8823529411764706"/>
    <n v="14"/>
    <n v="45"/>
    <n v="0.31111111111111112"/>
    <n v="10"/>
    <n v="40"/>
    <n v="0.25"/>
    <n v="6"/>
    <n v="12"/>
    <n v="0.5"/>
    <n v="11"/>
    <n v="29"/>
    <n v="40"/>
    <n v="110"/>
    <n v="290"/>
    <n v="400"/>
    <n v="2.3529411764705883"/>
    <n v="7"/>
    <n v="0.41176470588235292"/>
    <n v="4"/>
    <n v="40"/>
    <n v="0.23529411764705882"/>
    <n v="80"/>
    <n v="8"/>
    <n v="0.47058823529411764"/>
    <n v="100"/>
    <x v="182"/>
    <n v="10"/>
    <n v="0.58823529411764708"/>
    <n v="15"/>
    <n v="0.88235294117647056"/>
    <n v="35"/>
    <n v="2.0588235294117645"/>
  </r>
  <r>
    <s v="Andy Rautins"/>
    <x v="10"/>
    <x v="194"/>
    <n v="24"/>
    <n v="240"/>
    <n v="5"/>
    <n v="240"/>
    <n v="1"/>
    <n v="0.2"/>
    <n v="3"/>
    <n v="7"/>
    <n v="429"/>
    <n v="10"/>
    <n v="40"/>
    <n v="0.25"/>
    <n v="1"/>
    <n v="2"/>
    <n v="0.5"/>
    <n v="0"/>
    <n v="1"/>
    <n v="1"/>
    <n v="0"/>
    <n v="10"/>
    <n v="10"/>
    <n v="0.2"/>
    <n v="3"/>
    <n v="0.6"/>
    <n v="1"/>
    <n v="10"/>
    <n v="0.2"/>
    <n v="0"/>
    <n v="0"/>
    <n v="0"/>
    <n v="70"/>
    <x v="183"/>
    <n v="7"/>
    <n v="1.4"/>
    <n v="0"/>
    <n v="0"/>
    <n v="8"/>
    <n v="1.6"/>
  </r>
  <r>
    <s v="Renaldo Balkman"/>
    <x v="10"/>
    <x v="195"/>
    <n v="26"/>
    <n v="260"/>
    <n v="3"/>
    <n v="180"/>
    <n v="-1"/>
    <n v="-0.33333333333333331"/>
    <n v="1"/>
    <n v="4"/>
    <n v="0.25"/>
    <n v="10"/>
    <n v="20"/>
    <n v="0.5"/>
    <n v="0"/>
    <n v="0"/>
    <e v="#DIV/0!"/>
    <n v="1"/>
    <n v="2"/>
    <n v="3"/>
    <n v="10"/>
    <n v="20"/>
    <n v="30"/>
    <n v="1"/>
    <n v="0"/>
    <n v="0"/>
    <n v="1"/>
    <n v="10"/>
    <n v="0.33333333333333331"/>
    <n v="0"/>
    <n v="0"/>
    <n v="0"/>
    <n v="10"/>
    <x v="144"/>
    <n v="1"/>
    <n v="0.33333333333333331"/>
    <n v="4"/>
    <n v="1.3333333333333333"/>
    <n v="3"/>
    <n v="1"/>
  </r>
  <r>
    <s v="Carmelo Anthony"/>
    <x v="11"/>
    <x v="196"/>
    <n v="28"/>
    <n v="280"/>
    <n v="55"/>
    <n v="18760"/>
    <n v="919"/>
    <n v="16.709090909090911"/>
    <n v="441"/>
    <n v="1025"/>
    <n v="0.43024390243902438"/>
    <n v="680"/>
    <n v="2030"/>
    <n v="0.33497536945812806"/>
    <n v="295"/>
    <n v="367"/>
    <n v="0.80381471389645776"/>
    <n v="88"/>
    <n v="256"/>
    <n v="344"/>
    <n v="880"/>
    <n v="2560"/>
    <n v="3440"/>
    <n v="6.2545454545454549"/>
    <n v="200"/>
    <n v="3.6363636363636362"/>
    <n v="62"/>
    <n v="620"/>
    <n v="1.1272727272727272"/>
    <n v="240"/>
    <n v="24"/>
    <n v="0.43636363636363634"/>
    <n v="1440"/>
    <x v="184"/>
    <n v="144"/>
    <n v="2.6181818181818182"/>
    <n v="156"/>
    <n v="2.8363636363636364"/>
    <n v="1245"/>
    <n v="22.636363636363637"/>
  </r>
  <r>
    <s v="Tyson Chandler"/>
    <x v="11"/>
    <x v="197"/>
    <n v="29"/>
    <n v="290"/>
    <n v="62"/>
    <n v="20610"/>
    <n v="1012"/>
    <n v="16.322580645161292"/>
    <n v="241"/>
    <n v="355"/>
    <n v="0.6788732394366197"/>
    <n v="0"/>
    <n v="20"/>
    <n v="0"/>
    <n v="217"/>
    <n v="315"/>
    <n v="0.68888888888888888"/>
    <n v="212"/>
    <n v="400"/>
    <n v="612"/>
    <n v="2120"/>
    <n v="4000"/>
    <n v="6120"/>
    <n v="9.870967741935484"/>
    <n v="56"/>
    <n v="0.90322580645161288"/>
    <n v="56"/>
    <n v="560"/>
    <n v="0.90322580645161288"/>
    <n v="890"/>
    <n v="89"/>
    <n v="1.435483870967742"/>
    <n v="1020"/>
    <x v="185"/>
    <n v="102"/>
    <n v="1.6451612903225807"/>
    <n v="186"/>
    <n v="3"/>
    <n v="699"/>
    <n v="11.274193548387096"/>
  </r>
  <r>
    <s v="Amar'e Stoudemire"/>
    <x v="11"/>
    <x v="198"/>
    <n v="29"/>
    <n v="290"/>
    <n v="47"/>
    <n v="15430"/>
    <n v="680"/>
    <n v="14.468085106382979"/>
    <n v="316"/>
    <n v="654"/>
    <n v="483"/>
    <n v="50"/>
    <n v="210"/>
    <n v="0.23809523809523808"/>
    <n v="186"/>
    <n v="243"/>
    <n v="0.76543209876543206"/>
    <n v="106"/>
    <n v="261"/>
    <n v="367"/>
    <n v="1060"/>
    <n v="2610"/>
    <n v="3670"/>
    <n v="7.8085106382978724"/>
    <n v="52"/>
    <n v="1.1063829787234043"/>
    <n v="38"/>
    <n v="380"/>
    <n v="0.80851063829787229"/>
    <n v="450"/>
    <n v="45"/>
    <n v="0.95744680851063835"/>
    <n v="1120"/>
    <x v="186"/>
    <n v="112"/>
    <n v="2.3829787234042552"/>
    <n v="138"/>
    <n v="2.9361702127659575"/>
    <n v="823"/>
    <n v="17.51063829787234"/>
  </r>
  <r>
    <s v="Jeremy Lin"/>
    <x v="11"/>
    <x v="199"/>
    <n v="23"/>
    <n v="230"/>
    <n v="35"/>
    <n v="9400"/>
    <n v="446"/>
    <n v="12.742857142857142"/>
    <n v="171"/>
    <n v="383"/>
    <n v="0.44647519582245432"/>
    <n v="240"/>
    <n v="750"/>
    <n v="0.32"/>
    <n v="146"/>
    <n v="183"/>
    <n v="0.79781420765027322"/>
    <n v="18"/>
    <n v="89"/>
    <n v="107"/>
    <n v="180"/>
    <n v="890"/>
    <n v="1070"/>
    <n v="3.0571428571428569"/>
    <n v="216"/>
    <n v="6.1714285714285717"/>
    <n v="55"/>
    <n v="550"/>
    <n v="1.5714285714285714"/>
    <n v="90"/>
    <n v="9"/>
    <n v="0.25714285714285712"/>
    <n v="1260"/>
    <x v="187"/>
    <n v="126"/>
    <n v="3.6"/>
    <n v="78"/>
    <n v="2.2285714285714286"/>
    <n v="512"/>
    <n v="14.628571428571428"/>
  </r>
  <r>
    <s v="JR Smith"/>
    <x v="11"/>
    <x v="200"/>
    <n v="26"/>
    <n v="260"/>
    <n v="35"/>
    <n v="9670"/>
    <n v="327"/>
    <n v="9.3428571428571434"/>
    <n v="165"/>
    <n v="405"/>
    <n v="0.40740740740740738"/>
    <n v="670"/>
    <n v="1930"/>
    <n v="0.34715025906735753"/>
    <n v="39"/>
    <n v="55"/>
    <n v="0.70909090909090911"/>
    <n v="29"/>
    <n v="107"/>
    <n v="136"/>
    <n v="290"/>
    <n v="1070"/>
    <n v="1360"/>
    <n v="3.8857142857142857"/>
    <n v="84"/>
    <n v="2.4"/>
    <n v="54"/>
    <n v="540"/>
    <n v="1.5428571428571429"/>
    <n v="60"/>
    <n v="6"/>
    <n v="0.17142857142857143"/>
    <n v="460"/>
    <x v="188"/>
    <n v="46"/>
    <n v="1.3142857142857143"/>
    <n v="87"/>
    <n v="2.4857142857142858"/>
    <n v="436"/>
    <n v="12.457142857142857"/>
  </r>
  <r>
    <s v="Landry Fields"/>
    <x v="11"/>
    <x v="201"/>
    <n v="24"/>
    <n v="240"/>
    <n v="66"/>
    <n v="18940"/>
    <n v="585"/>
    <n v="8.8636363636363633"/>
    <n v="236"/>
    <n v="513"/>
    <n v="0.4600389863547758"/>
    <n v="310"/>
    <n v="1210"/>
    <n v="0.256198347107438"/>
    <n v="77"/>
    <n v="137"/>
    <n v="0.56204379562043794"/>
    <n v="59"/>
    <n v="219"/>
    <n v="278"/>
    <n v="590"/>
    <n v="2190"/>
    <n v="2780"/>
    <n v="4.2121212121212119"/>
    <n v="169"/>
    <n v="2.5606060606060606"/>
    <n v="79"/>
    <n v="790"/>
    <n v="1.196969696969697"/>
    <n v="170"/>
    <n v="17"/>
    <n v="0.25757575757575757"/>
    <n v="1020"/>
    <x v="189"/>
    <n v="102"/>
    <n v="1.5454545454545454"/>
    <n v="99"/>
    <n v="1.5"/>
    <n v="580"/>
    <n v="8.7878787878787872"/>
  </r>
  <r>
    <s v="Iman Shumpert"/>
    <x v="11"/>
    <x v="202"/>
    <n v="22"/>
    <n v="220"/>
    <n v="59"/>
    <n v="17050"/>
    <n v="396"/>
    <n v="6.7118644067796609"/>
    <n v="214"/>
    <n v="534"/>
    <n v="401"/>
    <n v="480"/>
    <n v="1570"/>
    <n v="0.30573248407643311"/>
    <n v="87"/>
    <n v="109"/>
    <n v="0.79816513761467889"/>
    <n v="42"/>
    <n v="144"/>
    <n v="186"/>
    <n v="420"/>
    <n v="1440"/>
    <n v="1860"/>
    <n v="3.152542372881356"/>
    <n v="164"/>
    <n v="2.7796610169491527"/>
    <n v="101"/>
    <n v="1010"/>
    <n v="1.7118644067796611"/>
    <n v="80"/>
    <n v="8"/>
    <n v="0.13559322033898305"/>
    <n v="1110"/>
    <x v="90"/>
    <n v="111"/>
    <n v="1.8813559322033899"/>
    <n v="173"/>
    <n v="2.9322033898305087"/>
    <n v="563"/>
    <n v="9.5423728813559325"/>
  </r>
  <r>
    <s v="Steve Novak"/>
    <x v="11"/>
    <x v="203"/>
    <n v="29"/>
    <n v="290"/>
    <n v="54"/>
    <n v="10200"/>
    <n v="358"/>
    <n v="6.6296296296296298"/>
    <n v="161"/>
    <n v="337"/>
    <n v="0.47774480712166173"/>
    <n v="1330"/>
    <n v="2820"/>
    <n v="0.47163120567375888"/>
    <n v="22"/>
    <n v="26"/>
    <n v="0.84615384615384615"/>
    <n v="9"/>
    <n v="95"/>
    <n v="104"/>
    <n v="90"/>
    <n v="950"/>
    <n v="1040"/>
    <n v="1.9259259259259258"/>
    <n v="12"/>
    <n v="0.22222222222222221"/>
    <n v="16"/>
    <n v="160"/>
    <n v="0.29629629629629628"/>
    <n v="90"/>
    <n v="9"/>
    <n v="0.16666666666666666"/>
    <n v="210"/>
    <x v="127"/>
    <n v="21"/>
    <n v="0.3888888888888889"/>
    <n v="59"/>
    <n v="1.0925925925925926"/>
    <n v="477"/>
    <n v="8.8333333333333339"/>
  </r>
  <r>
    <s v="Josh Harrellson"/>
    <x v="11"/>
    <x v="204"/>
    <n v="23"/>
    <n v="230"/>
    <n v="37"/>
    <n v="5400"/>
    <n v="196"/>
    <n v="5.2972972972972974"/>
    <n v="63"/>
    <n v="149"/>
    <n v="0.42281879194630873"/>
    <n v="200"/>
    <n v="590"/>
    <n v="0.33898305084745761"/>
    <n v="16"/>
    <n v="26"/>
    <n v="0.61538461538461542"/>
    <n v="47"/>
    <n v="97"/>
    <n v="144"/>
    <n v="470"/>
    <n v="970"/>
    <n v="1440"/>
    <n v="3.8918918918918921"/>
    <n v="11"/>
    <n v="0.29729729729729731"/>
    <n v="23"/>
    <n v="230"/>
    <n v="0.6216216216216216"/>
    <n v="200"/>
    <n v="20"/>
    <n v="0.54054054054054057"/>
    <n v="200"/>
    <x v="190"/>
    <n v="20"/>
    <n v="0.54054054054054057"/>
    <n v="48"/>
    <n v="1.2972972972972974"/>
    <n v="162"/>
    <n v="4.3783783783783781"/>
  </r>
  <r>
    <s v="Baron Davis"/>
    <x v="11"/>
    <x v="205"/>
    <n v="33"/>
    <n v="330"/>
    <n v="29"/>
    <n v="5950"/>
    <n v="145"/>
    <n v="5"/>
    <n v="68"/>
    <n v="184"/>
    <n v="37"/>
    <n v="260"/>
    <n v="850"/>
    <n v="0.30588235294117649"/>
    <n v="16"/>
    <n v="24"/>
    <n v="0.66666666666666663"/>
    <n v="13"/>
    <n v="43"/>
    <n v="56"/>
    <n v="130"/>
    <n v="430"/>
    <n v="560"/>
    <n v="1.9310344827586208"/>
    <n v="135"/>
    <n v="4.6551724137931032"/>
    <n v="34"/>
    <n v="340"/>
    <n v="1.1724137931034482"/>
    <n v="30"/>
    <n v="3"/>
    <n v="0.10344827586206896"/>
    <n v="760"/>
    <x v="191"/>
    <n v="76"/>
    <n v="2.6206896551724137"/>
    <n v="61"/>
    <n v="2.103448275862069"/>
    <n v="178"/>
    <n v="6.1379310344827589"/>
  </r>
  <r>
    <s v="Jared Jeffries"/>
    <x v="11"/>
    <x v="206"/>
    <n v="30"/>
    <n v="300"/>
    <n v="39"/>
    <n v="7290"/>
    <n v="176"/>
    <n v="4.5128205128205128"/>
    <n v="59"/>
    <n v="144"/>
    <n v="41"/>
    <n v="30"/>
    <n v="160"/>
    <n v="0.1875"/>
    <n v="49"/>
    <n v="72"/>
    <n v="0.68055555555555558"/>
    <n v="69"/>
    <n v="83"/>
    <n v="152"/>
    <n v="690"/>
    <n v="830"/>
    <n v="1520"/>
    <n v="3.8974358974358974"/>
    <n v="26"/>
    <n v="0.66666666666666663"/>
    <n v="29"/>
    <n v="290"/>
    <n v="0.74358974358974361"/>
    <n v="250"/>
    <n v="25"/>
    <n v="0.64102564102564108"/>
    <n v="290"/>
    <x v="192"/>
    <n v="29"/>
    <n v="0.74358974358974361"/>
    <n v="89"/>
    <n v="2.2820512820512819"/>
    <n v="170"/>
    <n v="4.3589743589743586"/>
  </r>
  <r>
    <s v="Henry Walker"/>
    <x v="11"/>
    <x v="207"/>
    <n v="24"/>
    <n v="240"/>
    <n v="32"/>
    <n v="6200"/>
    <n v="107"/>
    <n v="3.34375"/>
    <n v="68"/>
    <n v="171"/>
    <n v="398"/>
    <n v="360"/>
    <n v="1130"/>
    <n v="0.31858407079646017"/>
    <n v="17"/>
    <n v="20"/>
    <n v="0.85"/>
    <n v="9"/>
    <n v="71"/>
    <n v="80"/>
    <n v="90"/>
    <n v="710"/>
    <n v="800"/>
    <n v="2.5"/>
    <n v="37"/>
    <n v="1.15625"/>
    <n v="19"/>
    <n v="190"/>
    <n v="0.59375"/>
    <n v="70"/>
    <n v="7"/>
    <n v="0.21875"/>
    <n v="350"/>
    <x v="193"/>
    <n v="35"/>
    <n v="1.09375"/>
    <n v="84"/>
    <n v="2.625"/>
    <n v="189"/>
    <n v="5.90625"/>
  </r>
  <r>
    <s v="Renaldo Balkman"/>
    <x v="11"/>
    <x v="208"/>
    <n v="27"/>
    <n v="270"/>
    <n v="14"/>
    <n v="1150"/>
    <n v="41"/>
    <n v="2.9285714285714284"/>
    <n v="16"/>
    <n v="32"/>
    <n v="0.5"/>
    <n v="20"/>
    <n v="90"/>
    <n v="0.22222222222222221"/>
    <n v="8"/>
    <n v="11"/>
    <n v="0.72727272727272729"/>
    <n v="6"/>
    <n v="20"/>
    <n v="26"/>
    <n v="60"/>
    <n v="200"/>
    <n v="260"/>
    <n v="1.8571428571428572"/>
    <n v="5"/>
    <n v="0.35714285714285715"/>
    <n v="4"/>
    <n v="40"/>
    <n v="0.2857142857142857"/>
    <n v="30"/>
    <n v="3"/>
    <n v="0.21428571428571427"/>
    <n v="60"/>
    <x v="194"/>
    <n v="6"/>
    <n v="0.42857142857142855"/>
    <n v="14"/>
    <n v="1"/>
    <n v="42"/>
    <n v="3"/>
  </r>
  <r>
    <s v="Mike Bibby"/>
    <x v="11"/>
    <x v="209"/>
    <n v="34"/>
    <n v="340"/>
    <n v="39"/>
    <n v="5570"/>
    <n v="110"/>
    <n v="2.8205128205128207"/>
    <n v="35"/>
    <n v="124"/>
    <n v="0.28225806451612906"/>
    <n v="270"/>
    <n v="850"/>
    <n v="0.31764705882352939"/>
    <n v="6"/>
    <n v="8"/>
    <n v="0.75"/>
    <n v="5"/>
    <n v="54"/>
    <n v="59"/>
    <n v="50"/>
    <n v="540"/>
    <n v="590"/>
    <n v="1.5128205128205128"/>
    <n v="80"/>
    <n v="2.0512820512820511"/>
    <n v="21"/>
    <n v="210"/>
    <n v="0.53846153846153844"/>
    <n v="30"/>
    <n v="3"/>
    <n v="7.6923076923076927E-2"/>
    <n v="200"/>
    <x v="195"/>
    <n v="20"/>
    <n v="0.51282051282051277"/>
    <n v="45"/>
    <n v="1.1538461538461537"/>
    <n v="103"/>
    <n v="2.641025641025641"/>
  </r>
  <r>
    <s v="Toney Douglas"/>
    <x v="11"/>
    <x v="210"/>
    <n v="26"/>
    <n v="260"/>
    <n v="38"/>
    <n v="6560"/>
    <n v="105"/>
    <n v="2.763157894736842"/>
    <n v="94"/>
    <n v="290"/>
    <n v="0.32413793103448274"/>
    <n v="270"/>
    <n v="1170"/>
    <n v="0.23076923076923078"/>
    <n v="22"/>
    <n v="26"/>
    <n v="0.84615384615384615"/>
    <n v="16"/>
    <n v="56"/>
    <n v="72"/>
    <n v="160"/>
    <n v="560"/>
    <n v="720"/>
    <n v="1.8947368421052631"/>
    <n v="77"/>
    <n v="2.0263157894736841"/>
    <n v="29"/>
    <n v="290"/>
    <n v="0.76315789473684215"/>
    <n v="10"/>
    <n v="1"/>
    <n v="2.6315789473684209E-2"/>
    <n v="560"/>
    <x v="196"/>
    <n v="56"/>
    <n v="1.4736842105263157"/>
    <n v="55"/>
    <n v="1.4473684210526316"/>
    <n v="237"/>
    <n v="6.2368421052631575"/>
  </r>
  <r>
    <s v="Jerome Jordan"/>
    <x v="11"/>
    <x v="211"/>
    <n v="25"/>
    <n v="250"/>
    <n v="21"/>
    <n v="1080"/>
    <n v="45"/>
    <n v="2.1428571428571428"/>
    <n v="17"/>
    <n v="33"/>
    <n v="515"/>
    <n v="0"/>
    <n v="0"/>
    <e v="#DIV/0!"/>
    <n v="8"/>
    <n v="10"/>
    <n v="0.8"/>
    <n v="14"/>
    <n v="13"/>
    <n v="27"/>
    <n v="140"/>
    <n v="130"/>
    <n v="270"/>
    <n v="1.2857142857142858"/>
    <n v="4"/>
    <n v="0.19047619047619047"/>
    <n v="1"/>
    <n v="10"/>
    <n v="4.7619047619047616E-2"/>
    <n v="60"/>
    <n v="6"/>
    <n v="0.2857142857142857"/>
    <n v="20"/>
    <x v="197"/>
    <n v="2"/>
    <n v="9.5238095238095233E-2"/>
    <n v="15"/>
    <n v="0.7142857142857143"/>
    <n v="42"/>
    <n v="2"/>
  </r>
  <r>
    <s v="Dan Gadzuric"/>
    <x v="11"/>
    <x v="212"/>
    <n v="34"/>
    <n v="340"/>
    <n v="2"/>
    <n v="130"/>
    <n v="-2"/>
    <n v="-1"/>
    <n v="0"/>
    <n v="2"/>
    <n v="0"/>
    <n v="0"/>
    <n v="0"/>
    <e v="#DIV/0!"/>
    <n v="0"/>
    <n v="2"/>
    <n v="0"/>
    <n v="1"/>
    <n v="4"/>
    <n v="5"/>
    <n v="10"/>
    <n v="40"/>
    <n v="50"/>
    <n v="2.5"/>
    <n v="0"/>
    <n v="0"/>
    <n v="1"/>
    <n v="10"/>
    <n v="0.5"/>
    <n v="10"/>
    <n v="1"/>
    <n v="0.5"/>
    <n v="10"/>
    <x v="198"/>
    <n v="1"/>
    <n v="0.5"/>
    <n v="4"/>
    <n v="2"/>
    <n v="0"/>
    <n v="0"/>
  </r>
  <r>
    <s v="Carmelo Anthony"/>
    <x v="12"/>
    <x v="213"/>
    <n v="29"/>
    <n v="290"/>
    <n v="67"/>
    <n v="24820"/>
    <n v="1348"/>
    <n v="20.119402985074625"/>
    <n v="669"/>
    <n v="1489"/>
    <n v="0.44929482874412358"/>
    <n v="1570"/>
    <n v="4140"/>
    <n v="0.37922705314009664"/>
    <n v="425"/>
    <n v="512"/>
    <n v="0.830078125"/>
    <n v="134"/>
    <n v="326"/>
    <n v="460"/>
    <n v="1340"/>
    <n v="3260"/>
    <n v="4600"/>
    <n v="6.8656716417910451"/>
    <n v="171"/>
    <n v="2.5522388059701493"/>
    <n v="52"/>
    <n v="520"/>
    <n v="0.77611940298507465"/>
    <n v="320"/>
    <n v="32"/>
    <n v="0.47761194029850745"/>
    <n v="1750"/>
    <x v="199"/>
    <n v="175"/>
    <n v="2.6119402985074629"/>
    <n v="205"/>
    <n v="3.0597014925373136"/>
    <n v="1920"/>
    <n v="28.656716417910449"/>
  </r>
  <r>
    <s v="Earl Barron"/>
    <x v="12"/>
    <x v="214"/>
    <n v="31"/>
    <n v="310"/>
    <n v="1"/>
    <n v="370"/>
    <n v="20"/>
    <n v="20"/>
    <n v="5"/>
    <n v="14"/>
    <n v="0.35714285714285715"/>
    <n v="0"/>
    <n v="0"/>
    <e v="#DIV/0!"/>
    <n v="1"/>
    <n v="2"/>
    <n v="0.5"/>
    <n v="6"/>
    <n v="12"/>
    <n v="18"/>
    <n v="60"/>
    <n v="120"/>
    <n v="180"/>
    <n v="18"/>
    <n v="2"/>
    <n v="2"/>
    <n v="0"/>
    <n v="0"/>
    <n v="0"/>
    <n v="10"/>
    <n v="1"/>
    <n v="1"/>
    <n v="10"/>
    <x v="200"/>
    <n v="1"/>
    <n v="1"/>
    <n v="1"/>
    <n v="1"/>
    <n v="11"/>
    <n v="11"/>
  </r>
  <r>
    <s v="Tyson Chandler"/>
    <x v="12"/>
    <x v="215"/>
    <n v="30"/>
    <n v="300"/>
    <n v="66"/>
    <n v="21640"/>
    <n v="1072"/>
    <n v="16.242424242424242"/>
    <n v="255"/>
    <n v="400"/>
    <n v="0.63749999999999996"/>
    <n v="0"/>
    <n v="0"/>
    <e v="#DIV/0!"/>
    <n v="179"/>
    <n v="258"/>
    <n v="0.69379844961240311"/>
    <n v="269"/>
    <n v="434"/>
    <n v="703"/>
    <n v="2690"/>
    <n v="4340"/>
    <n v="7030"/>
    <n v="10.651515151515152"/>
    <n v="62"/>
    <n v="0.93939393939393945"/>
    <n v="42"/>
    <n v="420"/>
    <n v="0.63636363636363635"/>
    <n v="750"/>
    <n v="75"/>
    <n v="1.1363636363636365"/>
    <n v="870"/>
    <x v="201"/>
    <n v="87"/>
    <n v="1.3181818181818181"/>
    <n v="188"/>
    <n v="2.8484848484848486"/>
    <n v="689"/>
    <n v="10.439393939393939"/>
  </r>
  <r>
    <s v="JR Smith"/>
    <x v="12"/>
    <x v="216"/>
    <n v="27"/>
    <n v="270"/>
    <n v="80"/>
    <n v="26780"/>
    <n v="1057"/>
    <n v="13.2125"/>
    <n v="527"/>
    <n v="1249"/>
    <n v="0.42193755004003203"/>
    <n v="1550"/>
    <n v="4360"/>
    <n v="0.35550458715596328"/>
    <n v="237"/>
    <n v="311"/>
    <n v="0.76205787781350487"/>
    <n v="64"/>
    <n v="361"/>
    <n v="425"/>
    <n v="640"/>
    <n v="3610"/>
    <n v="4250"/>
    <n v="5.3125"/>
    <n v="218"/>
    <n v="2.7250000000000001"/>
    <n v="100"/>
    <n v="1000"/>
    <n v="1.25"/>
    <n v="240"/>
    <n v="24"/>
    <n v="0.3"/>
    <n v="1340"/>
    <x v="202"/>
    <n v="134"/>
    <n v="1.675"/>
    <n v="226"/>
    <n v="2.8250000000000002"/>
    <n v="1446"/>
    <n v="18.074999999999999"/>
  </r>
  <r>
    <s v="Raymond Felton"/>
    <x v="12"/>
    <x v="217"/>
    <n v="29"/>
    <n v="290"/>
    <n v="68"/>
    <n v="23130"/>
    <n v="805"/>
    <n v="11.838235294117647"/>
    <n v="377"/>
    <n v="882"/>
    <n v="0.42743764172335602"/>
    <n v="930"/>
    <n v="2580"/>
    <n v="0.36046511627906974"/>
    <n v="101"/>
    <n v="128"/>
    <n v="0.7890625"/>
    <n v="51"/>
    <n v="143"/>
    <n v="194"/>
    <n v="510"/>
    <n v="1430"/>
    <n v="1940"/>
    <n v="2.8529411764705883"/>
    <n v="372"/>
    <n v="5.4705882352941178"/>
    <n v="94"/>
    <n v="940"/>
    <n v="1.3823529411764706"/>
    <n v="140"/>
    <n v="14"/>
    <n v="0.20588235294117646"/>
    <n v="1550"/>
    <x v="203"/>
    <n v="155"/>
    <n v="2.2794117647058822"/>
    <n v="130"/>
    <n v="1.911764705882353"/>
    <n v="948"/>
    <n v="13.941176470588236"/>
  </r>
  <r>
    <s v="Amar'e Stoudemire"/>
    <x v="12"/>
    <x v="218"/>
    <n v="30"/>
    <n v="300"/>
    <n v="29"/>
    <n v="6820"/>
    <n v="325"/>
    <n v="11.206896551724139"/>
    <n v="154"/>
    <n v="267"/>
    <n v="577"/>
    <n v="0"/>
    <n v="0"/>
    <e v="#DIV/0!"/>
    <n v="105"/>
    <n v="130"/>
    <n v="0.80769230769230771"/>
    <n v="60"/>
    <n v="85"/>
    <n v="145"/>
    <n v="600"/>
    <n v="850"/>
    <n v="1450"/>
    <n v="5"/>
    <n v="13"/>
    <n v="0.44827586206896552"/>
    <n v="10"/>
    <n v="100"/>
    <n v="0.34482758620689657"/>
    <n v="210"/>
    <n v="21"/>
    <n v="0.72413793103448276"/>
    <n v="500"/>
    <x v="204"/>
    <n v="50"/>
    <n v="1.7241379310344827"/>
    <n v="89"/>
    <n v="3.0689655172413794"/>
    <n v="413"/>
    <n v="14.241379310344827"/>
  </r>
  <r>
    <s v="Jason Kidd"/>
    <x v="12"/>
    <x v="219"/>
    <n v="40"/>
    <n v="400"/>
    <n v="76"/>
    <n v="20430"/>
    <n v="714"/>
    <n v="9.3947368421052637"/>
    <n v="152"/>
    <n v="409"/>
    <n v="372"/>
    <n v="1140"/>
    <n v="3250"/>
    <n v="0.35076923076923078"/>
    <n v="40"/>
    <n v="48"/>
    <n v="0.83333333333333337"/>
    <n v="50"/>
    <n v="273"/>
    <n v="323"/>
    <n v="500"/>
    <n v="2730"/>
    <n v="3230"/>
    <n v="4.25"/>
    <n v="249"/>
    <n v="3.2763157894736841"/>
    <n v="125"/>
    <n v="1250"/>
    <n v="1.6447368421052631"/>
    <n v="250"/>
    <n v="25"/>
    <n v="0.32894736842105265"/>
    <n v="760"/>
    <x v="205"/>
    <n v="76"/>
    <n v="1"/>
    <n v="125"/>
    <n v="1.6447368421052631"/>
    <n v="458"/>
    <n v="6.0263157894736841"/>
  </r>
  <r>
    <s v="Kenyon Martin"/>
    <x v="12"/>
    <x v="220"/>
    <n v="35"/>
    <n v="350"/>
    <n v="18"/>
    <n v="4310"/>
    <n v="125"/>
    <n v="6.9444444444444446"/>
    <n v="56"/>
    <n v="93"/>
    <n v="0.60215053763440862"/>
    <n v="0"/>
    <n v="0"/>
    <e v="#DIV/0!"/>
    <n v="17"/>
    <n v="40"/>
    <n v="0.42499999999999999"/>
    <n v="34"/>
    <n v="61"/>
    <n v="95"/>
    <n v="340"/>
    <n v="610"/>
    <n v="950"/>
    <n v="5.2777777777777777"/>
    <n v="8"/>
    <n v="0.44444444444444442"/>
    <n v="16"/>
    <n v="160"/>
    <n v="0.88888888888888884"/>
    <n v="170"/>
    <n v="17"/>
    <n v="0.94444444444444442"/>
    <n v="160"/>
    <x v="206"/>
    <n v="16"/>
    <n v="0.88888888888888884"/>
    <n v="64"/>
    <n v="3.5555555555555554"/>
    <n v="129"/>
    <n v="7.166666666666667"/>
  </r>
  <r>
    <s v="Rasheed Wallace"/>
    <x v="12"/>
    <x v="221"/>
    <n v="38"/>
    <n v="380"/>
    <n v="21"/>
    <n v="2960"/>
    <n v="120"/>
    <n v="5.7142857142857144"/>
    <n v="55"/>
    <n v="142"/>
    <n v="387"/>
    <n v="220"/>
    <n v="690"/>
    <n v="0.3188405797101449"/>
    <n v="14"/>
    <n v="20"/>
    <n v="0.7"/>
    <n v="11"/>
    <n v="72"/>
    <n v="83"/>
    <n v="110"/>
    <n v="720"/>
    <n v="830"/>
    <n v="3.9523809523809526"/>
    <n v="6"/>
    <n v="0.2857142857142857"/>
    <n v="13"/>
    <n v="130"/>
    <n v="0.61904761904761907"/>
    <n v="150"/>
    <n v="15"/>
    <n v="0.7142857142857143"/>
    <n v="100"/>
    <x v="207"/>
    <n v="10"/>
    <n v="0.47619047619047616"/>
    <n v="40"/>
    <n v="1.9047619047619047"/>
    <n v="146"/>
    <n v="6.9523809523809526"/>
  </r>
  <r>
    <s v="Iman Shumpert"/>
    <x v="12"/>
    <x v="222"/>
    <n v="23"/>
    <n v="230"/>
    <n v="45"/>
    <n v="9960"/>
    <n v="253"/>
    <n v="5.6222222222222218"/>
    <n v="109"/>
    <n v="275"/>
    <n v="396"/>
    <n v="510"/>
    <n v="1270"/>
    <n v="0.40157480314960631"/>
    <n v="36"/>
    <n v="47"/>
    <n v="0.76595744680851063"/>
    <n v="31"/>
    <n v="105"/>
    <n v="136"/>
    <n v="310"/>
    <n v="1050"/>
    <n v="1360"/>
    <n v="3.0222222222222221"/>
    <n v="75"/>
    <n v="1.6666666666666667"/>
    <n v="43"/>
    <n v="430"/>
    <n v="0.9555555555555556"/>
    <n v="70"/>
    <n v="7"/>
    <n v="0.15555555555555556"/>
    <n v="370"/>
    <x v="208"/>
    <n v="37"/>
    <n v="0.82222222222222219"/>
    <n v="99"/>
    <n v="2.2000000000000002"/>
    <n v="305"/>
    <n v="6.7777777777777777"/>
  </r>
  <r>
    <s v="Chris Copeland"/>
    <x v="12"/>
    <x v="223"/>
    <n v="29"/>
    <n v="290"/>
    <n v="56"/>
    <n v="8620"/>
    <n v="288"/>
    <n v="5.1428571428571432"/>
    <n v="182"/>
    <n v="380"/>
    <n v="479"/>
    <n v="590"/>
    <n v="1400"/>
    <n v="0.42142857142857143"/>
    <n v="63"/>
    <n v="83"/>
    <n v="0.75903614457831325"/>
    <n v="34"/>
    <n v="85"/>
    <n v="119"/>
    <n v="340"/>
    <n v="850"/>
    <n v="1190"/>
    <n v="2.125"/>
    <n v="27"/>
    <n v="0.48214285714285715"/>
    <n v="16"/>
    <n v="160"/>
    <n v="0.2857142857142857"/>
    <n v="120"/>
    <n v="12"/>
    <n v="0.21428571428571427"/>
    <n v="500"/>
    <x v="177"/>
    <n v="50"/>
    <n v="0.8928571428571429"/>
    <n v="104"/>
    <n v="1.8571428571428572"/>
    <n v="486"/>
    <n v="8.6785714285714288"/>
  </r>
  <r>
    <s v="Pablo Prigioni"/>
    <x v="12"/>
    <x v="224"/>
    <n v="36"/>
    <n v="360"/>
    <n v="78"/>
    <n v="12630"/>
    <n v="389"/>
    <n v="4.9871794871794872"/>
    <n v="100"/>
    <n v="220"/>
    <n v="0.45454545454545453"/>
    <n v="530"/>
    <n v="1340"/>
    <n v="0.39552238805970147"/>
    <n v="22"/>
    <n v="25"/>
    <n v="0.88"/>
    <n v="41"/>
    <n v="102"/>
    <n v="143"/>
    <n v="410"/>
    <n v="1020"/>
    <n v="1430"/>
    <n v="1.8333333333333333"/>
    <n v="236"/>
    <n v="3.0256410256410255"/>
    <n v="69"/>
    <n v="690"/>
    <n v="0.88461538461538458"/>
    <n v="20"/>
    <n v="2"/>
    <n v="2.564102564102564E-2"/>
    <n v="860"/>
    <x v="209"/>
    <n v="86"/>
    <n v="1.1025641025641026"/>
    <n v="127"/>
    <n v="1.6282051282051282"/>
    <n v="275"/>
    <n v="3.5256410256410255"/>
  </r>
  <r>
    <s v="Steve Novak"/>
    <x v="12"/>
    <x v="225"/>
    <n v="30"/>
    <n v="300"/>
    <n v="81"/>
    <n v="16410"/>
    <n v="394"/>
    <n v="4.8641975308641978"/>
    <n v="178"/>
    <n v="430"/>
    <n v="0.413953488372093"/>
    <n v="1490"/>
    <n v="3510"/>
    <n v="0.42450142450142453"/>
    <n v="30"/>
    <n v="33"/>
    <n v="0.90909090909090906"/>
    <n v="17"/>
    <n v="135"/>
    <n v="152"/>
    <n v="170"/>
    <n v="1350"/>
    <n v="1520"/>
    <n v="1.8765432098765431"/>
    <n v="35"/>
    <n v="0.43209876543209874"/>
    <n v="28"/>
    <n v="280"/>
    <n v="0.34567901234567899"/>
    <n v="80"/>
    <n v="8"/>
    <n v="9.8765432098765427E-2"/>
    <n v="120"/>
    <x v="210"/>
    <n v="12"/>
    <n v="0.14814814814814814"/>
    <n v="97"/>
    <n v="1.1975308641975309"/>
    <n v="535"/>
    <n v="6.6049382716049383"/>
  </r>
  <r>
    <s v="Ronnie Brewer"/>
    <x v="12"/>
    <x v="226"/>
    <n v="28"/>
    <n v="280"/>
    <n v="46"/>
    <n v="7110"/>
    <n v="171"/>
    <n v="3.7173913043478262"/>
    <n v="64"/>
    <n v="175"/>
    <n v="0.36571428571428571"/>
    <n v="220"/>
    <n v="710"/>
    <n v="0.30985915492957744"/>
    <n v="16"/>
    <n v="39"/>
    <n v="0.41025641025641024"/>
    <n v="29"/>
    <n v="71"/>
    <n v="100"/>
    <n v="290"/>
    <n v="710"/>
    <n v="1000"/>
    <n v="2.1739130434782608"/>
    <n v="40"/>
    <n v="0.86956521739130432"/>
    <n v="34"/>
    <n v="340"/>
    <n v="0.73913043478260865"/>
    <n v="60"/>
    <n v="6"/>
    <n v="0.13043478260869565"/>
    <n v="140"/>
    <x v="211"/>
    <n v="14"/>
    <n v="0.30434782608695654"/>
    <n v="27"/>
    <n v="0.58695652173913049"/>
    <n v="166"/>
    <n v="3.6086956521739131"/>
  </r>
  <r>
    <s v="Kurt Thomas"/>
    <x v="12"/>
    <x v="227"/>
    <n v="40"/>
    <n v="400"/>
    <n v="39"/>
    <n v="3920"/>
    <n v="128"/>
    <n v="3.2820512820512819"/>
    <n v="45"/>
    <n v="83"/>
    <n v="542"/>
    <n v="10"/>
    <n v="10"/>
    <n v="1"/>
    <n v="6"/>
    <n v="13"/>
    <n v="0.46153846153846156"/>
    <n v="24"/>
    <n v="65"/>
    <n v="89"/>
    <n v="240"/>
    <n v="650"/>
    <n v="890"/>
    <n v="2.2820512820512819"/>
    <n v="21"/>
    <n v="0.53846153846153844"/>
    <n v="10"/>
    <n v="100"/>
    <n v="0.25641025641025639"/>
    <n v="160"/>
    <n v="16"/>
    <n v="0.41025641025641024"/>
    <n v="80"/>
    <x v="212"/>
    <n v="8"/>
    <n v="0.20512820512820512"/>
    <n v="52"/>
    <n v="1.3333333333333333"/>
    <n v="97"/>
    <n v="2.4871794871794872"/>
  </r>
  <r>
    <s v="Quentin Richardson"/>
    <x v="12"/>
    <x v="228"/>
    <n v="33"/>
    <n v="330"/>
    <n v="1"/>
    <n v="290"/>
    <n v="3"/>
    <n v="3"/>
    <n v="1"/>
    <n v="11"/>
    <n v="91"/>
    <n v="10"/>
    <n v="40"/>
    <n v="0.25"/>
    <n v="2"/>
    <n v="2"/>
    <n v="1"/>
    <n v="5"/>
    <n v="5"/>
    <n v="10"/>
    <n v="50"/>
    <n v="50"/>
    <n v="100"/>
    <n v="10"/>
    <n v="1"/>
    <n v="1"/>
    <n v="0"/>
    <n v="0"/>
    <n v="0"/>
    <n v="0"/>
    <n v="0"/>
    <n v="0"/>
    <n v="20"/>
    <x v="213"/>
    <n v="2"/>
    <n v="2"/>
    <n v="1"/>
    <n v="1"/>
    <n v="5"/>
    <n v="5"/>
  </r>
  <r>
    <s v="Marcus Camby"/>
    <x v="12"/>
    <x v="229"/>
    <n v="39"/>
    <n v="390"/>
    <n v="24"/>
    <n v="2500"/>
    <n v="67"/>
    <n v="2.7916666666666665"/>
    <n v="17"/>
    <n v="53"/>
    <n v="0.32075471698113206"/>
    <n v="0"/>
    <n v="0"/>
    <e v="#DIV/0!"/>
    <n v="8"/>
    <n v="19"/>
    <n v="0.42105263157894735"/>
    <n v="24"/>
    <n v="56"/>
    <n v="80"/>
    <n v="240"/>
    <n v="560"/>
    <n v="800"/>
    <n v="3.3333333333333335"/>
    <n v="14"/>
    <n v="0.58333333333333337"/>
    <n v="7"/>
    <n v="70"/>
    <n v="0.29166666666666669"/>
    <n v="140"/>
    <n v="14"/>
    <n v="0.58333333333333337"/>
    <n v="150"/>
    <x v="214"/>
    <n v="15"/>
    <n v="0.625"/>
    <n v="28"/>
    <n v="1.1666666666666667"/>
    <n v="42"/>
    <n v="1.75"/>
  </r>
  <r>
    <s v="James White"/>
    <x v="12"/>
    <x v="230"/>
    <n v="30"/>
    <n v="300"/>
    <n v="57"/>
    <n v="4350"/>
    <n v="84"/>
    <n v="1.4736842105263157"/>
    <n v="50"/>
    <n v="116"/>
    <n v="431"/>
    <n v="140"/>
    <n v="410"/>
    <n v="0.34146341463414637"/>
    <n v="11"/>
    <n v="19"/>
    <n v="0.57894736842105265"/>
    <n v="5"/>
    <n v="43"/>
    <n v="48"/>
    <n v="50"/>
    <n v="430"/>
    <n v="480"/>
    <n v="0.84210526315789469"/>
    <n v="29"/>
    <n v="0.50877192982456143"/>
    <n v="13"/>
    <n v="130"/>
    <n v="0.22807017543859648"/>
    <n v="40"/>
    <n v="4"/>
    <n v="7.0175438596491224E-2"/>
    <n v="170"/>
    <x v="215"/>
    <n v="17"/>
    <n v="0.2982456140350877"/>
    <n v="44"/>
    <n v="0.77192982456140347"/>
    <n v="125"/>
    <n v="2.192982456140351"/>
  </r>
  <r>
    <s v="Solomon Jones"/>
    <x v="12"/>
    <x v="231"/>
    <n v="28"/>
    <n v="280"/>
    <n v="2"/>
    <n v="260"/>
    <n v="-3"/>
    <n v="-1.5"/>
    <n v="0"/>
    <n v="1"/>
    <n v="0"/>
    <n v="0"/>
    <n v="0"/>
    <e v="#DIV/0!"/>
    <n v="0"/>
    <n v="0"/>
    <e v="#DIV/0!"/>
    <n v="1"/>
    <n v="2"/>
    <n v="3"/>
    <n v="10"/>
    <n v="20"/>
    <n v="30"/>
    <n v="1.5"/>
    <n v="0"/>
    <n v="0"/>
    <n v="0"/>
    <n v="0"/>
    <n v="0"/>
    <n v="10"/>
    <n v="1"/>
    <n v="0.5"/>
    <n v="30"/>
    <x v="164"/>
    <n v="3"/>
    <n v="1.5"/>
    <n v="3"/>
    <n v="1.5"/>
    <n v="0"/>
    <n v="0"/>
  </r>
  <r>
    <s v="Carmelo Anthony"/>
    <x v="13"/>
    <x v="232"/>
    <n v="30"/>
    <n v="300"/>
    <n v="77"/>
    <n v="29820"/>
    <n v="1718"/>
    <n v="22.311688311688311"/>
    <n v="743"/>
    <n v="1643"/>
    <n v="0.45222154595252589"/>
    <n v="1670"/>
    <n v="4150"/>
    <n v="0.40240963855421685"/>
    <n v="459"/>
    <n v="541"/>
    <n v="0.84842883548983361"/>
    <n v="145"/>
    <n v="477"/>
    <n v="622"/>
    <n v="1450"/>
    <n v="4770"/>
    <n v="6220"/>
    <n v="8.0779220779220786"/>
    <n v="242"/>
    <n v="3.1428571428571428"/>
    <n v="95"/>
    <n v="950"/>
    <n v="1.2337662337662338"/>
    <n v="510"/>
    <n v="51"/>
    <n v="0.66233766233766234"/>
    <n v="1980"/>
    <x v="216"/>
    <n v="198"/>
    <n v="2.5714285714285716"/>
    <n v="224"/>
    <n v="2.9090909090909092"/>
    <n v="2112"/>
    <n v="27.428571428571427"/>
  </r>
  <r>
    <s v="Tyson Chandler"/>
    <x v="13"/>
    <x v="233"/>
    <n v="31"/>
    <n v="310"/>
    <n v="55"/>
    <n v="16620"/>
    <n v="763"/>
    <n v="13.872727272727273"/>
    <n v="191"/>
    <n v="322"/>
    <n v="0.59316770186335399"/>
    <n v="0"/>
    <n v="10"/>
    <n v="0"/>
    <n v="98"/>
    <n v="155"/>
    <n v="0.63225806451612898"/>
    <n v="159"/>
    <n v="370"/>
    <n v="529"/>
    <n v="1590"/>
    <n v="3700"/>
    <n v="5290"/>
    <n v="9.6181818181818191"/>
    <n v="59"/>
    <n v="1.0727272727272728"/>
    <n v="36"/>
    <n v="360"/>
    <n v="0.65454545454545454"/>
    <n v="630"/>
    <n v="63"/>
    <n v="1.1454545454545455"/>
    <n v="710"/>
    <x v="217"/>
    <n v="71"/>
    <n v="1.290909090909091"/>
    <n v="145"/>
    <n v="2.6363636363636362"/>
    <n v="480"/>
    <n v="8.7272727272727266"/>
  </r>
  <r>
    <s v="Andrea Bargnani"/>
    <x v="13"/>
    <x v="234"/>
    <n v="28"/>
    <n v="280"/>
    <n v="42"/>
    <n v="12570"/>
    <n v="435"/>
    <n v="10.357142857142858"/>
    <n v="222"/>
    <n v="502"/>
    <n v="0.44223107569721115"/>
    <n v="300"/>
    <n v="1080"/>
    <n v="0.27777777777777779"/>
    <n v="84"/>
    <n v="102"/>
    <n v="0.82352941176470584"/>
    <n v="69"/>
    <n v="153"/>
    <n v="222"/>
    <n v="690"/>
    <n v="1530"/>
    <n v="2220"/>
    <n v="5.2857142857142856"/>
    <n v="45"/>
    <n v="1.0714285714285714"/>
    <n v="14"/>
    <n v="140"/>
    <n v="0.33333333333333331"/>
    <n v="520"/>
    <n v="52"/>
    <n v="1.2380952380952381"/>
    <n v="580"/>
    <x v="218"/>
    <n v="58"/>
    <n v="1.3809523809523809"/>
    <n v="100"/>
    <n v="2.3809523809523809"/>
    <n v="558"/>
    <n v="13.285714285714286"/>
  </r>
  <r>
    <s v="JR Smith"/>
    <x v="13"/>
    <x v="235"/>
    <n v="28"/>
    <n v="280"/>
    <n v="74"/>
    <n v="24210"/>
    <n v="760"/>
    <n v="10.27027027027027"/>
    <n v="396"/>
    <n v="955"/>
    <n v="0.41465968586387436"/>
    <n v="1890"/>
    <n v="4800"/>
    <n v="0.39374999999999999"/>
    <n v="90"/>
    <n v="138"/>
    <n v="0.65217391304347827"/>
    <n v="35"/>
    <n v="261"/>
    <n v="296"/>
    <n v="350"/>
    <n v="2610"/>
    <n v="2960"/>
    <n v="4"/>
    <n v="219"/>
    <n v="2.9594594594594597"/>
    <n v="65"/>
    <n v="650"/>
    <n v="0.8783783783783784"/>
    <n v="200"/>
    <n v="20"/>
    <n v="0.27027027027027029"/>
    <n v="1080"/>
    <x v="219"/>
    <n v="108"/>
    <n v="1.4594594594594594"/>
    <n v="196"/>
    <n v="2.6486486486486487"/>
    <n v="1071"/>
    <n v="14.472972972972974"/>
  </r>
  <r>
    <s v="Amar'e Stoudemire"/>
    <x v="13"/>
    <x v="236"/>
    <n v="31"/>
    <n v="310"/>
    <n v="65"/>
    <n v="14660"/>
    <n v="636"/>
    <n v="9.7846153846153854"/>
    <n v="311"/>
    <n v="558"/>
    <n v="557"/>
    <n v="0"/>
    <n v="0"/>
    <e v="#DIV/0!"/>
    <n v="150"/>
    <n v="203"/>
    <n v="0.73891625615763545"/>
    <n v="112"/>
    <n v="208"/>
    <n v="320"/>
    <n v="1120"/>
    <n v="2080"/>
    <n v="3200"/>
    <n v="4.9230769230769234"/>
    <n v="34"/>
    <n v="0.52307692307692311"/>
    <n v="23"/>
    <n v="230"/>
    <n v="0.35384615384615387"/>
    <n v="370"/>
    <n v="37"/>
    <n v="0.56923076923076921"/>
    <n v="910"/>
    <x v="220"/>
    <n v="91"/>
    <n v="1.4"/>
    <n v="159"/>
    <n v="2.4461538461538463"/>
    <n v="772"/>
    <n v="11.876923076923077"/>
  </r>
  <r>
    <s v="Raymond Felton"/>
    <x v="13"/>
    <x v="237"/>
    <n v="30"/>
    <n v="300"/>
    <n v="65"/>
    <n v="20170"/>
    <n v="609"/>
    <n v="9.3692307692307697"/>
    <n v="240"/>
    <n v="608"/>
    <n v="0.39473684210526316"/>
    <n v="620"/>
    <n v="1950"/>
    <n v="0.31794871794871793"/>
    <n v="88"/>
    <n v="122"/>
    <n v="0.72131147540983609"/>
    <n v="54"/>
    <n v="143"/>
    <n v="197"/>
    <n v="540"/>
    <n v="1430"/>
    <n v="1970"/>
    <n v="3.0307692307692307"/>
    <n v="365"/>
    <n v="5.615384615384615"/>
    <n v="78"/>
    <n v="780"/>
    <n v="1.2"/>
    <n v="270"/>
    <n v="27"/>
    <n v="0.41538461538461541"/>
    <n v="1290"/>
    <x v="221"/>
    <n v="129"/>
    <n v="1.9846153846153847"/>
    <n v="157"/>
    <n v="2.4153846153846152"/>
    <n v="630"/>
    <n v="9.6923076923076916"/>
  </r>
  <r>
    <s v="Kenyon Martin"/>
    <x v="13"/>
    <x v="238"/>
    <n v="36"/>
    <n v="360"/>
    <n v="32"/>
    <n v="6330"/>
    <n v="194"/>
    <n v="6.0625"/>
    <n v="63"/>
    <n v="123"/>
    <n v="0.51219512195121952"/>
    <n v="0"/>
    <n v="10"/>
    <n v="0"/>
    <n v="11"/>
    <n v="19"/>
    <n v="0.57894736842105265"/>
    <n v="36"/>
    <n v="98"/>
    <n v="134"/>
    <n v="360"/>
    <n v="980"/>
    <n v="1340"/>
    <n v="4.1875"/>
    <n v="50"/>
    <n v="1.5625"/>
    <n v="25"/>
    <n v="250"/>
    <n v="0.78125"/>
    <n v="270"/>
    <n v="27"/>
    <n v="0.84375"/>
    <n v="260"/>
    <x v="222"/>
    <n v="26"/>
    <n v="0.8125"/>
    <n v="85"/>
    <n v="2.65625"/>
    <n v="137"/>
    <n v="4.28125"/>
  </r>
  <r>
    <s v="Beno Udrih"/>
    <x v="13"/>
    <x v="239"/>
    <n v="31"/>
    <n v="310"/>
    <n v="31"/>
    <n v="5880"/>
    <n v="181"/>
    <n v="5.838709677419355"/>
    <n v="68"/>
    <n v="160"/>
    <n v="425"/>
    <n v="170"/>
    <n v="400"/>
    <n v="0.42499999999999999"/>
    <n v="20"/>
    <n v="24"/>
    <n v="0.83333333333333337"/>
    <n v="10"/>
    <n v="47"/>
    <n v="57"/>
    <n v="100"/>
    <n v="470"/>
    <n v="570"/>
    <n v="1.8387096774193548"/>
    <n v="110"/>
    <n v="3.5483870967741935"/>
    <n v="22"/>
    <n v="220"/>
    <n v="0.70967741935483875"/>
    <n v="30"/>
    <n v="3"/>
    <n v="9.6774193548387094E-2"/>
    <n v="420"/>
    <x v="223"/>
    <n v="42"/>
    <n v="1.3548387096774193"/>
    <n v="46"/>
    <n v="1.4838709677419355"/>
    <n v="173"/>
    <n v="5.580645161290323"/>
  </r>
  <r>
    <s v="Iman Shumpert"/>
    <x v="13"/>
    <x v="240"/>
    <n v="24"/>
    <n v="240"/>
    <n v="74"/>
    <n v="19620"/>
    <n v="430"/>
    <n v="5.8108108108108105"/>
    <n v="183"/>
    <n v="484"/>
    <n v="378"/>
    <n v="760"/>
    <n v="2280"/>
    <n v="0.33333333333333331"/>
    <n v="53"/>
    <n v="71"/>
    <n v="0.74647887323943662"/>
    <n v="81"/>
    <n v="227"/>
    <n v="308"/>
    <n v="810"/>
    <n v="2270"/>
    <n v="3080"/>
    <n v="4.1621621621621623"/>
    <n v="129"/>
    <n v="1.7432432432432432"/>
    <n v="92"/>
    <n v="920"/>
    <n v="1.2432432432432432"/>
    <n v="130"/>
    <n v="13"/>
    <n v="0.17567567567567569"/>
    <n v="790"/>
    <x v="224"/>
    <n v="79"/>
    <n v="1.0675675675675675"/>
    <n v="209"/>
    <n v="2.8243243243243241"/>
    <n v="495"/>
    <n v="6.6891891891891895"/>
  </r>
  <r>
    <s v="Pablo Prigioni"/>
    <x v="13"/>
    <x v="241"/>
    <n v="37"/>
    <n v="370"/>
    <n v="66"/>
    <n v="12830"/>
    <n v="382"/>
    <n v="5.7878787878787881"/>
    <n v="88"/>
    <n v="191"/>
    <n v="0.4607329842931937"/>
    <n v="650"/>
    <n v="1400"/>
    <n v="0.4642857142857143"/>
    <n v="11"/>
    <n v="12"/>
    <n v="0.91666666666666663"/>
    <n v="36"/>
    <n v="93"/>
    <n v="129"/>
    <n v="360"/>
    <n v="930"/>
    <n v="1290"/>
    <n v="1.9545454545454546"/>
    <n v="228"/>
    <n v="3.4545454545454546"/>
    <n v="67"/>
    <n v="670"/>
    <n v="1.0151515151515151"/>
    <n v="20"/>
    <n v="2"/>
    <n v="3.0303030303030304E-2"/>
    <n v="600"/>
    <x v="53"/>
    <n v="60"/>
    <n v="0.90909090909090906"/>
    <n v="132"/>
    <n v="2"/>
    <n v="252"/>
    <n v="3.8181818181818183"/>
  </r>
  <r>
    <s v="Tim Hardaway Jr."/>
    <x v="13"/>
    <x v="242"/>
    <n v="22"/>
    <n v="220"/>
    <n v="81"/>
    <n v="18750"/>
    <n v="456"/>
    <n v="5.6296296296296298"/>
    <n v="294"/>
    <n v="687"/>
    <n v="0.42794759825327511"/>
    <n v="1300"/>
    <n v="3580"/>
    <n v="0.36312849162011174"/>
    <n v="106"/>
    <n v="128"/>
    <n v="0.828125"/>
    <n v="19"/>
    <n v="102"/>
    <n v="121"/>
    <n v="190"/>
    <n v="1020"/>
    <n v="1210"/>
    <n v="1.4938271604938271"/>
    <n v="66"/>
    <n v="0.81481481481481477"/>
    <n v="44"/>
    <n v="440"/>
    <n v="0.54320987654320985"/>
    <n v="70"/>
    <n v="7"/>
    <n v="8.6419753086419748E-2"/>
    <n v="470"/>
    <x v="225"/>
    <n v="47"/>
    <n v="0.58024691358024694"/>
    <n v="144"/>
    <n v="1.7777777777777777"/>
    <n v="824"/>
    <n v="10.17283950617284"/>
  </r>
  <r>
    <s v="Cole Aldrich"/>
    <x v="13"/>
    <x v="243"/>
    <n v="25"/>
    <n v="250"/>
    <n v="46"/>
    <n v="3300"/>
    <n v="183"/>
    <n v="3.9782608695652173"/>
    <n v="33"/>
    <n v="61"/>
    <n v="0.54098360655737709"/>
    <n v="0"/>
    <n v="0"/>
    <e v="#DIV/0!"/>
    <n v="26"/>
    <n v="30"/>
    <n v="0.8666666666666667"/>
    <n v="37"/>
    <n v="92"/>
    <n v="129"/>
    <n v="370"/>
    <n v="920"/>
    <n v="1290"/>
    <n v="2.8043478260869565"/>
    <n v="14"/>
    <n v="0.30434782608695654"/>
    <n v="8"/>
    <n v="80"/>
    <n v="0.17391304347826086"/>
    <n v="300"/>
    <n v="30"/>
    <n v="0.65217391304347827"/>
    <n v="180"/>
    <x v="226"/>
    <n v="18"/>
    <n v="0.39130434782608697"/>
    <n v="40"/>
    <n v="0.86956521739130432"/>
    <n v="92"/>
    <n v="2"/>
  </r>
  <r>
    <s v="Metta World Peace"/>
    <x v="13"/>
    <x v="244"/>
    <n v="34"/>
    <n v="340"/>
    <n v="29"/>
    <n v="3880"/>
    <n v="93"/>
    <n v="3.2068965517241379"/>
    <n v="56"/>
    <n v="141"/>
    <n v="397"/>
    <n v="170"/>
    <n v="540"/>
    <n v="0.31481481481481483"/>
    <n v="10"/>
    <n v="16"/>
    <n v="0.625"/>
    <n v="18"/>
    <n v="41"/>
    <n v="59"/>
    <n v="180"/>
    <n v="410"/>
    <n v="590"/>
    <n v="2.0344827586206895"/>
    <n v="17"/>
    <n v="0.58620689655172409"/>
    <n v="24"/>
    <n v="240"/>
    <n v="0.82758620689655171"/>
    <n v="80"/>
    <n v="8"/>
    <n v="0.27586206896551724"/>
    <n v="190"/>
    <x v="227"/>
    <n v="19"/>
    <n v="0.65517241379310343"/>
    <n v="44"/>
    <n v="1.5172413793103448"/>
    <n v="139"/>
    <n v="4.7931034482758621"/>
  </r>
  <r>
    <s v="Jeremy Tyler"/>
    <x v="13"/>
    <x v="245"/>
    <n v="23"/>
    <n v="230"/>
    <n v="41"/>
    <n v="3980"/>
    <n v="115"/>
    <n v="2.8048780487804876"/>
    <n v="60"/>
    <n v="116"/>
    <n v="517"/>
    <n v="0"/>
    <n v="0"/>
    <e v="#DIV/0!"/>
    <n v="26"/>
    <n v="48"/>
    <n v="0.54166666666666663"/>
    <n v="38"/>
    <n v="71"/>
    <n v="109"/>
    <n v="380"/>
    <n v="710"/>
    <n v="1090"/>
    <n v="2.6585365853658538"/>
    <n v="8"/>
    <n v="0.1951219512195122"/>
    <n v="6"/>
    <n v="60"/>
    <n v="0.14634146341463414"/>
    <n v="200"/>
    <n v="20"/>
    <n v="0.48780487804878048"/>
    <n v="260"/>
    <x v="228"/>
    <n v="26"/>
    <n v="0.63414634146341464"/>
    <n v="70"/>
    <n v="1.7073170731707317"/>
    <n v="146"/>
    <n v="3.5609756097560976"/>
  </r>
  <r>
    <s v="Earl Clark"/>
    <x v="13"/>
    <x v="246"/>
    <n v="26"/>
    <n v="260"/>
    <n v="9"/>
    <n v="700"/>
    <n v="25"/>
    <n v="2.7777777777777777"/>
    <n v="7"/>
    <n v="21"/>
    <n v="333"/>
    <n v="10"/>
    <n v="60"/>
    <n v="0.16666666666666666"/>
    <n v="8"/>
    <n v="10"/>
    <n v="0.8"/>
    <n v="2"/>
    <n v="14"/>
    <n v="16"/>
    <n v="20"/>
    <n v="140"/>
    <n v="160"/>
    <n v="1.7777777777777777"/>
    <n v="2"/>
    <n v="0.22222222222222221"/>
    <n v="1"/>
    <n v="10"/>
    <n v="0.1111111111111111"/>
    <n v="60"/>
    <n v="6"/>
    <n v="0.66666666666666663"/>
    <n v="10"/>
    <x v="229"/>
    <n v="1"/>
    <n v="0.1111111111111111"/>
    <n v="6"/>
    <n v="0.66666666666666663"/>
    <n v="23"/>
    <n v="2.5555555555555554"/>
  </r>
  <r>
    <s v="Toure' Murry"/>
    <x v="13"/>
    <x v="247"/>
    <n v="24"/>
    <n v="240"/>
    <n v="51"/>
    <n v="3720"/>
    <n v="84"/>
    <n v="1.6470588235294117"/>
    <n v="56"/>
    <n v="129"/>
    <n v="0.43410852713178294"/>
    <n v="50"/>
    <n v="120"/>
    <n v="0.41666666666666669"/>
    <n v="23"/>
    <n v="39"/>
    <n v="0.58974358974358976"/>
    <n v="13"/>
    <n v="31"/>
    <n v="44"/>
    <n v="130"/>
    <n v="310"/>
    <n v="440"/>
    <n v="0.86274509803921573"/>
    <n v="49"/>
    <n v="0.96078431372549022"/>
    <n v="19"/>
    <n v="190"/>
    <n v="0.37254901960784315"/>
    <n v="10"/>
    <n v="1"/>
    <n v="1.9607843137254902E-2"/>
    <n v="340"/>
    <x v="230"/>
    <n v="34"/>
    <n v="0.66666666666666663"/>
    <n v="46"/>
    <n v="0.90196078431372551"/>
    <n v="140"/>
    <n v="2.7450980392156863"/>
  </r>
  <r>
    <s v="Shannon Brown"/>
    <x v="13"/>
    <x v="248"/>
    <n v="28"/>
    <n v="280"/>
    <n v="19"/>
    <n v="1480"/>
    <n v="23"/>
    <n v="1.2105263157894737"/>
    <n v="16"/>
    <n v="38"/>
    <n v="0.42105263157894735"/>
    <n v="0"/>
    <n v="0"/>
    <e v="#DIV/0!"/>
    <n v="8"/>
    <n v="12"/>
    <n v="0.66666666666666663"/>
    <n v="6"/>
    <n v="9"/>
    <n v="15"/>
    <n v="60"/>
    <n v="90"/>
    <n v="150"/>
    <n v="0.78947368421052633"/>
    <n v="4"/>
    <n v="0.21052631578947367"/>
    <n v="12"/>
    <n v="120"/>
    <n v="0.63157894736842102"/>
    <n v="0"/>
    <n v="0"/>
    <n v="0"/>
    <n v="100"/>
    <x v="231"/>
    <n v="10"/>
    <n v="0.52631578947368418"/>
    <n v="12"/>
    <n v="0.63157894736842102"/>
    <n v="40"/>
    <n v="2.1052631578947367"/>
  </r>
  <r>
    <s v="Chris Smith"/>
    <x v="13"/>
    <x v="249"/>
    <n v="26"/>
    <n v="260"/>
    <n v="2"/>
    <n v="20"/>
    <n v="0"/>
    <n v="0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Carmelo Anthony"/>
    <x v="14"/>
    <x v="250"/>
    <n v="31"/>
    <n v="310"/>
    <n v="40"/>
    <n v="14280"/>
    <n v="737"/>
    <n v="18.425000000000001"/>
    <n v="358"/>
    <n v="806"/>
    <n v="0.44416873449131511"/>
    <n v="610"/>
    <n v="1790"/>
    <n v="0.34078212290502791"/>
    <n v="189"/>
    <n v="237"/>
    <n v="0.79746835443037978"/>
    <n v="72"/>
    <n v="192"/>
    <n v="264"/>
    <n v="720"/>
    <n v="1920"/>
    <n v="2640"/>
    <n v="6.6"/>
    <n v="122"/>
    <n v="3.05"/>
    <n v="40"/>
    <n v="400"/>
    <n v="1"/>
    <n v="170"/>
    <n v="17"/>
    <n v="0.42499999999999999"/>
    <n v="890"/>
    <x v="232"/>
    <n v="89"/>
    <n v="2.2250000000000001"/>
    <n v="87"/>
    <n v="2.1749999999999998"/>
    <n v="966"/>
    <n v="24.15"/>
  </r>
  <r>
    <s v="Alexey Shved"/>
    <x v="14"/>
    <x v="251"/>
    <n v="26"/>
    <n v="260"/>
    <n v="16"/>
    <n v="4230"/>
    <n v="210"/>
    <n v="13.125"/>
    <n v="73"/>
    <n v="181"/>
    <n v="0.40331491712707185"/>
    <n v="260"/>
    <n v="700"/>
    <n v="0.37142857142857144"/>
    <n v="64"/>
    <n v="82"/>
    <n v="0.78048780487804881"/>
    <n v="14"/>
    <n v="59"/>
    <n v="73"/>
    <n v="140"/>
    <n v="590"/>
    <n v="730"/>
    <n v="4.5625"/>
    <n v="57"/>
    <n v="3.5625"/>
    <n v="15"/>
    <n v="150"/>
    <n v="0.9375"/>
    <n v="50"/>
    <n v="5"/>
    <n v="0.3125"/>
    <n v="250"/>
    <x v="222"/>
    <n v="25"/>
    <n v="1.5625"/>
    <n v="25"/>
    <n v="1.5625"/>
    <n v="236"/>
    <n v="14.75"/>
  </r>
  <r>
    <s v="Amar'e Stoudemire"/>
    <x v="14"/>
    <x v="252"/>
    <n v="32"/>
    <n v="320"/>
    <n v="36"/>
    <n v="8650"/>
    <n v="419"/>
    <n v="11.638888888888889"/>
    <n v="169"/>
    <n v="311"/>
    <n v="543"/>
    <n v="0"/>
    <n v="30"/>
    <n v="0"/>
    <n v="94"/>
    <n v="127"/>
    <n v="0.74015748031496065"/>
    <n v="83"/>
    <n v="162"/>
    <n v="245"/>
    <n v="830"/>
    <n v="1620"/>
    <n v="2450"/>
    <n v="6.8055555555555554"/>
    <n v="37"/>
    <n v="1.0277777777777777"/>
    <n v="20"/>
    <n v="200"/>
    <n v="0.55555555555555558"/>
    <n v="340"/>
    <n v="34"/>
    <n v="0.94444444444444442"/>
    <n v="630"/>
    <x v="233"/>
    <n v="63"/>
    <n v="1.75"/>
    <n v="111"/>
    <n v="3.0833333333333335"/>
    <n v="432"/>
    <n v="12"/>
  </r>
  <r>
    <s v="Andrea Bargnani"/>
    <x v="14"/>
    <x v="253"/>
    <n v="29"/>
    <n v="290"/>
    <n v="29"/>
    <n v="7850"/>
    <n v="320"/>
    <n v="11.03448275862069"/>
    <n v="164"/>
    <n v="361"/>
    <n v="0.45429362880886426"/>
    <n v="150"/>
    <n v="410"/>
    <n v="0.36585365853658536"/>
    <n v="87"/>
    <n v="107"/>
    <n v="0.81308411214953269"/>
    <n v="32"/>
    <n v="95"/>
    <n v="127"/>
    <n v="320"/>
    <n v="950"/>
    <n v="1270"/>
    <n v="4.3793103448275863"/>
    <n v="46"/>
    <n v="1.5862068965517242"/>
    <n v="2"/>
    <n v="20"/>
    <n v="6.8965517241379309E-2"/>
    <n v="270"/>
    <n v="27"/>
    <n v="0.93103448275862066"/>
    <n v="420"/>
    <x v="234"/>
    <n v="42"/>
    <n v="1.4482758620689655"/>
    <n v="53"/>
    <n v="1.8275862068965518"/>
    <n v="430"/>
    <n v="14.827586206896552"/>
  </r>
  <r>
    <s v="Langston Galloway"/>
    <x v="14"/>
    <x v="254"/>
    <n v="23"/>
    <n v="230"/>
    <n v="45"/>
    <n v="14570"/>
    <n v="425"/>
    <n v="9.4444444444444446"/>
    <n v="204"/>
    <n v="511"/>
    <n v="399"/>
    <n v="620"/>
    <n v="1760"/>
    <n v="0.35227272727272729"/>
    <n v="63"/>
    <n v="78"/>
    <n v="0.80769230769230771"/>
    <n v="37"/>
    <n v="153"/>
    <n v="190"/>
    <n v="370"/>
    <n v="1530"/>
    <n v="1900"/>
    <n v="4.2222222222222223"/>
    <n v="150"/>
    <n v="3.3333333333333335"/>
    <n v="52"/>
    <n v="520"/>
    <n v="1.1555555555555554"/>
    <n v="120"/>
    <n v="12"/>
    <n v="0.26666666666666666"/>
    <n v="610"/>
    <x v="235"/>
    <n v="61"/>
    <n v="1.3555555555555556"/>
    <n v="129"/>
    <n v="2.8666666666666667"/>
    <n v="533"/>
    <n v="11.844444444444445"/>
  </r>
  <r>
    <s v="Jose Calderon"/>
    <x v="14"/>
    <x v="255"/>
    <n v="33"/>
    <n v="330"/>
    <n v="42"/>
    <n v="12700"/>
    <n v="374"/>
    <n v="8.9047619047619051"/>
    <n v="147"/>
    <n v="354"/>
    <n v="0.4152542372881356"/>
    <n v="590"/>
    <n v="1420"/>
    <n v="0.41549295774647887"/>
    <n v="29"/>
    <n v="32"/>
    <n v="0.90625"/>
    <n v="19"/>
    <n v="105"/>
    <n v="124"/>
    <n v="190"/>
    <n v="1050"/>
    <n v="1240"/>
    <n v="2.9523809523809526"/>
    <n v="198"/>
    <n v="4.7142857142857144"/>
    <n v="31"/>
    <n v="310"/>
    <n v="0.73809523809523814"/>
    <n v="0"/>
    <n v="0"/>
    <n v="0"/>
    <n v="750"/>
    <x v="236"/>
    <n v="75"/>
    <n v="1.7857142857142858"/>
    <n v="76"/>
    <n v="1.8095238095238095"/>
    <n v="382"/>
    <n v="9.0952380952380949"/>
  </r>
  <r>
    <s v="Cole Aldrich"/>
    <x v="14"/>
    <x v="256"/>
    <n v="26"/>
    <n v="260"/>
    <n v="61"/>
    <n v="9760"/>
    <n v="501"/>
    <n v="8.2131147540983598"/>
    <n v="144"/>
    <n v="301"/>
    <n v="0.47840531561461797"/>
    <n v="0"/>
    <n v="0"/>
    <e v="#DIV/0!"/>
    <n v="50"/>
    <n v="64"/>
    <n v="0.78125"/>
    <n v="101"/>
    <n v="237"/>
    <n v="338"/>
    <n v="1010"/>
    <n v="2370"/>
    <n v="3380"/>
    <n v="5.5409836065573774"/>
    <n v="75"/>
    <n v="1.2295081967213115"/>
    <n v="37"/>
    <n v="370"/>
    <n v="0.60655737704918034"/>
    <n v="650"/>
    <n v="65"/>
    <n v="1.0655737704918034"/>
    <n v="590"/>
    <x v="237"/>
    <n v="59"/>
    <n v="0.96721311475409832"/>
    <n v="122"/>
    <n v="2"/>
    <n v="338"/>
    <n v="5.5409836065573774"/>
  </r>
  <r>
    <s v="JR Smith"/>
    <x v="14"/>
    <x v="257"/>
    <n v="29"/>
    <n v="290"/>
    <n v="24"/>
    <n v="6190"/>
    <n v="171"/>
    <n v="7.125"/>
    <n v="101"/>
    <n v="251"/>
    <n v="0.40239043824701193"/>
    <n v="320"/>
    <n v="900"/>
    <n v="0.35555555555555557"/>
    <n v="27"/>
    <n v="39"/>
    <n v="0.69230769230769229"/>
    <n v="4"/>
    <n v="54"/>
    <n v="58"/>
    <n v="40"/>
    <n v="540"/>
    <n v="580"/>
    <n v="2.4166666666666665"/>
    <n v="81"/>
    <n v="3.375"/>
    <n v="18"/>
    <n v="180"/>
    <n v="0.75"/>
    <n v="40"/>
    <n v="4"/>
    <n v="0.16666666666666666"/>
    <n v="450"/>
    <x v="161"/>
    <n v="45"/>
    <n v="1.875"/>
    <n v="44"/>
    <n v="1.8333333333333333"/>
    <n v="261"/>
    <n v="10.875"/>
  </r>
  <r>
    <s v="Iman Shumpert"/>
    <x v="14"/>
    <x v="258"/>
    <n v="25"/>
    <n v="250"/>
    <n v="24"/>
    <n v="6250"/>
    <n v="168"/>
    <n v="7"/>
    <n v="88"/>
    <n v="215"/>
    <n v="409"/>
    <n v="230"/>
    <n v="660"/>
    <n v="0.34848484848484851"/>
    <n v="25"/>
    <n v="37"/>
    <n v="0.67567567567567566"/>
    <n v="22"/>
    <n v="59"/>
    <n v="81"/>
    <n v="220"/>
    <n v="590"/>
    <n v="810"/>
    <n v="3.375"/>
    <n v="78"/>
    <n v="3.25"/>
    <n v="30"/>
    <n v="300"/>
    <n v="1.25"/>
    <n v="30"/>
    <n v="3"/>
    <n v="0.125"/>
    <n v="420"/>
    <x v="238"/>
    <n v="42"/>
    <n v="1.75"/>
    <n v="67"/>
    <n v="2.7916666666666665"/>
    <n v="224"/>
    <n v="9.3333333333333339"/>
  </r>
  <r>
    <s v="Lou Amundson"/>
    <x v="14"/>
    <x v="259"/>
    <n v="32"/>
    <n v="320"/>
    <n v="41"/>
    <n v="8580"/>
    <n v="280"/>
    <n v="6.8292682926829267"/>
    <n v="105"/>
    <n v="243"/>
    <n v="432"/>
    <n v="0"/>
    <n v="10"/>
    <n v="0"/>
    <n v="38"/>
    <n v="82"/>
    <n v="0.46341463414634149"/>
    <n v="89"/>
    <n v="159"/>
    <n v="248"/>
    <n v="890"/>
    <n v="1590"/>
    <n v="2480"/>
    <n v="6.0487804878048781"/>
    <n v="65"/>
    <n v="1.5853658536585367"/>
    <n v="21"/>
    <n v="210"/>
    <n v="0.51219512195121952"/>
    <n v="520"/>
    <n v="52"/>
    <n v="1.2682926829268293"/>
    <n v="570"/>
    <x v="239"/>
    <n v="57"/>
    <n v="1.3902439024390243"/>
    <n v="115"/>
    <n v="2.8048780487804876"/>
    <n v="248"/>
    <n v="6.0487804878048781"/>
  </r>
  <r>
    <s v="Tim Hardaway Jr."/>
    <x v="14"/>
    <x v="260"/>
    <n v="23"/>
    <n v="230"/>
    <n v="70"/>
    <n v="16810"/>
    <n v="451"/>
    <n v="6.4428571428571431"/>
    <n v="279"/>
    <n v="717"/>
    <n v="0.38912133891213391"/>
    <n v="1210"/>
    <n v="3540"/>
    <n v="0.34180790960451979"/>
    <n v="125"/>
    <n v="156"/>
    <n v="0.80128205128205132"/>
    <n v="12"/>
    <n v="144"/>
    <n v="156"/>
    <n v="120"/>
    <n v="1440"/>
    <n v="1560"/>
    <n v="2.2285714285714286"/>
    <n v="127"/>
    <n v="1.8142857142857143"/>
    <n v="20"/>
    <n v="200"/>
    <n v="0.2857142857142857"/>
    <n v="140"/>
    <n v="14"/>
    <n v="0.2"/>
    <n v="820"/>
    <x v="240"/>
    <n v="82"/>
    <n v="1.1714285714285715"/>
    <n v="119"/>
    <n v="1.7"/>
    <n v="804"/>
    <n v="11.485714285714286"/>
  </r>
  <r>
    <s v="Jason Smith"/>
    <x v="14"/>
    <x v="261"/>
    <n v="29"/>
    <n v="290"/>
    <n v="82"/>
    <n v="17850"/>
    <n v="526"/>
    <n v="6.4146341463414638"/>
    <n v="257"/>
    <n v="592"/>
    <n v="0.4341216216216216"/>
    <n v="150"/>
    <n v="420"/>
    <n v="0.35714285714285715"/>
    <n v="127"/>
    <n v="153"/>
    <n v="0.83006535947712423"/>
    <n v="98"/>
    <n v="226"/>
    <n v="324"/>
    <n v="980"/>
    <n v="2260"/>
    <n v="3240"/>
    <n v="3.9512195121951219"/>
    <n v="140"/>
    <n v="1.7073170731707317"/>
    <n v="32"/>
    <n v="320"/>
    <n v="0.3902439024390244"/>
    <n v="440"/>
    <n v="44"/>
    <n v="0.53658536585365857"/>
    <n v="1040"/>
    <x v="241"/>
    <n v="104"/>
    <n v="1.2682926829268293"/>
    <n v="205"/>
    <n v="2.5"/>
    <n v="656"/>
    <n v="8"/>
  </r>
  <r>
    <s v="Shane Larkin"/>
    <x v="14"/>
    <x v="262"/>
    <n v="22"/>
    <n v="220"/>
    <n v="76"/>
    <n v="18650"/>
    <n v="479"/>
    <n v="6.3026315789473681"/>
    <n v="187"/>
    <n v="432"/>
    <n v="0.43287037037037035"/>
    <n v="350"/>
    <n v="1160"/>
    <n v="0.30172413793103448"/>
    <n v="61"/>
    <n v="78"/>
    <n v="0.78205128205128205"/>
    <n v="29"/>
    <n v="147"/>
    <n v="176"/>
    <n v="290"/>
    <n v="1470"/>
    <n v="1760"/>
    <n v="2.3157894736842106"/>
    <n v="226"/>
    <n v="2.9736842105263159"/>
    <n v="93"/>
    <n v="930"/>
    <n v="1.2236842105263157"/>
    <n v="90"/>
    <n v="9"/>
    <n v="0.11842105263157894"/>
    <n v="830"/>
    <x v="242"/>
    <n v="83"/>
    <n v="1.0921052631578947"/>
    <n v="150"/>
    <n v="1.9736842105263157"/>
    <n v="470"/>
    <n v="6.1842105263157894"/>
  </r>
  <r>
    <s v="Quincy Acy"/>
    <x v="14"/>
    <x v="263"/>
    <n v="24"/>
    <n v="240"/>
    <n v="68"/>
    <n v="12870"/>
    <n v="409"/>
    <n v="6.0147058823529411"/>
    <n v="152"/>
    <n v="331"/>
    <n v="459"/>
    <n v="180"/>
    <n v="600"/>
    <n v="0.3"/>
    <n v="76"/>
    <n v="97"/>
    <n v="0.78350515463917525"/>
    <n v="79"/>
    <n v="222"/>
    <n v="301"/>
    <n v="790"/>
    <n v="2220"/>
    <n v="3010"/>
    <n v="4.4264705882352944"/>
    <n v="68"/>
    <n v="1"/>
    <n v="27"/>
    <n v="270"/>
    <n v="0.39705882352941174"/>
    <n v="220"/>
    <n v="22"/>
    <n v="0.3235294117647059"/>
    <n v="600"/>
    <x v="243"/>
    <n v="60"/>
    <n v="0.88235294117647056"/>
    <n v="147"/>
    <n v="2.1617647058823528"/>
    <n v="398"/>
    <n v="5.8529411764705879"/>
  </r>
  <r>
    <s v="Samuel Dalembert"/>
    <x v="14"/>
    <x v="264"/>
    <n v="35"/>
    <n v="350"/>
    <n v="32"/>
    <n v="5440"/>
    <n v="192"/>
    <n v="6"/>
    <n v="57"/>
    <n v="130"/>
    <n v="438"/>
    <n v="0"/>
    <n v="0"/>
    <e v="#DIV/0!"/>
    <n v="14"/>
    <n v="20"/>
    <n v="0.7"/>
    <n v="53"/>
    <n v="115"/>
    <n v="168"/>
    <n v="530"/>
    <n v="1150"/>
    <n v="1680"/>
    <n v="5.25"/>
    <n v="29"/>
    <n v="0.90625"/>
    <n v="14"/>
    <n v="140"/>
    <n v="0.4375"/>
    <n v="410"/>
    <n v="41"/>
    <n v="1.28125"/>
    <n v="390"/>
    <x v="244"/>
    <n v="39"/>
    <n v="1.21875"/>
    <n v="70"/>
    <n v="2.1875"/>
    <n v="128"/>
    <n v="4"/>
  </r>
  <r>
    <s v="Pablo Prigioni"/>
    <x v="14"/>
    <x v="265"/>
    <n v="38"/>
    <n v="380"/>
    <n v="43"/>
    <n v="7950"/>
    <n v="241"/>
    <n v="5.6046511627906979"/>
    <n v="68"/>
    <n v="161"/>
    <n v="0.42236024844720499"/>
    <n v="430"/>
    <n v="1150"/>
    <n v="0.37391304347826088"/>
    <n v="22"/>
    <n v="26"/>
    <n v="0.84615384615384615"/>
    <n v="18"/>
    <n v="62"/>
    <n v="80"/>
    <n v="180"/>
    <n v="620"/>
    <n v="800"/>
    <n v="1.8604651162790697"/>
    <n v="104"/>
    <n v="2.4186046511627906"/>
    <n v="52"/>
    <n v="520"/>
    <n v="1.2093023255813953"/>
    <n v="10"/>
    <n v="1"/>
    <n v="2.3255813953488372E-2"/>
    <n v="470"/>
    <x v="245"/>
    <n v="47"/>
    <n v="1.0930232558139534"/>
    <n v="53"/>
    <n v="1.2325581395348837"/>
    <n v="201"/>
    <n v="4.6744186046511631"/>
  </r>
  <r>
    <s v="Lance Thomas"/>
    <x v="14"/>
    <x v="266"/>
    <n v="27"/>
    <n v="270"/>
    <n v="40"/>
    <n v="10400"/>
    <n v="217"/>
    <n v="5.4249999999999998"/>
    <n v="137"/>
    <n v="316"/>
    <n v="434"/>
    <n v="70"/>
    <n v="210"/>
    <n v="0.33333333333333331"/>
    <n v="49"/>
    <n v="66"/>
    <n v="0.74242424242424243"/>
    <n v="37"/>
    <n v="83"/>
    <n v="120"/>
    <n v="370"/>
    <n v="830"/>
    <n v="1200"/>
    <n v="3"/>
    <n v="49"/>
    <n v="1.2250000000000001"/>
    <n v="26"/>
    <n v="260"/>
    <n v="0.65"/>
    <n v="80"/>
    <n v="8"/>
    <n v="0.2"/>
    <n v="570"/>
    <x v="246"/>
    <n v="57"/>
    <n v="1.425"/>
    <n v="63"/>
    <n v="1.575"/>
    <n v="330"/>
    <n v="8.25"/>
  </r>
  <r>
    <s v="Ricky Ledo"/>
    <x v="14"/>
    <x v="267"/>
    <n v="22"/>
    <n v="220"/>
    <n v="12"/>
    <n v="2330"/>
    <n v="41"/>
    <n v="3.4166666666666665"/>
    <n v="32"/>
    <n v="90"/>
    <n v="0.35555555555555557"/>
    <n v="100"/>
    <n v="240"/>
    <n v="0.41666666666666669"/>
    <n v="15"/>
    <n v="20"/>
    <n v="0.75"/>
    <n v="15"/>
    <n v="19"/>
    <n v="34"/>
    <n v="150"/>
    <n v="190"/>
    <n v="340"/>
    <n v="2.8333333333333335"/>
    <n v="18"/>
    <n v="1.5"/>
    <n v="6"/>
    <n v="60"/>
    <n v="0.5"/>
    <n v="10"/>
    <n v="1"/>
    <n v="8.3333333333333329E-2"/>
    <n v="240"/>
    <x v="118"/>
    <n v="24"/>
    <n v="2"/>
    <n v="20"/>
    <n v="1.6666666666666667"/>
    <n v="89"/>
    <n v="7.416666666666667"/>
  </r>
  <r>
    <s v="Cleanthony Early"/>
    <x v="14"/>
    <x v="268"/>
    <n v="24"/>
    <n v="240"/>
    <n v="39"/>
    <n v="6470"/>
    <n v="132"/>
    <n v="3.3846153846153846"/>
    <n v="76"/>
    <n v="214"/>
    <n v="0.35514018691588783"/>
    <n v="220"/>
    <n v="840"/>
    <n v="0.26190476190476192"/>
    <n v="36"/>
    <n v="48"/>
    <n v="0.75"/>
    <n v="22"/>
    <n v="75"/>
    <n v="97"/>
    <n v="220"/>
    <n v="750"/>
    <n v="970"/>
    <n v="2.4871794871794872"/>
    <n v="36"/>
    <n v="0.92307692307692313"/>
    <n v="24"/>
    <n v="240"/>
    <n v="0.61538461538461542"/>
    <n v="120"/>
    <n v="12"/>
    <n v="0.30769230769230771"/>
    <n v="400"/>
    <x v="247"/>
    <n v="40"/>
    <n v="1.0256410256410255"/>
    <n v="57"/>
    <n v="1.4615384615384615"/>
    <n v="210"/>
    <n v="5.384615384615385"/>
  </r>
  <r>
    <s v="Travis Wear"/>
    <x v="14"/>
    <x v="269"/>
    <n v="24"/>
    <n v="240"/>
    <n v="51"/>
    <n v="6720"/>
    <n v="150"/>
    <n v="2.9411764705882355"/>
    <n v="84"/>
    <n v="209"/>
    <n v="402"/>
    <n v="110"/>
    <n v="300"/>
    <n v="0.36666666666666664"/>
    <n v="20"/>
    <n v="26"/>
    <n v="0.76923076923076927"/>
    <n v="31"/>
    <n v="75"/>
    <n v="106"/>
    <n v="310"/>
    <n v="750"/>
    <n v="1060"/>
    <n v="2.0784313725490198"/>
    <n v="40"/>
    <n v="0.78431372549019607"/>
    <n v="15"/>
    <n v="150"/>
    <n v="0.29411764705882354"/>
    <n v="110"/>
    <n v="11"/>
    <n v="0.21568627450980393"/>
    <n v="350"/>
    <x v="248"/>
    <n v="35"/>
    <n v="0.68627450980392157"/>
    <n v="55"/>
    <n v="1.0784313725490196"/>
    <n v="199"/>
    <n v="3.9019607843137254"/>
  </r>
  <r>
    <s v="Carmelo Anthony"/>
    <x v="15"/>
    <x v="270"/>
    <n v="32"/>
    <n v="320"/>
    <n v="72"/>
    <n v="25300"/>
    <n v="1363"/>
    <n v="18.930555555555557"/>
    <n v="567"/>
    <n v="1307"/>
    <n v="0.4338179035960214"/>
    <n v="1050"/>
    <n v="3100"/>
    <n v="0.33870967741935482"/>
    <n v="334"/>
    <n v="403"/>
    <n v="0.8287841191066998"/>
    <n v="98"/>
    <n v="458"/>
    <n v="556"/>
    <n v="980"/>
    <n v="4580"/>
    <n v="5560"/>
    <n v="7.7222222222222223"/>
    <n v="299"/>
    <n v="4.1527777777777777"/>
    <n v="62"/>
    <n v="620"/>
    <n v="0.86111111111111116"/>
    <n v="380"/>
    <n v="38"/>
    <n v="0.52777777777777779"/>
    <n v="1760"/>
    <x v="249"/>
    <n v="176"/>
    <n v="2.4444444444444446"/>
    <n v="180"/>
    <n v="2.5"/>
    <n v="1573"/>
    <n v="21.847222222222221"/>
  </r>
  <r>
    <s v="Kristaps Porzingis"/>
    <x v="15"/>
    <x v="271"/>
    <n v="20"/>
    <n v="200"/>
    <n v="72"/>
    <n v="20470"/>
    <n v="957"/>
    <n v="13.291666666666666"/>
    <n v="373"/>
    <n v="886"/>
    <n v="0.42099322799097066"/>
    <n v="810"/>
    <n v="2430"/>
    <n v="0.33333333333333331"/>
    <n v="201"/>
    <n v="240"/>
    <n v="0.83750000000000002"/>
    <n v="132"/>
    <n v="394"/>
    <n v="526"/>
    <n v="1320"/>
    <n v="3940"/>
    <n v="5260"/>
    <n v="7.3055555555555554"/>
    <n v="94"/>
    <n v="1.3055555555555556"/>
    <n v="53"/>
    <n v="530"/>
    <n v="0.73611111111111116"/>
    <n v="1340"/>
    <n v="134"/>
    <n v="1.8611111111111112"/>
    <n v="1210"/>
    <x v="250"/>
    <n v="121"/>
    <n v="1.6805555555555556"/>
    <n v="205"/>
    <n v="2.8472222222222223"/>
    <n v="1028"/>
    <n v="14.277777777777779"/>
  </r>
  <r>
    <s v="Robin Lopez"/>
    <x v="15"/>
    <x v="272"/>
    <n v="28"/>
    <n v="280"/>
    <n v="82"/>
    <n v="22190"/>
    <n v="1050"/>
    <n v="12.804878048780488"/>
    <n v="357"/>
    <n v="662"/>
    <n v="0.5392749244712991"/>
    <n v="0"/>
    <n v="10"/>
    <n v="0"/>
    <n v="128"/>
    <n v="161"/>
    <n v="0.79503105590062106"/>
    <n v="268"/>
    <n v="334"/>
    <n v="602"/>
    <n v="2680"/>
    <n v="3340"/>
    <n v="6020"/>
    <n v="7.3414634146341466"/>
    <n v="114"/>
    <n v="1.3902439024390243"/>
    <n v="16"/>
    <n v="160"/>
    <n v="0.1951219512195122"/>
    <n v="1290"/>
    <n v="129"/>
    <n v="1.5731707317073171"/>
    <n v="1330"/>
    <x v="251"/>
    <n v="133"/>
    <n v="1.6219512195121952"/>
    <n v="182"/>
    <n v="2.2195121951219514"/>
    <n v="842"/>
    <n v="10.268292682926829"/>
  </r>
  <r>
    <s v="Arron Afflalo"/>
    <x v="15"/>
    <x v="273"/>
    <n v="30"/>
    <n v="300"/>
    <n v="71"/>
    <n v="23710"/>
    <n v="664"/>
    <n v="9.352112676056338"/>
    <n v="354"/>
    <n v="799"/>
    <n v="0.44305381727158949"/>
    <n v="910"/>
    <n v="2380"/>
    <n v="0.38235294117647056"/>
    <n v="110"/>
    <n v="131"/>
    <n v="0.83969465648854957"/>
    <n v="23"/>
    <n v="243"/>
    <n v="266"/>
    <n v="230"/>
    <n v="2430"/>
    <n v="2660"/>
    <n v="3.7464788732394365"/>
    <n v="144"/>
    <n v="2.028169014084507"/>
    <n v="25"/>
    <n v="250"/>
    <n v="0.352112676056338"/>
    <n v="100"/>
    <n v="10"/>
    <n v="0.14084507042253522"/>
    <n v="820"/>
    <x v="252"/>
    <n v="82"/>
    <n v="1.1549295774647887"/>
    <n v="142"/>
    <n v="2"/>
    <n v="909"/>
    <n v="12.80281690140845"/>
  </r>
  <r>
    <s v="Jose Calderon"/>
    <x v="15"/>
    <x v="274"/>
    <n v="34"/>
    <n v="340"/>
    <n v="72"/>
    <n v="20240"/>
    <n v="667"/>
    <n v="9.2638888888888893"/>
    <n v="209"/>
    <n v="455"/>
    <n v="0.45934065934065932"/>
    <n v="840"/>
    <n v="2030"/>
    <n v="0.41379310344827586"/>
    <n v="42"/>
    <n v="48"/>
    <n v="0.875"/>
    <n v="22"/>
    <n v="207"/>
    <n v="229"/>
    <n v="220"/>
    <n v="2070"/>
    <n v="2290"/>
    <n v="3.1805555555555554"/>
    <n v="298"/>
    <n v="4.1388888888888893"/>
    <n v="63"/>
    <n v="630"/>
    <n v="0.875"/>
    <n v="70"/>
    <n v="7"/>
    <n v="9.7222222222222224E-2"/>
    <n v="870"/>
    <x v="253"/>
    <n v="87"/>
    <n v="1.2083333333333333"/>
    <n v="135"/>
    <n v="1.875"/>
    <n v="544"/>
    <n v="7.5555555555555554"/>
  </r>
  <r>
    <s v="Derrick Williams"/>
    <x v="15"/>
    <x v="275"/>
    <n v="25"/>
    <n v="250"/>
    <n v="80"/>
    <n v="14350"/>
    <n v="652"/>
    <n v="8.15"/>
    <n v="254"/>
    <n v="565"/>
    <n v="45"/>
    <n v="440"/>
    <n v="1500"/>
    <n v="0.29333333333333333"/>
    <n v="194"/>
    <n v="256"/>
    <n v="0.7578125"/>
    <n v="47"/>
    <n v="249"/>
    <n v="296"/>
    <n v="470"/>
    <n v="2490"/>
    <n v="2960"/>
    <n v="3.7"/>
    <n v="75"/>
    <n v="0.9375"/>
    <n v="29"/>
    <n v="290"/>
    <n v="0.36249999999999999"/>
    <n v="90"/>
    <n v="9"/>
    <n v="0.1125"/>
    <n v="610"/>
    <x v="254"/>
    <n v="61"/>
    <n v="0.76249999999999996"/>
    <n v="69"/>
    <n v="0.86250000000000004"/>
    <n v="746"/>
    <n v="9.3249999999999993"/>
  </r>
  <r>
    <s v="Langston Galloway"/>
    <x v="15"/>
    <x v="276"/>
    <n v="24"/>
    <n v="240"/>
    <n v="82"/>
    <n v="20330"/>
    <n v="596"/>
    <n v="7.2682926829268295"/>
    <n v="231"/>
    <n v="588"/>
    <n v="393"/>
    <n v="770"/>
    <n v="2240"/>
    <n v="0.34375"/>
    <n v="86"/>
    <n v="114"/>
    <n v="0.75438596491228072"/>
    <n v="43"/>
    <n v="245"/>
    <n v="288"/>
    <n v="430"/>
    <n v="2450"/>
    <n v="2880"/>
    <n v="3.5121951219512195"/>
    <n v="207"/>
    <n v="2.524390243902439"/>
    <n v="77"/>
    <n v="770"/>
    <n v="0.93902439024390238"/>
    <n v="220"/>
    <n v="22"/>
    <n v="0.26829268292682928"/>
    <n v="610"/>
    <x v="255"/>
    <n v="61"/>
    <n v="0.74390243902439024"/>
    <n v="177"/>
    <n v="2.1585365853658538"/>
    <n v="625"/>
    <n v="7.6219512195121952"/>
  </r>
  <r>
    <s v="Kyle O'Quinn"/>
    <x v="15"/>
    <x v="277"/>
    <n v="26"/>
    <n v="260"/>
    <n v="65"/>
    <n v="7640"/>
    <n v="376"/>
    <n v="5.7846153846153845"/>
    <n v="129"/>
    <n v="271"/>
    <n v="0.47601476014760147"/>
    <n v="50"/>
    <n v="220"/>
    <n v="0.22727272727272727"/>
    <n v="46"/>
    <n v="60"/>
    <n v="0.76666666666666672"/>
    <n v="76"/>
    <n v="174"/>
    <n v="250"/>
    <n v="760"/>
    <n v="1740"/>
    <n v="2500"/>
    <n v="3.8461538461538463"/>
    <n v="72"/>
    <n v="1.1076923076923078"/>
    <n v="20"/>
    <n v="200"/>
    <n v="0.30769230769230771"/>
    <n v="490"/>
    <n v="49"/>
    <n v="0.75384615384615383"/>
    <n v="610"/>
    <x v="256"/>
    <n v="61"/>
    <n v="0.93846153846153846"/>
    <n v="107"/>
    <n v="1.6461538461538461"/>
    <n v="309"/>
    <n v="4.7538461538461538"/>
  </r>
  <r>
    <s v="Lance Thomas"/>
    <x v="15"/>
    <x v="278"/>
    <n v="28"/>
    <n v="280"/>
    <n v="59"/>
    <n v="13130"/>
    <n v="301"/>
    <n v="5.101694915254237"/>
    <n v="169"/>
    <n v="382"/>
    <n v="442"/>
    <n v="440"/>
    <n v="1090"/>
    <n v="0.40366972477064222"/>
    <n v="102"/>
    <n v="119"/>
    <n v="0.8571428571428571"/>
    <n v="34"/>
    <n v="97"/>
    <n v="131"/>
    <n v="340"/>
    <n v="970"/>
    <n v="1310"/>
    <n v="2.2203389830508473"/>
    <n v="53"/>
    <n v="0.89830508474576276"/>
    <n v="22"/>
    <n v="220"/>
    <n v="0.3728813559322034"/>
    <n v="70"/>
    <n v="7"/>
    <n v="0.11864406779661017"/>
    <n v="570"/>
    <x v="257"/>
    <n v="57"/>
    <n v="0.96610169491525422"/>
    <n v="109"/>
    <n v="1.847457627118644"/>
    <n v="484"/>
    <n v="8.203389830508474"/>
  </r>
  <r>
    <s v="Jerian Grant"/>
    <x v="15"/>
    <x v="279"/>
    <n v="23"/>
    <n v="230"/>
    <n v="76"/>
    <n v="12650"/>
    <n v="358"/>
    <n v="4.7105263157894735"/>
    <n v="154"/>
    <n v="391"/>
    <n v="394"/>
    <n v="220"/>
    <n v="1000"/>
    <n v="0.22"/>
    <n v="96"/>
    <n v="123"/>
    <n v="0.78048780487804881"/>
    <n v="23"/>
    <n v="120"/>
    <n v="143"/>
    <n v="230"/>
    <n v="1200"/>
    <n v="1430"/>
    <n v="1.881578947368421"/>
    <n v="177"/>
    <n v="2.3289473684210527"/>
    <n v="50"/>
    <n v="500"/>
    <n v="0.65789473684210531"/>
    <n v="100"/>
    <n v="10"/>
    <n v="0.13157894736842105"/>
    <n v="870"/>
    <x v="258"/>
    <n v="87"/>
    <n v="1.1447368421052631"/>
    <n v="97"/>
    <n v="1.2763157894736843"/>
    <n v="426"/>
    <n v="5.6052631578947372"/>
  </r>
  <r>
    <s v="Sasha Vujacic"/>
    <x v="15"/>
    <x v="280"/>
    <n v="32"/>
    <n v="320"/>
    <n v="61"/>
    <n v="9080"/>
    <n v="263"/>
    <n v="4.3114754098360653"/>
    <n v="106"/>
    <n v="277"/>
    <n v="383"/>
    <n v="520"/>
    <n v="1430"/>
    <n v="0.36363636363636365"/>
    <n v="32"/>
    <n v="39"/>
    <n v="0.82051282051282048"/>
    <n v="26"/>
    <n v="123"/>
    <n v="149"/>
    <n v="260"/>
    <n v="1230"/>
    <n v="1490"/>
    <n v="2.442622950819672"/>
    <n v="84"/>
    <n v="1.3770491803278688"/>
    <n v="34"/>
    <n v="340"/>
    <n v="0.55737704918032782"/>
    <n v="50"/>
    <n v="5"/>
    <n v="8.1967213114754092E-2"/>
    <n v="440"/>
    <x v="259"/>
    <n v="44"/>
    <n v="0.72131147540983609"/>
    <n v="83"/>
    <n v="1.360655737704918"/>
    <n v="296"/>
    <n v="4.8524590163934427"/>
  </r>
  <r>
    <s v="Kevin Seraphin"/>
    <x v="15"/>
    <x v="281"/>
    <n v="26"/>
    <n v="260"/>
    <n v="48"/>
    <n v="5260"/>
    <n v="169"/>
    <n v="3.5208333333333335"/>
    <n v="84"/>
    <n v="205"/>
    <n v="0.40975609756097559"/>
    <n v="0"/>
    <n v="20"/>
    <n v="0"/>
    <n v="19"/>
    <n v="23"/>
    <n v="0.82608695652173914"/>
    <n v="31"/>
    <n v="95"/>
    <n v="126"/>
    <n v="310"/>
    <n v="950"/>
    <n v="1260"/>
    <n v="2.625"/>
    <n v="47"/>
    <n v="0.97916666666666663"/>
    <n v="8"/>
    <n v="80"/>
    <n v="0.16666666666666666"/>
    <n v="360"/>
    <n v="36"/>
    <n v="0.75"/>
    <n v="430"/>
    <x v="260"/>
    <n v="43"/>
    <n v="0.89583333333333337"/>
    <n v="67"/>
    <n v="1.3958333333333333"/>
    <n v="187"/>
    <n v="3.8958333333333335"/>
  </r>
  <r>
    <s v="Thanasis Antetokounmpo"/>
    <x v="15"/>
    <x v="282"/>
    <n v="23"/>
    <n v="230"/>
    <n v="2"/>
    <n v="60"/>
    <n v="4"/>
    <n v="2"/>
    <n v="3"/>
    <n v="4"/>
    <n v="0.75"/>
    <n v="0"/>
    <n v="10"/>
    <n v="0"/>
    <n v="0"/>
    <n v="0"/>
    <e v="#DIV/0!"/>
    <n v="0"/>
    <n v="1"/>
    <n v="1"/>
    <n v="0"/>
    <n v="10"/>
    <n v="10"/>
    <n v="0.5"/>
    <n v="0"/>
    <n v="0"/>
    <n v="0"/>
    <n v="0"/>
    <n v="0"/>
    <n v="0"/>
    <n v="0"/>
    <n v="0"/>
    <n v="0"/>
    <x v="42"/>
    <n v="0"/>
    <n v="0"/>
    <n v="2"/>
    <n v="1"/>
    <n v="6"/>
    <n v="3"/>
  </r>
  <r>
    <s v="Jimmer Fredette"/>
    <x v="15"/>
    <x v="283"/>
    <n v="27"/>
    <n v="270"/>
    <n v="2"/>
    <n v="50"/>
    <n v="4"/>
    <n v="2"/>
    <n v="1"/>
    <n v="1"/>
    <n v="10"/>
    <n v="10"/>
    <n v="10"/>
    <n v="1"/>
    <n v="4"/>
    <n v="5"/>
    <n v="0.8"/>
    <n v="0"/>
    <n v="0"/>
    <n v="0"/>
    <n v="0"/>
    <n v="0"/>
    <n v="0"/>
    <n v="0"/>
    <n v="0"/>
    <n v="0"/>
    <n v="0"/>
    <n v="0"/>
    <n v="0"/>
    <n v="0"/>
    <n v="0"/>
    <n v="0"/>
    <n v="10"/>
    <x v="63"/>
    <n v="1"/>
    <n v="0.5"/>
    <n v="1"/>
    <n v="0.5"/>
    <n v="7"/>
    <n v="3.5"/>
  </r>
  <r>
    <s v="Cleanthony Early"/>
    <x v="15"/>
    <x v="284"/>
    <n v="25"/>
    <n v="250"/>
    <n v="17"/>
    <n v="1540"/>
    <n v="14"/>
    <n v="0.82352941176470584"/>
    <n v="12"/>
    <n v="40"/>
    <n v="0.3"/>
    <n v="40"/>
    <n v="150"/>
    <n v="0.26666666666666666"/>
    <n v="3"/>
    <n v="4"/>
    <n v="0.75"/>
    <n v="4"/>
    <n v="22"/>
    <n v="26"/>
    <n v="40"/>
    <n v="220"/>
    <n v="260"/>
    <n v="1.5294117647058822"/>
    <n v="6"/>
    <n v="0.35294117647058826"/>
    <n v="2"/>
    <n v="20"/>
    <n v="0.11764705882352941"/>
    <n v="30"/>
    <n v="3"/>
    <n v="0.17647058823529413"/>
    <n v="90"/>
    <x v="261"/>
    <n v="9"/>
    <n v="0.52941176470588236"/>
    <n v="16"/>
    <n v="0.94117647058823528"/>
    <n v="31"/>
    <n v="1.8235294117647058"/>
  </r>
  <r>
    <s v="Lou Amundson"/>
    <x v="15"/>
    <x v="285"/>
    <n v="33"/>
    <n v="330"/>
    <n v="29"/>
    <n v="2040"/>
    <n v="20"/>
    <n v="0.68965517241379315"/>
    <n v="19"/>
    <n v="53"/>
    <n v="358"/>
    <n v="0"/>
    <n v="0"/>
    <e v="#DIV/0!"/>
    <n v="14"/>
    <n v="27"/>
    <n v="0.51851851851851849"/>
    <n v="23"/>
    <n v="26"/>
    <n v="49"/>
    <n v="230"/>
    <n v="260"/>
    <n v="490"/>
    <n v="1.6896551724137931"/>
    <n v="12"/>
    <n v="0.41379310344827586"/>
    <n v="6"/>
    <n v="60"/>
    <n v="0.20689655172413793"/>
    <n v="70"/>
    <n v="7"/>
    <n v="0.2413793103448276"/>
    <n v="150"/>
    <x v="262"/>
    <n v="15"/>
    <n v="0.51724137931034486"/>
    <n v="44"/>
    <n v="1.5172413793103448"/>
    <n v="52"/>
    <n v="1.7931034482758621"/>
  </r>
  <r>
    <s v="Carmelo Anthony"/>
    <x v="16"/>
    <x v="286"/>
    <n v="33"/>
    <n v="330"/>
    <n v="74"/>
    <n v="25380"/>
    <n v="1205"/>
    <n v="16.283783783783782"/>
    <n v="602"/>
    <n v="1389"/>
    <n v="0.43340532757379407"/>
    <n v="1510"/>
    <n v="4210"/>
    <n v="0.35866983372921613"/>
    <n v="304"/>
    <n v="365"/>
    <n v="0.83287671232876714"/>
    <n v="62"/>
    <n v="376"/>
    <n v="438"/>
    <n v="620"/>
    <n v="3760"/>
    <n v="4380"/>
    <n v="5.9189189189189193"/>
    <n v="213"/>
    <n v="2.8783783783783785"/>
    <n v="60"/>
    <n v="600"/>
    <n v="0.81081081081081086"/>
    <n v="340"/>
    <n v="34"/>
    <n v="0.45945945945945948"/>
    <n v="1530"/>
    <x v="263"/>
    <n v="153"/>
    <n v="2.0675675675675675"/>
    <n v="198"/>
    <n v="2.6756756756756759"/>
    <n v="1659"/>
    <n v="22.418918918918919"/>
  </r>
  <r>
    <s v="Derrick Rose"/>
    <x v="16"/>
    <x v="287"/>
    <n v="28"/>
    <n v="280"/>
    <n v="64"/>
    <n v="20820"/>
    <n v="964"/>
    <n v="15.0625"/>
    <n v="460"/>
    <n v="977"/>
    <n v="0.47082906857727735"/>
    <n v="130"/>
    <n v="600"/>
    <n v="0.21666666666666667"/>
    <n v="221"/>
    <n v="253"/>
    <n v="0.87351778656126478"/>
    <n v="66"/>
    <n v="180"/>
    <n v="246"/>
    <n v="660"/>
    <n v="1800"/>
    <n v="2460"/>
    <n v="3.84375"/>
    <n v="283"/>
    <n v="4.421875"/>
    <n v="44"/>
    <n v="440"/>
    <n v="0.6875"/>
    <n v="170"/>
    <n v="17"/>
    <n v="0.265625"/>
    <n v="1470"/>
    <x v="264"/>
    <n v="147"/>
    <n v="2.296875"/>
    <n v="84"/>
    <n v="1.3125"/>
    <n v="1154"/>
    <n v="18.03125"/>
  </r>
  <r>
    <s v="Kristaps Porzingis"/>
    <x v="16"/>
    <x v="288"/>
    <n v="21"/>
    <n v="210"/>
    <n v="66"/>
    <n v="21640"/>
    <n v="986"/>
    <n v="14.939393939393939"/>
    <n v="443"/>
    <n v="985"/>
    <n v="0.44974619289340101"/>
    <n v="1120"/>
    <n v="3140"/>
    <n v="0.35668789808917195"/>
    <n v="198"/>
    <n v="252"/>
    <n v="0.7857142857142857"/>
    <n v="111"/>
    <n v="364"/>
    <n v="475"/>
    <n v="1110"/>
    <n v="3640"/>
    <n v="4750"/>
    <n v="7.1969696969696972"/>
    <n v="97"/>
    <n v="1.4696969696969697"/>
    <n v="47"/>
    <n v="470"/>
    <n v="0.71212121212121215"/>
    <n v="1290"/>
    <n v="129"/>
    <n v="1.9545454545454546"/>
    <n v="1180"/>
    <x v="265"/>
    <n v="118"/>
    <n v="1.7878787878787878"/>
    <n v="244"/>
    <n v="3.6969696969696968"/>
    <n v="1196"/>
    <n v="18.121212121212121"/>
  </r>
  <r>
    <s v="Willy Hernangomez"/>
    <x v="16"/>
    <x v="289"/>
    <n v="23"/>
    <n v="230"/>
    <n v="72"/>
    <n v="13240"/>
    <n v="759"/>
    <n v="10.541666666666666"/>
    <n v="246"/>
    <n v="465"/>
    <n v="0.52903225806451615"/>
    <n v="40"/>
    <n v="150"/>
    <n v="0.26666666666666666"/>
    <n v="91"/>
    <n v="125"/>
    <n v="0.72799999999999998"/>
    <n v="170"/>
    <n v="332"/>
    <n v="502"/>
    <n v="1700"/>
    <n v="3320"/>
    <n v="5020"/>
    <n v="6.9722222222222223"/>
    <n v="96"/>
    <n v="1.3333333333333333"/>
    <n v="41"/>
    <n v="410"/>
    <n v="0.56944444444444442"/>
    <n v="360"/>
    <n v="36"/>
    <n v="0.5"/>
    <n v="1000"/>
    <x v="266"/>
    <n v="100"/>
    <n v="1.3888888888888888"/>
    <n v="150"/>
    <n v="2.0833333333333335"/>
    <n v="587"/>
    <n v="8.1527777777777786"/>
  </r>
  <r>
    <s v="Joakim Noah"/>
    <x v="16"/>
    <x v="290"/>
    <n v="32"/>
    <n v="320"/>
    <n v="46"/>
    <n v="10150"/>
    <n v="473"/>
    <n v="10.282608695652174"/>
    <n v="99"/>
    <n v="202"/>
    <n v="0.49009900990099009"/>
    <n v="0"/>
    <n v="10"/>
    <n v="0"/>
    <n v="34"/>
    <n v="78"/>
    <n v="0.4358974358974359"/>
    <n v="162"/>
    <n v="241"/>
    <n v="403"/>
    <n v="1620"/>
    <n v="2410"/>
    <n v="4030"/>
    <n v="8.7608695652173907"/>
    <n v="103"/>
    <n v="2.2391304347826089"/>
    <n v="30"/>
    <n v="300"/>
    <n v="0.65217391304347827"/>
    <n v="370"/>
    <n v="37"/>
    <n v="0.80434782608695654"/>
    <n v="580"/>
    <x v="267"/>
    <n v="58"/>
    <n v="1.2608695652173914"/>
    <n v="127"/>
    <n v="2.7608695652173911"/>
    <n v="232"/>
    <n v="5.0434782608695654"/>
  </r>
  <r>
    <s v="Courtney Lee"/>
    <x v="16"/>
    <x v="291"/>
    <n v="31"/>
    <n v="310"/>
    <n v="77"/>
    <n v="24590"/>
    <n v="772"/>
    <n v="10.025974025974026"/>
    <n v="321"/>
    <n v="704"/>
    <n v="0.45596590909090912"/>
    <n v="1080"/>
    <n v="2690"/>
    <n v="0.40148698884758366"/>
    <n v="85"/>
    <n v="98"/>
    <n v="0.86734693877551017"/>
    <n v="53"/>
    <n v="206"/>
    <n v="259"/>
    <n v="530"/>
    <n v="2060"/>
    <n v="2590"/>
    <n v="3.3636363636363638"/>
    <n v="179"/>
    <n v="2.3246753246753249"/>
    <n v="81"/>
    <n v="810"/>
    <n v="1.051948051948052"/>
    <n v="240"/>
    <n v="24"/>
    <n v="0.31168831168831168"/>
    <n v="690"/>
    <x v="268"/>
    <n v="69"/>
    <n v="0.89610389610389607"/>
    <n v="141"/>
    <n v="1.8311688311688312"/>
    <n v="835"/>
    <n v="10.844155844155845"/>
  </r>
  <r>
    <s v="Kyle O'Quinn"/>
    <x v="16"/>
    <x v="292"/>
    <n v="27"/>
    <n v="270"/>
    <n v="79"/>
    <n v="12290"/>
    <n v="725"/>
    <n v="9.1772151898734169"/>
    <n v="215"/>
    <n v="413"/>
    <n v="0.52058111380145278"/>
    <n v="20"/>
    <n v="170"/>
    <n v="0.11764705882352941"/>
    <n v="64"/>
    <n v="83"/>
    <n v="0.77108433734939763"/>
    <n v="157"/>
    <n v="282"/>
    <n v="439"/>
    <n v="1570"/>
    <n v="2820"/>
    <n v="4390"/>
    <n v="5.556962025316456"/>
    <n v="117"/>
    <n v="1.481012658227848"/>
    <n v="36"/>
    <n v="360"/>
    <n v="0.45569620253164556"/>
    <n v="1040"/>
    <n v="104"/>
    <n v="1.3164556962025316"/>
    <n v="760"/>
    <x v="269"/>
    <n v="76"/>
    <n v="0.96202531645569622"/>
    <n v="174"/>
    <n v="2.2025316455696204"/>
    <n v="496"/>
    <n v="6.2784810126582276"/>
  </r>
  <r>
    <s v="Brandon Jennings"/>
    <x v="16"/>
    <x v="293"/>
    <n v="27"/>
    <n v="270"/>
    <n v="58"/>
    <n v="14280"/>
    <n v="505"/>
    <n v="8.7068965517241388"/>
    <n v="163"/>
    <n v="429"/>
    <n v="38"/>
    <n v="680"/>
    <n v="2000"/>
    <n v="0.34"/>
    <n v="102"/>
    <n v="135"/>
    <n v="0.75555555555555554"/>
    <n v="21"/>
    <n v="131"/>
    <n v="152"/>
    <n v="210"/>
    <n v="1310"/>
    <n v="1520"/>
    <n v="2.6206896551724137"/>
    <n v="287"/>
    <n v="4.9482758620689653"/>
    <n v="55"/>
    <n v="550"/>
    <n v="0.94827586206896552"/>
    <n v="40"/>
    <n v="4"/>
    <n v="6.8965517241379309E-2"/>
    <n v="1060"/>
    <x v="270"/>
    <n v="106"/>
    <n v="1.8275862068965518"/>
    <n v="84"/>
    <n v="1.4482758620689655"/>
    <n v="496"/>
    <n v="8.5517241379310338"/>
  </r>
  <r>
    <s v="Justin Holiday"/>
    <x v="16"/>
    <x v="294"/>
    <n v="28"/>
    <n v="280"/>
    <n v="82"/>
    <n v="16390"/>
    <n v="558"/>
    <n v="6.8048780487804876"/>
    <n v="233"/>
    <n v="538"/>
    <n v="0.43308550185873607"/>
    <n v="970"/>
    <n v="2730"/>
    <n v="0.35531135531135533"/>
    <n v="66"/>
    <n v="80"/>
    <n v="0.82499999999999996"/>
    <n v="27"/>
    <n v="198"/>
    <n v="225"/>
    <n v="270"/>
    <n v="1980"/>
    <n v="2250"/>
    <n v="2.7439024390243905"/>
    <n v="102"/>
    <n v="1.2439024390243902"/>
    <n v="65"/>
    <n v="650"/>
    <n v="0.79268292682926833"/>
    <n v="310"/>
    <n v="31"/>
    <n v="0.37804878048780488"/>
    <n v="660"/>
    <x v="271"/>
    <n v="66"/>
    <n v="0.80487804878048785"/>
    <n v="109"/>
    <n v="1.3292682926829269"/>
    <n v="629"/>
    <n v="7.6707317073170733"/>
  </r>
  <r>
    <s v="Lance Thomas"/>
    <x v="16"/>
    <x v="295"/>
    <n v="29"/>
    <n v="290"/>
    <n v="46"/>
    <n v="9680"/>
    <n v="213"/>
    <n v="4.6304347826086953"/>
    <n v="97"/>
    <n v="244"/>
    <n v="398"/>
    <n v="380"/>
    <n v="850"/>
    <n v="0.44705882352941179"/>
    <n v="43"/>
    <n v="51"/>
    <n v="0.84313725490196079"/>
    <n v="32"/>
    <n v="110"/>
    <n v="142"/>
    <n v="320"/>
    <n v="1100"/>
    <n v="1420"/>
    <n v="3.0869565217391304"/>
    <n v="35"/>
    <n v="0.76086956521739135"/>
    <n v="21"/>
    <n v="210"/>
    <n v="0.45652173913043476"/>
    <n v="50"/>
    <n v="5"/>
    <n v="0.10869565217391304"/>
    <n v="250"/>
    <x v="272"/>
    <n v="25"/>
    <n v="0.54347826086956519"/>
    <n v="85"/>
    <n v="1.8478260869565217"/>
    <n v="275"/>
    <n v="5.9782608695652177"/>
  </r>
  <r>
    <s v="Mindaugas Kuzminskas"/>
    <x v="16"/>
    <x v="296"/>
    <n v="27"/>
    <n v="270"/>
    <n v="68"/>
    <n v="10160"/>
    <n v="306"/>
    <n v="4.5"/>
    <n v="158"/>
    <n v="369"/>
    <n v="0.42818428184281843"/>
    <n v="540"/>
    <n v="1680"/>
    <n v="0.32142857142857145"/>
    <n v="55"/>
    <n v="68"/>
    <n v="0.80882352941176472"/>
    <n v="47"/>
    <n v="79"/>
    <n v="126"/>
    <n v="470"/>
    <n v="790"/>
    <n v="1260"/>
    <n v="1.8529411764705883"/>
    <n v="69"/>
    <n v="1.0147058823529411"/>
    <n v="29"/>
    <n v="290"/>
    <n v="0.4264705882352941"/>
    <n v="110"/>
    <n v="11"/>
    <n v="0.16176470588235295"/>
    <n v="510"/>
    <x v="273"/>
    <n v="51"/>
    <n v="0.75"/>
    <n v="79"/>
    <n v="1.161764705882353"/>
    <n v="425"/>
    <n v="6.25"/>
  </r>
  <r>
    <s v="Chasson Randle"/>
    <x v="16"/>
    <x v="297"/>
    <n v="24"/>
    <n v="240"/>
    <n v="18"/>
    <n v="2250"/>
    <n v="67"/>
    <n v="3.7222222222222223"/>
    <n v="28"/>
    <n v="72"/>
    <n v="0.3888888888888889"/>
    <n v="100"/>
    <n v="320"/>
    <n v="0.3125"/>
    <n v="29"/>
    <n v="31"/>
    <n v="0.93548387096774188"/>
    <n v="6"/>
    <n v="21"/>
    <n v="27"/>
    <n v="60"/>
    <n v="210"/>
    <n v="270"/>
    <n v="1.5"/>
    <n v="28"/>
    <n v="1.5555555555555556"/>
    <n v="6"/>
    <n v="60"/>
    <n v="0.33333333333333331"/>
    <n v="10"/>
    <n v="1"/>
    <n v="5.5555555555555552E-2"/>
    <n v="160"/>
    <x v="274"/>
    <n v="16"/>
    <n v="0.88888888888888884"/>
    <n v="28"/>
    <n v="1.5555555555555556"/>
    <n v="95"/>
    <n v="5.2777777777777777"/>
  </r>
  <r>
    <s v="Ron Baker"/>
    <x v="16"/>
    <x v="298"/>
    <n v="24"/>
    <n v="240"/>
    <n v="52"/>
    <n v="8570"/>
    <n v="182"/>
    <n v="3.5"/>
    <n v="82"/>
    <n v="217"/>
    <n v="0.37788018433179721"/>
    <n v="230"/>
    <n v="860"/>
    <n v="0.26744186046511625"/>
    <n v="28"/>
    <n v="43"/>
    <n v="0.65116279069767447"/>
    <n v="12"/>
    <n v="86"/>
    <n v="98"/>
    <n v="120"/>
    <n v="860"/>
    <n v="980"/>
    <n v="1.8846153846153846"/>
    <n v="107"/>
    <n v="2.0576923076923075"/>
    <n v="34"/>
    <n v="340"/>
    <n v="0.65384615384615385"/>
    <n v="80"/>
    <n v="8"/>
    <n v="0.15384615384615385"/>
    <n v="560"/>
    <x v="275"/>
    <n v="56"/>
    <n v="1.0769230769230769"/>
    <n v="74"/>
    <n v="1.4230769230769231"/>
    <n v="215"/>
    <n v="4.134615384615385"/>
  </r>
  <r>
    <s v="Maurice Ndour"/>
    <x v="16"/>
    <x v="299"/>
    <n v="25"/>
    <n v="250"/>
    <n v="32"/>
    <n v="3310"/>
    <n v="97"/>
    <n v="3.03125"/>
    <n v="39"/>
    <n v="86"/>
    <n v="0.45348837209302323"/>
    <n v="10"/>
    <n v="70"/>
    <n v="0.14285714285714285"/>
    <n v="19"/>
    <n v="26"/>
    <n v="0.73076923076923073"/>
    <n v="22"/>
    <n v="42"/>
    <n v="64"/>
    <n v="220"/>
    <n v="420"/>
    <n v="640"/>
    <n v="2"/>
    <n v="8"/>
    <n v="0.25"/>
    <n v="15"/>
    <n v="150"/>
    <n v="0.46875"/>
    <n v="80"/>
    <n v="8"/>
    <n v="0.25"/>
    <n v="120"/>
    <x v="276"/>
    <n v="12"/>
    <n v="0.375"/>
    <n v="30"/>
    <n v="0.9375"/>
    <n v="98"/>
    <n v="3.0625"/>
  </r>
  <r>
    <s v="Marshall Plumlee"/>
    <x v="16"/>
    <x v="300"/>
    <n v="24"/>
    <n v="240"/>
    <n v="21"/>
    <n v="1700"/>
    <n v="49"/>
    <n v="2.3333333333333335"/>
    <n v="16"/>
    <n v="30"/>
    <n v="533"/>
    <n v="0"/>
    <n v="0"/>
    <e v="#DIV/0!"/>
    <n v="8"/>
    <n v="19"/>
    <n v="0.42105263157894735"/>
    <n v="23"/>
    <n v="28"/>
    <n v="51"/>
    <n v="230"/>
    <n v="280"/>
    <n v="510"/>
    <n v="2.4285714285714284"/>
    <n v="10"/>
    <n v="0.47619047619047616"/>
    <n v="4"/>
    <n v="40"/>
    <n v="0.19047619047619047"/>
    <n v="40"/>
    <n v="4"/>
    <n v="0.19047619047619047"/>
    <n v="120"/>
    <x v="277"/>
    <n v="12"/>
    <n v="0.5714285714285714"/>
    <n v="23"/>
    <n v="1.0952380952380953"/>
    <n v="40"/>
    <n v="1.9047619047619047"/>
  </r>
  <r>
    <s v="Sasha Vujacic"/>
    <x v="16"/>
    <x v="301"/>
    <n v="33"/>
    <n v="330"/>
    <n v="42"/>
    <n v="4080"/>
    <n v="95"/>
    <n v="2.2619047619047619"/>
    <n v="42"/>
    <n v="136"/>
    <n v="309"/>
    <n v="230"/>
    <n v="740"/>
    <n v="0.3108108108108108"/>
    <n v="17"/>
    <n v="24"/>
    <n v="0.70833333333333337"/>
    <n v="12"/>
    <n v="47"/>
    <n v="59"/>
    <n v="120"/>
    <n v="470"/>
    <n v="590"/>
    <n v="1.4047619047619047"/>
    <n v="52"/>
    <n v="1.2380952380952381"/>
    <n v="13"/>
    <n v="130"/>
    <n v="0.30952380952380953"/>
    <n v="20"/>
    <n v="2"/>
    <n v="4.7619047619047616E-2"/>
    <n v="160"/>
    <x v="278"/>
    <n v="16"/>
    <n v="0.38095238095238093"/>
    <n v="38"/>
    <n v="0.90476190476190477"/>
    <n v="124"/>
    <n v="2.9523809523809526"/>
  </r>
  <r>
    <s v="Enes Freedom"/>
    <x v="17"/>
    <x v="302"/>
    <n v="26"/>
    <n v="260"/>
    <n v="71"/>
    <n v="18300"/>
    <n v="1330"/>
    <n v="18.732394366197184"/>
    <n v="422"/>
    <n v="713"/>
    <n v="592"/>
    <n v="0"/>
    <n v="20"/>
    <n v="0"/>
    <n v="156"/>
    <n v="184"/>
    <n v="0.84782608695652173"/>
    <n v="273"/>
    <n v="507"/>
    <n v="780"/>
    <n v="2730"/>
    <n v="5070"/>
    <n v="7800"/>
    <n v="10.985915492957746"/>
    <n v="105"/>
    <n v="1.4788732394366197"/>
    <n v="36"/>
    <n v="360"/>
    <n v="0.50704225352112675"/>
    <n v="370"/>
    <n v="37"/>
    <n v="0.52112676056338025"/>
    <n v="1220"/>
    <x v="279"/>
    <n v="122"/>
    <n v="1.7183098591549295"/>
    <n v="187"/>
    <n v="2.6338028169014085"/>
    <n v="1000"/>
    <n v="14.084507042253522"/>
  </r>
  <r>
    <s v="Kristaps Porzingis"/>
    <x v="17"/>
    <x v="303"/>
    <n v="22"/>
    <n v="220"/>
    <n v="48"/>
    <n v="15530"/>
    <n v="822"/>
    <n v="17.125"/>
    <n v="390"/>
    <n v="889"/>
    <n v="0.43869516310461193"/>
    <n v="900"/>
    <n v="2280"/>
    <n v="0.39473684210526316"/>
    <n v="218"/>
    <n v="275"/>
    <n v="0.79272727272727272"/>
    <n v="62"/>
    <n v="254"/>
    <n v="316"/>
    <n v="620"/>
    <n v="2540"/>
    <n v="3160"/>
    <n v="6.583333333333333"/>
    <n v="57"/>
    <n v="1.1875"/>
    <n v="36"/>
    <n v="360"/>
    <n v="0.75"/>
    <n v="1150"/>
    <n v="115"/>
    <n v="2.3958333333333335"/>
    <n v="930"/>
    <x v="280"/>
    <n v="93"/>
    <n v="1.9375"/>
    <n v="141"/>
    <n v="2.9375"/>
    <n v="1088"/>
    <n v="22.666666666666668"/>
  </r>
  <r>
    <s v="Tim Hardaway Jr."/>
    <x v="17"/>
    <x v="304"/>
    <n v="26"/>
    <n v="260"/>
    <n v="57"/>
    <n v="18850"/>
    <n v="703"/>
    <n v="12.333333333333334"/>
    <n v="360"/>
    <n v="856"/>
    <n v="0.42056074766355139"/>
    <n v="1300"/>
    <n v="4100"/>
    <n v="0.31707317073170732"/>
    <n v="146"/>
    <n v="179"/>
    <n v="0.81564245810055869"/>
    <n v="32"/>
    <n v="192"/>
    <n v="224"/>
    <n v="320"/>
    <n v="1920"/>
    <n v="2240"/>
    <n v="3.9298245614035086"/>
    <n v="155"/>
    <n v="2.7192982456140351"/>
    <n v="62"/>
    <n v="620"/>
    <n v="1.0877192982456141"/>
    <n v="100"/>
    <n v="10"/>
    <n v="0.17543859649122806"/>
    <n v="920"/>
    <x v="281"/>
    <n v="92"/>
    <n v="1.6140350877192982"/>
    <n v="123"/>
    <n v="2.1578947368421053"/>
    <n v="996"/>
    <n v="17.473684210526315"/>
  </r>
  <r>
    <s v="Trey Burke"/>
    <x v="17"/>
    <x v="305"/>
    <n v="25"/>
    <n v="250"/>
    <n v="36"/>
    <n v="7850"/>
    <n v="433"/>
    <n v="12.027777777777779"/>
    <n v="193"/>
    <n v="384"/>
    <n v="0.50260416666666663"/>
    <n v="380"/>
    <n v="1050"/>
    <n v="0.3619047619047619"/>
    <n v="37"/>
    <n v="57"/>
    <n v="0.64912280701754388"/>
    <n v="13"/>
    <n v="58"/>
    <n v="71"/>
    <n v="130"/>
    <n v="580"/>
    <n v="710"/>
    <n v="1.9722222222222223"/>
    <n v="170"/>
    <n v="4.7222222222222223"/>
    <n v="24"/>
    <n v="240"/>
    <n v="0.66666666666666663"/>
    <n v="40"/>
    <n v="4"/>
    <n v="0.1111111111111111"/>
    <n v="430"/>
    <x v="282"/>
    <n v="43"/>
    <n v="1.1944444444444444"/>
    <n v="43"/>
    <n v="1.1944444444444444"/>
    <n v="461"/>
    <n v="12.805555555555555"/>
  </r>
  <r>
    <s v="Michael Beasley"/>
    <x v="17"/>
    <x v="306"/>
    <n v="29"/>
    <n v="290"/>
    <n v="74"/>
    <n v="16530"/>
    <n v="871"/>
    <n v="11.77027027027027"/>
    <n v="409"/>
    <n v="807"/>
    <n v="0.50681536555142503"/>
    <n v="340"/>
    <n v="860"/>
    <n v="0.39534883720930231"/>
    <n v="124"/>
    <n v="159"/>
    <n v="0.77987421383647804"/>
    <n v="97"/>
    <n v="317"/>
    <n v="414"/>
    <n v="970"/>
    <n v="3170"/>
    <n v="4140"/>
    <n v="5.5945945945945947"/>
    <n v="123"/>
    <n v="1.6621621621621621"/>
    <n v="36"/>
    <n v="360"/>
    <n v="0.48648648648648651"/>
    <n v="430"/>
    <n v="43"/>
    <n v="0.58108108108108103"/>
    <n v="1430"/>
    <x v="283"/>
    <n v="143"/>
    <n v="1.9324324324324325"/>
    <n v="145"/>
    <n v="1.9594594594594594"/>
    <n v="976"/>
    <n v="13.189189189189189"/>
  </r>
  <r>
    <s v="Kyle O'Quinn"/>
    <x v="17"/>
    <x v="307"/>
    <n v="28"/>
    <n v="280"/>
    <n v="77"/>
    <n v="13870"/>
    <n v="831"/>
    <n v="10.792207792207792"/>
    <n v="224"/>
    <n v="384"/>
    <n v="0.58333333333333337"/>
    <n v="40"/>
    <n v="170"/>
    <n v="0.23529411764705882"/>
    <n v="98"/>
    <n v="127"/>
    <n v="0.77165354330708658"/>
    <n v="121"/>
    <n v="349"/>
    <n v="470"/>
    <n v="1210"/>
    <n v="3490"/>
    <n v="4700"/>
    <n v="6.1038961038961039"/>
    <n v="158"/>
    <n v="2.051948051948052"/>
    <n v="36"/>
    <n v="360"/>
    <n v="0.46753246753246752"/>
    <n v="980"/>
    <n v="98"/>
    <n v="1.2727272727272727"/>
    <n v="1000"/>
    <x v="284"/>
    <n v="100"/>
    <n v="1.2987012987012987"/>
    <n v="192"/>
    <n v="2.4935064935064934"/>
    <n v="550"/>
    <n v="7.1428571428571432"/>
  </r>
  <r>
    <s v="Courtney Lee"/>
    <x v="17"/>
    <x v="308"/>
    <n v="32"/>
    <n v="320"/>
    <n v="76"/>
    <n v="23100"/>
    <n v="799"/>
    <n v="10.513157894736842"/>
    <n v="343"/>
    <n v="755"/>
    <n v="0.45430463576158941"/>
    <n v="1130"/>
    <n v="2780"/>
    <n v="0.40647482014388492"/>
    <n v="114"/>
    <n v="124"/>
    <n v="0.91935483870967738"/>
    <n v="30"/>
    <n v="194"/>
    <n v="224"/>
    <n v="300"/>
    <n v="1940"/>
    <n v="2240"/>
    <n v="2.9473684210526314"/>
    <n v="180"/>
    <n v="2.3684210526315788"/>
    <n v="80"/>
    <n v="800"/>
    <n v="1.0526315789473684"/>
    <n v="170"/>
    <n v="17"/>
    <n v="0.22368421052631579"/>
    <n v="840"/>
    <x v="285"/>
    <n v="84"/>
    <n v="1.1052631578947369"/>
    <n v="109"/>
    <n v="1.4342105263157894"/>
    <n v="913"/>
    <n v="12.013157894736842"/>
  </r>
  <r>
    <s v="Jarrett Jack"/>
    <x v="17"/>
    <x v="309"/>
    <n v="34"/>
    <n v="340"/>
    <n v="62"/>
    <n v="15480"/>
    <n v="565"/>
    <n v="9.112903225806452"/>
    <n v="189"/>
    <n v="443"/>
    <n v="427"/>
    <n v="250"/>
    <n v="860"/>
    <n v="0.29069767441860467"/>
    <n v="63"/>
    <n v="75"/>
    <n v="0.84"/>
    <n v="22"/>
    <n v="169"/>
    <n v="191"/>
    <n v="220"/>
    <n v="1690"/>
    <n v="1910"/>
    <n v="3.0806451612903225"/>
    <n v="348"/>
    <n v="5.612903225806452"/>
    <n v="35"/>
    <n v="350"/>
    <n v="0.56451612903225812"/>
    <n v="40"/>
    <n v="4"/>
    <n v="6.4516129032258063E-2"/>
    <n v="1150"/>
    <x v="286"/>
    <n v="115"/>
    <n v="1.8548387096774193"/>
    <n v="98"/>
    <n v="1.5806451612903225"/>
    <n v="466"/>
    <n v="7.5161290322580649"/>
  </r>
  <r>
    <s v="Troy Williams"/>
    <x v="17"/>
    <x v="310"/>
    <n v="23"/>
    <n v="230"/>
    <n v="17"/>
    <n v="2900"/>
    <n v="116"/>
    <n v="6.8235294117647056"/>
    <n v="49"/>
    <n v="100"/>
    <n v="49"/>
    <n v="110"/>
    <n v="330"/>
    <n v="0.33333333333333331"/>
    <n v="19"/>
    <n v="27"/>
    <n v="0.70370370370370372"/>
    <n v="21"/>
    <n v="38"/>
    <n v="59"/>
    <n v="210"/>
    <n v="380"/>
    <n v="590"/>
    <n v="3.4705882352941178"/>
    <n v="15"/>
    <n v="0.88235294117647056"/>
    <n v="19"/>
    <n v="190"/>
    <n v="1.1176470588235294"/>
    <n v="40"/>
    <n v="4"/>
    <n v="0.23529411764705882"/>
    <n v="180"/>
    <x v="287"/>
    <n v="18"/>
    <n v="1.0588235294117647"/>
    <n v="32"/>
    <n v="1.8823529411764706"/>
    <n v="128"/>
    <n v="7.5294117647058822"/>
  </r>
  <r>
    <s v="Emmanuel Mudiay"/>
    <x v="17"/>
    <x v="311"/>
    <n v="22"/>
    <n v="220"/>
    <n v="22"/>
    <n v="4930"/>
    <n v="145"/>
    <n v="6.5909090909090908"/>
    <n v="75"/>
    <n v="204"/>
    <n v="0.36764705882352944"/>
    <n v="90"/>
    <n v="460"/>
    <n v="0.19565217391304349"/>
    <n v="35"/>
    <n v="51"/>
    <n v="0.68627450980392157"/>
    <n v="10"/>
    <n v="48"/>
    <n v="58"/>
    <n v="100"/>
    <n v="480"/>
    <n v="580"/>
    <n v="2.6363636363636362"/>
    <n v="85"/>
    <n v="3.8636363636363638"/>
    <n v="20"/>
    <n v="200"/>
    <n v="0.90909090909090906"/>
    <n v="70"/>
    <n v="7"/>
    <n v="0.31818181818181818"/>
    <n v="410"/>
    <x v="288"/>
    <n v="41"/>
    <n v="1.8636363636363635"/>
    <n v="33"/>
    <n v="1.5"/>
    <n v="194"/>
    <n v="8.8181818181818183"/>
  </r>
  <r>
    <s v="Luke Kornet"/>
    <x v="17"/>
    <x v="312"/>
    <n v="22"/>
    <n v="220"/>
    <n v="20"/>
    <n v="3260"/>
    <n v="127"/>
    <n v="6.35"/>
    <n v="49"/>
    <n v="125"/>
    <n v="0.39200000000000002"/>
    <n v="280"/>
    <n v="790"/>
    <n v="0.35443037974683544"/>
    <n v="8"/>
    <n v="11"/>
    <n v="0.72727272727272729"/>
    <n v="11"/>
    <n v="53"/>
    <n v="64"/>
    <n v="110"/>
    <n v="530"/>
    <n v="640"/>
    <n v="3.2"/>
    <n v="26"/>
    <n v="1.3"/>
    <n v="6"/>
    <n v="60"/>
    <n v="0.3"/>
    <n v="160"/>
    <n v="16"/>
    <n v="0.8"/>
    <n v="120"/>
    <x v="289"/>
    <n v="12"/>
    <n v="0.6"/>
    <n v="28"/>
    <n v="1.4"/>
    <n v="134"/>
    <n v="6.7"/>
  </r>
  <r>
    <s v="Doug McDermott"/>
    <x v="17"/>
    <x v="313"/>
    <n v="26"/>
    <n v="260"/>
    <n v="55"/>
    <n v="11720"/>
    <n v="304"/>
    <n v="5.5272727272727273"/>
    <n v="151"/>
    <n v="328"/>
    <n v="0.46036585365853661"/>
    <n v="530"/>
    <n v="1370"/>
    <n v="0.38686131386861317"/>
    <n v="40"/>
    <n v="53"/>
    <n v="0.75471698113207553"/>
    <n v="33"/>
    <n v="101"/>
    <n v="134"/>
    <n v="330"/>
    <n v="1010"/>
    <n v="1340"/>
    <n v="2.4363636363636365"/>
    <n v="50"/>
    <n v="0.90909090909090906"/>
    <n v="10"/>
    <n v="100"/>
    <n v="0.18181818181818182"/>
    <n v="120"/>
    <n v="12"/>
    <n v="0.21818181818181817"/>
    <n v="340"/>
    <x v="290"/>
    <n v="34"/>
    <n v="0.61818181818181817"/>
    <n v="73"/>
    <n v="1.3272727272727274"/>
    <n v="395"/>
    <n v="7.1818181818181817"/>
  </r>
  <r>
    <s v="Frank Ntilikina"/>
    <x v="17"/>
    <x v="314"/>
    <n v="19"/>
    <n v="190"/>
    <n v="78"/>
    <n v="17060"/>
    <n v="324"/>
    <n v="4.1538461538461542"/>
    <n v="182"/>
    <n v="500"/>
    <n v="0.36399999999999999"/>
    <n v="500"/>
    <n v="1570"/>
    <n v="0.31847133757961782"/>
    <n v="49"/>
    <n v="68"/>
    <n v="0.72058823529411764"/>
    <n v="37"/>
    <n v="140"/>
    <n v="177"/>
    <n v="370"/>
    <n v="1400"/>
    <n v="1770"/>
    <n v="2.2692307692307692"/>
    <n v="250"/>
    <n v="3.2051282051282053"/>
    <n v="65"/>
    <n v="650"/>
    <n v="0.83333333333333337"/>
    <n v="180"/>
    <n v="18"/>
    <n v="0.23076923076923078"/>
    <n v="1310"/>
    <x v="161"/>
    <n v="131"/>
    <n v="1.6794871794871795"/>
    <n v="181"/>
    <n v="2.3205128205128207"/>
    <n v="463"/>
    <n v="5.9358974358974361"/>
  </r>
  <r>
    <s v="Willy Hernangomez"/>
    <x v="17"/>
    <x v="315"/>
    <n v="24"/>
    <n v="240"/>
    <n v="26"/>
    <n v="2330"/>
    <n v="108"/>
    <n v="4.1538461538461542"/>
    <n v="49"/>
    <n v="81"/>
    <n v="0.60493827160493829"/>
    <n v="10"/>
    <n v="50"/>
    <n v="0.2"/>
    <n v="12"/>
    <n v="28"/>
    <n v="0.42857142857142855"/>
    <n v="22"/>
    <n v="45"/>
    <n v="67"/>
    <n v="220"/>
    <n v="450"/>
    <n v="670"/>
    <n v="2.5769230769230771"/>
    <n v="21"/>
    <n v="0.80769230769230771"/>
    <n v="8"/>
    <n v="80"/>
    <n v="0.30769230769230771"/>
    <n v="70"/>
    <n v="7"/>
    <n v="0.26923076923076922"/>
    <n v="260"/>
    <x v="291"/>
    <n v="26"/>
    <n v="1"/>
    <n v="32"/>
    <n v="1.2307692307692308"/>
    <n v="111"/>
    <n v="4.2692307692307692"/>
  </r>
  <r>
    <s v="Damyean Dotson"/>
    <x v="17"/>
    <x v="316"/>
    <n v="24"/>
    <n v="240"/>
    <n v="44"/>
    <n v="4740"/>
    <n v="164"/>
    <n v="3.7272727272727271"/>
    <n v="72"/>
    <n v="161"/>
    <n v="0.44720496894409939"/>
    <n v="220"/>
    <n v="680"/>
    <n v="0.3235294117647059"/>
    <n v="16"/>
    <n v="23"/>
    <n v="0.69565217391304346"/>
    <n v="9"/>
    <n v="75"/>
    <n v="84"/>
    <n v="90"/>
    <n v="750"/>
    <n v="840"/>
    <n v="1.9090909090909092"/>
    <n v="31"/>
    <n v="0.70454545454545459"/>
    <n v="12"/>
    <n v="120"/>
    <n v="0.27272727272727271"/>
    <n v="20"/>
    <n v="2"/>
    <n v="4.5454545454545456E-2"/>
    <n v="170"/>
    <x v="292"/>
    <n v="17"/>
    <n v="0.38636363636363635"/>
    <n v="34"/>
    <n v="0.77272727272727271"/>
    <n v="182"/>
    <n v="4.1363636363636367"/>
  </r>
  <r>
    <s v="Lance Thomas"/>
    <x v="17"/>
    <x v="317"/>
    <n v="30"/>
    <n v="300"/>
    <n v="73"/>
    <n v="13530"/>
    <n v="212"/>
    <n v="2.904109589041096"/>
    <n v="102"/>
    <n v="267"/>
    <n v="382"/>
    <n v="500"/>
    <n v="1240"/>
    <n v="0.40322580645161288"/>
    <n v="44"/>
    <n v="53"/>
    <n v="0.83018867924528306"/>
    <n v="44"/>
    <n v="131"/>
    <n v="175"/>
    <n v="440"/>
    <n v="1310"/>
    <n v="1750"/>
    <n v="2.3972602739726026"/>
    <n v="44"/>
    <n v="0.60273972602739723"/>
    <n v="30"/>
    <n v="300"/>
    <n v="0.41095890410958902"/>
    <n v="140"/>
    <n v="14"/>
    <n v="0.19178082191780821"/>
    <n v="410"/>
    <x v="53"/>
    <n v="41"/>
    <n v="0.56164383561643838"/>
    <n v="134"/>
    <n v="1.8356164383561644"/>
    <n v="298"/>
    <n v="4.0821917808219181"/>
  </r>
  <r>
    <s v="Ron Baker"/>
    <x v="17"/>
    <x v="318"/>
    <n v="25"/>
    <n v="250"/>
    <n v="29"/>
    <n v="3850"/>
    <n v="84"/>
    <n v="2.896551724137931"/>
    <n v="20"/>
    <n v="59"/>
    <n v="0.33898305084745761"/>
    <n v="110"/>
    <n v="330"/>
    <n v="0.33333333333333331"/>
    <n v="20"/>
    <n v="26"/>
    <n v="0.76923076923076927"/>
    <n v="5"/>
    <n v="25"/>
    <n v="30"/>
    <n v="50"/>
    <n v="250"/>
    <n v="300"/>
    <n v="1.0344827586206897"/>
    <n v="47"/>
    <n v="1.6206896551724137"/>
    <n v="26"/>
    <n v="260"/>
    <n v="0.89655172413793105"/>
    <n v="60"/>
    <n v="6"/>
    <n v="0.20689655172413793"/>
    <n v="180"/>
    <x v="262"/>
    <n v="18"/>
    <n v="0.62068965517241381"/>
    <n v="33"/>
    <n v="1.1379310344827587"/>
    <n v="71"/>
    <n v="2.4482758620689653"/>
  </r>
  <r>
    <s v="Joakim Noah"/>
    <x v="17"/>
    <x v="319"/>
    <n v="33"/>
    <n v="330"/>
    <n v="7"/>
    <n v="400"/>
    <n v="18"/>
    <n v="2.5714285714285716"/>
    <n v="5"/>
    <n v="10"/>
    <n v="0.5"/>
    <n v="0"/>
    <n v="0"/>
    <e v="#DIV/0!"/>
    <n v="2"/>
    <n v="4"/>
    <n v="0.5"/>
    <n v="6"/>
    <n v="8"/>
    <n v="14"/>
    <n v="60"/>
    <n v="80"/>
    <n v="140"/>
    <n v="2"/>
    <n v="4"/>
    <n v="0.5714285714285714"/>
    <n v="2"/>
    <n v="20"/>
    <n v="0.2857142857142857"/>
    <n v="20"/>
    <n v="2"/>
    <n v="0.2857142857142857"/>
    <n v="40"/>
    <x v="59"/>
    <n v="4"/>
    <n v="0.5714285714285714"/>
    <n v="5"/>
    <n v="0.7142857142857143"/>
    <n v="12"/>
    <n v="1.7142857142857142"/>
  </r>
  <r>
    <s v="Ramon Sessions"/>
    <x v="17"/>
    <x v="320"/>
    <n v="32"/>
    <n v="320"/>
    <n v="13"/>
    <n v="1670"/>
    <n v="33"/>
    <n v="2.5384615384615383"/>
    <n v="17"/>
    <n v="53"/>
    <n v="0.32075471698113206"/>
    <n v="20"/>
    <n v="110"/>
    <n v="0.18181818181818182"/>
    <n v="12"/>
    <n v="15"/>
    <n v="0.8"/>
    <n v="1"/>
    <n v="17"/>
    <n v="18"/>
    <n v="10"/>
    <n v="170"/>
    <n v="180"/>
    <n v="1.3846153846153846"/>
    <n v="27"/>
    <n v="2.0769230769230771"/>
    <n v="7"/>
    <n v="70"/>
    <n v="0.53846153846153844"/>
    <n v="10"/>
    <n v="1"/>
    <n v="7.6923076923076927E-2"/>
    <n v="150"/>
    <x v="164"/>
    <n v="15"/>
    <n v="1.1538461538461537"/>
    <n v="14"/>
    <n v="1.0769230769230769"/>
    <n v="48"/>
    <n v="3.6923076923076925"/>
  </r>
  <r>
    <s v="Isaiah Hicks"/>
    <x v="17"/>
    <x v="321"/>
    <n v="23"/>
    <n v="230"/>
    <n v="18"/>
    <n v="2390"/>
    <n v="37"/>
    <n v="2.0555555555555554"/>
    <n v="33"/>
    <n v="72"/>
    <n v="0.45833333333333331"/>
    <n v="20"/>
    <n v="90"/>
    <n v="0.22222222222222221"/>
    <n v="12"/>
    <n v="18"/>
    <n v="0.66666666666666663"/>
    <n v="10"/>
    <n v="31"/>
    <n v="41"/>
    <n v="100"/>
    <n v="310"/>
    <n v="410"/>
    <n v="2.2777777777777777"/>
    <n v="16"/>
    <n v="0.88888888888888884"/>
    <n v="2"/>
    <n v="20"/>
    <n v="0.1111111111111111"/>
    <n v="40"/>
    <n v="4"/>
    <n v="0.22222222222222221"/>
    <n v="160"/>
    <x v="293"/>
    <n v="16"/>
    <n v="0.88888888888888884"/>
    <n v="45"/>
    <n v="2.5"/>
    <n v="80"/>
    <n v="4.4444444444444446"/>
  </r>
  <r>
    <s v="Mindaugas Kuzminskas"/>
    <x v="17"/>
    <x v="322"/>
    <n v="28"/>
    <n v="280"/>
    <n v="1"/>
    <n v="20"/>
    <n v="-2"/>
    <n v="-2"/>
    <n v="0"/>
    <n v="2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Julius Randle"/>
    <x v="18"/>
    <x v="323"/>
    <n v="26"/>
    <n v="260"/>
    <n v="71"/>
    <n v="26670"/>
    <n v="1679"/>
    <n v="23.64788732394366"/>
    <n v="602"/>
    <n v="1321"/>
    <n v="0.45571536714610145"/>
    <n v="1600"/>
    <n v="3890"/>
    <n v="0.41131105398457585"/>
    <n v="348"/>
    <n v="429"/>
    <n v="0.81118881118881114"/>
    <n v="84"/>
    <n v="640"/>
    <n v="724"/>
    <n v="840"/>
    <n v="6400"/>
    <n v="7240"/>
    <n v="10.19718309859155"/>
    <n v="427"/>
    <n v="6.0140845070422539"/>
    <n v="64"/>
    <n v="640"/>
    <n v="0.90140845070422537"/>
    <n v="180"/>
    <n v="18"/>
    <n v="0.25352112676056338"/>
    <n v="2410"/>
    <x v="294"/>
    <n v="241"/>
    <n v="3.3943661971830985"/>
    <n v="225"/>
    <n v="3.1690140845070425"/>
    <n v="1712"/>
    <n v="24.112676056338028"/>
  </r>
  <r>
    <s v="Derrick Rose"/>
    <x v="18"/>
    <x v="324"/>
    <n v="32"/>
    <n v="320"/>
    <n v="35"/>
    <n v="9370"/>
    <n v="498"/>
    <n v="14.228571428571428"/>
    <n v="208"/>
    <n v="427"/>
    <n v="0.48711943793911006"/>
    <n v="370"/>
    <n v="900"/>
    <n v="0.41111111111111109"/>
    <n v="68"/>
    <n v="77"/>
    <n v="0.88311688311688308"/>
    <n v="14"/>
    <n v="87"/>
    <n v="101"/>
    <n v="140"/>
    <n v="870"/>
    <n v="1010"/>
    <n v="2.8857142857142857"/>
    <n v="146"/>
    <n v="4.1714285714285717"/>
    <n v="31"/>
    <n v="310"/>
    <n v="0.88571428571428568"/>
    <n v="150"/>
    <n v="15"/>
    <n v="0.42857142857142855"/>
    <n v="490"/>
    <x v="92"/>
    <n v="49"/>
    <n v="1.4"/>
    <n v="39"/>
    <n v="1.1142857142857143"/>
    <n v="521"/>
    <n v="14.885714285714286"/>
  </r>
  <r>
    <s v="RJ Barrett"/>
    <x v="18"/>
    <x v="325"/>
    <n v="21"/>
    <n v="210"/>
    <n v="72"/>
    <n v="25110"/>
    <n v="978"/>
    <n v="13.583333333333334"/>
    <n v="467"/>
    <n v="1060"/>
    <n v="0.44056603773584907"/>
    <n v="1240"/>
    <n v="3090"/>
    <n v="0.40129449838187703"/>
    <n v="206"/>
    <n v="276"/>
    <n v="0.74637681159420288"/>
    <n v="68"/>
    <n v="346"/>
    <n v="414"/>
    <n v="680"/>
    <n v="3460"/>
    <n v="4140"/>
    <n v="5.75"/>
    <n v="217"/>
    <n v="3.0138888888888888"/>
    <n v="53"/>
    <n v="530"/>
    <n v="0.73611111111111116"/>
    <n v="200"/>
    <n v="20"/>
    <n v="0.27777777777777779"/>
    <n v="1390"/>
    <x v="295"/>
    <n v="139"/>
    <n v="1.9305555555555556"/>
    <n v="188"/>
    <n v="2.6111111111111112"/>
    <n v="1264"/>
    <n v="17.555555555555557"/>
  </r>
  <r>
    <s v="Mitchell Robinson"/>
    <x v="18"/>
    <x v="326"/>
    <n v="23"/>
    <n v="230"/>
    <n v="31"/>
    <n v="8530"/>
    <n v="405"/>
    <n v="13.064516129032258"/>
    <n v="115"/>
    <n v="176"/>
    <n v="0.65340909090909094"/>
    <n v="0"/>
    <n v="0"/>
    <e v="#DIV/0!"/>
    <n v="26"/>
    <n v="53"/>
    <n v="0.49056603773584906"/>
    <n v="113"/>
    <n v="139"/>
    <n v="252"/>
    <n v="1130"/>
    <n v="1390"/>
    <n v="2520"/>
    <n v="8.129032258064516"/>
    <n v="17"/>
    <n v="0.54838709677419351"/>
    <n v="35"/>
    <n v="350"/>
    <n v="1.1290322580645162"/>
    <n v="450"/>
    <n v="45"/>
    <n v="1.4516129032258065"/>
    <n v="260"/>
    <x v="296"/>
    <n v="26"/>
    <n v="0.83870967741935487"/>
    <n v="86"/>
    <n v="2.774193548387097"/>
    <n v="256"/>
    <n v="8.258064516129032"/>
  </r>
  <r>
    <s v="Alec Burks"/>
    <x v="18"/>
    <x v="327"/>
    <n v="29"/>
    <n v="290"/>
    <n v="49"/>
    <n v="12550"/>
    <n v="544"/>
    <n v="11.102040816326531"/>
    <n v="210"/>
    <n v="500"/>
    <n v="0.42"/>
    <n v="1020"/>
    <n v="2460"/>
    <n v="0.41463414634146339"/>
    <n v="101"/>
    <n v="118"/>
    <n v="0.85593220338983056"/>
    <n v="21"/>
    <n v="206"/>
    <n v="227"/>
    <n v="210"/>
    <n v="2060"/>
    <n v="2270"/>
    <n v="4.6326530612244898"/>
    <n v="107"/>
    <n v="2.1836734693877551"/>
    <n v="31"/>
    <n v="310"/>
    <n v="0.63265306122448983"/>
    <n v="140"/>
    <n v="14"/>
    <n v="0.2857142857142857"/>
    <n v="490"/>
    <x v="297"/>
    <n v="49"/>
    <n v="1"/>
    <n v="102"/>
    <n v="2.0816326530612246"/>
    <n v="623"/>
    <n v="12.714285714285714"/>
  </r>
  <r>
    <s v="Nerlens Noel"/>
    <x v="18"/>
    <x v="328"/>
    <n v="27"/>
    <n v="270"/>
    <n v="64"/>
    <n v="15470"/>
    <n v="641"/>
    <n v="10.015625"/>
    <n v="137"/>
    <n v="223"/>
    <n v="0.61434977578475336"/>
    <n v="0"/>
    <n v="30"/>
    <n v="0"/>
    <n v="50"/>
    <n v="70"/>
    <n v="0.7142857142857143"/>
    <n v="142"/>
    <n v="265"/>
    <n v="407"/>
    <n v="1420"/>
    <n v="2650"/>
    <n v="4070"/>
    <n v="6.359375"/>
    <n v="46"/>
    <n v="0.71875"/>
    <n v="70"/>
    <n v="700"/>
    <n v="1.09375"/>
    <n v="1410"/>
    <n v="141"/>
    <n v="2.203125"/>
    <n v="650"/>
    <x v="298"/>
    <n v="65"/>
    <n v="1.015625"/>
    <n v="176"/>
    <n v="2.75"/>
    <n v="324"/>
    <n v="5.0625"/>
  </r>
  <r>
    <s v="Taj Gibson"/>
    <x v="18"/>
    <x v="329"/>
    <n v="36"/>
    <n v="360"/>
    <n v="45"/>
    <n v="9360"/>
    <n v="412"/>
    <n v="9.155555555555555"/>
    <n v="99"/>
    <n v="158"/>
    <n v="627"/>
    <n v="30"/>
    <n v="150"/>
    <n v="0.2"/>
    <n v="40"/>
    <n v="55"/>
    <n v="0.72727272727272729"/>
    <n v="99"/>
    <n v="151"/>
    <n v="250"/>
    <n v="990"/>
    <n v="1510"/>
    <n v="2500"/>
    <n v="5.5555555555555554"/>
    <n v="36"/>
    <n v="0.8"/>
    <n v="31"/>
    <n v="310"/>
    <n v="0.68888888888888888"/>
    <n v="490"/>
    <n v="49"/>
    <n v="1.0888888888888888"/>
    <n v="220"/>
    <x v="299"/>
    <n v="22"/>
    <n v="0.48888888888888887"/>
    <n v="99"/>
    <n v="2.2000000000000002"/>
    <n v="241"/>
    <n v="5.3555555555555552"/>
  </r>
  <r>
    <s v="Reggie Bullock Jr."/>
    <x v="18"/>
    <x v="330"/>
    <n v="30"/>
    <n v="300"/>
    <n v="65"/>
    <n v="19490"/>
    <n v="585"/>
    <n v="9"/>
    <n v="248"/>
    <n v="561"/>
    <n v="0.44206773618538325"/>
    <n v="1630"/>
    <n v="3980"/>
    <n v="0.40954773869346733"/>
    <n v="50"/>
    <n v="55"/>
    <n v="0.90909090909090906"/>
    <n v="16"/>
    <n v="207"/>
    <n v="223"/>
    <n v="160"/>
    <n v="2070"/>
    <n v="2230"/>
    <n v="3.4307692307692306"/>
    <n v="99"/>
    <n v="1.523076923076923"/>
    <n v="52"/>
    <n v="520"/>
    <n v="0.8"/>
    <n v="110"/>
    <n v="11"/>
    <n v="0.16923076923076924"/>
    <n v="450"/>
    <x v="300"/>
    <n v="45"/>
    <n v="0.69230769230769229"/>
    <n v="146"/>
    <n v="2.2461538461538462"/>
    <n v="709"/>
    <n v="10.907692307692308"/>
  </r>
  <r>
    <s v="Elfrid Payton"/>
    <x v="18"/>
    <x v="331"/>
    <n v="27"/>
    <n v="270"/>
    <n v="63"/>
    <n v="14840"/>
    <n v="508"/>
    <n v="8.0634920634920633"/>
    <n v="269"/>
    <n v="622"/>
    <n v="0.432475884244373"/>
    <n v="280"/>
    <n v="980"/>
    <n v="0.2857142857142857"/>
    <n v="73"/>
    <n v="107"/>
    <n v="0.68224299065420557"/>
    <n v="64"/>
    <n v="152"/>
    <n v="216"/>
    <n v="640"/>
    <n v="1520"/>
    <n v="2160"/>
    <n v="3.4285714285714284"/>
    <n v="203"/>
    <n v="3.2222222222222223"/>
    <n v="47"/>
    <n v="470"/>
    <n v="0.74603174603174605"/>
    <n v="90"/>
    <n v="9"/>
    <n v="0.14285714285714285"/>
    <n v="1030"/>
    <x v="301"/>
    <n v="103"/>
    <n v="1.6349206349206349"/>
    <n v="116"/>
    <n v="1.8412698412698412"/>
    <n v="639"/>
    <n v="10.142857142857142"/>
  </r>
  <r>
    <s v="Immanuel Quickley"/>
    <x v="18"/>
    <x v="332"/>
    <n v="22"/>
    <n v="220"/>
    <n v="64"/>
    <n v="12440"/>
    <n v="495"/>
    <n v="7.734375"/>
    <n v="229"/>
    <n v="580"/>
    <n v="0.39482758620689656"/>
    <n v="1180"/>
    <n v="3030"/>
    <n v="0.38943894389438943"/>
    <n v="155"/>
    <n v="174"/>
    <n v="0.89080459770114939"/>
    <n v="25"/>
    <n v="112"/>
    <n v="137"/>
    <n v="250"/>
    <n v="1120"/>
    <n v="1370"/>
    <n v="2.140625"/>
    <n v="127"/>
    <n v="1.984375"/>
    <n v="30"/>
    <n v="300"/>
    <n v="0.46875"/>
    <n v="120"/>
    <n v="12"/>
    <n v="0.1875"/>
    <n v="580"/>
    <x v="302"/>
    <n v="58"/>
    <n v="0.90625"/>
    <n v="114"/>
    <n v="1.78125"/>
    <n v="731"/>
    <n v="11.421875"/>
  </r>
  <r>
    <s v="Austin Rivers"/>
    <x v="18"/>
    <x v="333"/>
    <n v="28"/>
    <n v="280"/>
    <n v="21"/>
    <n v="4420"/>
    <n v="120"/>
    <n v="5.7142857142857144"/>
    <n v="58"/>
    <n v="135"/>
    <n v="0.42962962962962964"/>
    <n v="280"/>
    <n v="770"/>
    <n v="0.36363636363636365"/>
    <n v="10"/>
    <n v="14"/>
    <n v="0.7142857142857143"/>
    <n v="5"/>
    <n v="42"/>
    <n v="47"/>
    <n v="50"/>
    <n v="420"/>
    <n v="470"/>
    <n v="2.2380952380952381"/>
    <n v="42"/>
    <n v="2"/>
    <n v="12"/>
    <n v="120"/>
    <n v="0.5714285714285714"/>
    <n v="0"/>
    <n v="0"/>
    <n v="0"/>
    <n v="220"/>
    <x v="277"/>
    <n v="22"/>
    <n v="1.0476190476190477"/>
    <n v="32"/>
    <n v="1.5238095238095237"/>
    <n v="154"/>
    <n v="7.333333333333333"/>
  </r>
  <r>
    <s v="Obi Toppin"/>
    <x v="18"/>
    <x v="334"/>
    <n v="23"/>
    <n v="230"/>
    <n v="62"/>
    <n v="6830"/>
    <n v="262"/>
    <n v="4.225806451612903"/>
    <n v="104"/>
    <n v="209"/>
    <n v="498"/>
    <n v="260"/>
    <n v="850"/>
    <n v="0.30588235294117649"/>
    <n v="19"/>
    <n v="26"/>
    <n v="0.73076923076923073"/>
    <n v="26"/>
    <n v="112"/>
    <n v="138"/>
    <n v="260"/>
    <n v="1120"/>
    <n v="1380"/>
    <n v="2.225806451612903"/>
    <n v="29"/>
    <n v="0.46774193548387094"/>
    <n v="17"/>
    <n v="170"/>
    <n v="0.27419354838709675"/>
    <n v="150"/>
    <n v="15"/>
    <n v="0.24193548387096775"/>
    <n v="230"/>
    <x v="303"/>
    <n v="23"/>
    <n v="0.37096774193548387"/>
    <n v="55"/>
    <n v="0.88709677419354838"/>
    <n v="253"/>
    <n v="4.080645161290323"/>
  </r>
  <r>
    <s v="Kevin Knox II"/>
    <x v="18"/>
    <x v="335"/>
    <n v="21"/>
    <n v="210"/>
    <n v="42"/>
    <n v="4640"/>
    <n v="116"/>
    <n v="2.7619047619047619"/>
    <n v="56"/>
    <n v="143"/>
    <n v="0.39160839160839161"/>
    <n v="350"/>
    <n v="890"/>
    <n v="0.39325842696629215"/>
    <n v="16"/>
    <n v="20"/>
    <n v="0.8"/>
    <n v="10"/>
    <n v="51"/>
    <n v="61"/>
    <n v="100"/>
    <n v="510"/>
    <n v="610"/>
    <n v="1.4523809523809523"/>
    <n v="19"/>
    <n v="0.45238095238095238"/>
    <n v="12"/>
    <n v="120"/>
    <n v="0.2857142857142857"/>
    <n v="60"/>
    <n v="6"/>
    <n v="0.14285714285714285"/>
    <n v="170"/>
    <x v="304"/>
    <n v="17"/>
    <n v="0.40476190476190477"/>
    <n v="37"/>
    <n v="0.88095238095238093"/>
    <n v="163"/>
    <n v="3.8809523809523809"/>
  </r>
  <r>
    <s v="Norvel Pelle"/>
    <x v="18"/>
    <x v="336"/>
    <n v="28"/>
    <n v="280"/>
    <n v="9"/>
    <n v="520"/>
    <n v="23"/>
    <n v="2.5555555555555554"/>
    <n v="5"/>
    <n v="7"/>
    <n v="714"/>
    <n v="0"/>
    <n v="0"/>
    <e v="#DIV/0!"/>
    <n v="1"/>
    <n v="2"/>
    <n v="0.5"/>
    <n v="2"/>
    <n v="9"/>
    <n v="11"/>
    <n v="20"/>
    <n v="90"/>
    <n v="110"/>
    <n v="1.2222222222222223"/>
    <n v="1"/>
    <n v="0.1111111111111111"/>
    <n v="1"/>
    <n v="10"/>
    <n v="0.1111111111111111"/>
    <n v="60"/>
    <n v="6"/>
    <n v="0.66666666666666663"/>
    <n v="0"/>
    <x v="164"/>
    <n v="0"/>
    <n v="0"/>
    <n v="4"/>
    <n v="0.44444444444444442"/>
    <n v="11"/>
    <n v="1.2222222222222223"/>
  </r>
  <r>
    <s v="Frank Ntilikina"/>
    <x v="18"/>
    <x v="337"/>
    <n v="22"/>
    <n v="220"/>
    <n v="33"/>
    <n v="3220"/>
    <n v="45"/>
    <n v="1.3636363636363635"/>
    <n v="29"/>
    <n v="79"/>
    <n v="0.36708860759493672"/>
    <n v="230"/>
    <n v="480"/>
    <n v="0.47916666666666669"/>
    <n v="8"/>
    <n v="18"/>
    <n v="0.44444444444444442"/>
    <n v="6"/>
    <n v="25"/>
    <n v="31"/>
    <n v="60"/>
    <n v="250"/>
    <n v="310"/>
    <n v="0.93939393939393945"/>
    <n v="19"/>
    <n v="0.5757575757575758"/>
    <n v="18"/>
    <n v="180"/>
    <n v="0.54545454545454541"/>
    <n v="40"/>
    <n v="4"/>
    <n v="0.12121212121212122"/>
    <n v="110"/>
    <x v="305"/>
    <n v="11"/>
    <n v="0.33333333333333331"/>
    <n v="45"/>
    <n v="1.3636363636363635"/>
    <n v="89"/>
    <n v="2.6969696969696968"/>
  </r>
  <r>
    <s v="Dennis Smith Jr."/>
    <x v="18"/>
    <x v="338"/>
    <n v="23"/>
    <n v="230"/>
    <n v="3"/>
    <n v="280"/>
    <n v="3"/>
    <n v="1"/>
    <n v="2"/>
    <n v="10"/>
    <n v="0.2"/>
    <n v="0"/>
    <n v="40"/>
    <n v="0"/>
    <n v="5"/>
    <n v="6"/>
    <n v="0.83333333333333337"/>
    <n v="0"/>
    <n v="2"/>
    <n v="2"/>
    <n v="0"/>
    <n v="20"/>
    <n v="20"/>
    <n v="0.66666666666666663"/>
    <n v="3"/>
    <n v="1"/>
    <n v="3"/>
    <n v="30"/>
    <n v="1"/>
    <n v="0"/>
    <n v="0"/>
    <n v="0"/>
    <n v="10"/>
    <x v="306"/>
    <n v="1"/>
    <n v="0.33333333333333331"/>
    <n v="4"/>
    <n v="1.3333333333333333"/>
    <n v="9"/>
    <n v="3"/>
  </r>
  <r>
    <s v="Ignas Brazdeikis"/>
    <x v="18"/>
    <x v="339"/>
    <n v="22"/>
    <n v="220"/>
    <n v="4"/>
    <n v="70"/>
    <n v="3"/>
    <n v="0.75"/>
    <n v="0"/>
    <n v="1"/>
    <n v="0"/>
    <n v="0"/>
    <n v="0"/>
    <e v="#DIV/0!"/>
    <n v="2"/>
    <n v="2"/>
    <n v="1"/>
    <n v="1"/>
    <n v="1"/>
    <n v="2"/>
    <n v="10"/>
    <n v="10"/>
    <n v="20"/>
    <n v="0.5"/>
    <n v="1"/>
    <n v="0.25"/>
    <n v="0"/>
    <n v="0"/>
    <n v="0"/>
    <n v="0"/>
    <n v="0"/>
    <n v="0"/>
    <n v="10"/>
    <x v="42"/>
    <n v="1"/>
    <n v="0.25"/>
    <n v="0"/>
    <n v="0"/>
    <n v="2"/>
    <n v="0.5"/>
  </r>
  <r>
    <s v="Theo Pinson"/>
    <x v="18"/>
    <x v="340"/>
    <n v="25"/>
    <n v="250"/>
    <n v="17"/>
    <n v="340"/>
    <n v="-5"/>
    <n v="-0.29411764705882354"/>
    <n v="1"/>
    <n v="9"/>
    <n v="0.1111111111111111"/>
    <n v="0"/>
    <n v="80"/>
    <n v="0"/>
    <n v="0"/>
    <n v="0"/>
    <e v="#DIV/0!"/>
    <n v="0"/>
    <n v="5"/>
    <n v="5"/>
    <n v="0"/>
    <n v="50"/>
    <n v="50"/>
    <n v="0.29411764705882354"/>
    <n v="1"/>
    <n v="5.8823529411764705E-2"/>
    <n v="0"/>
    <n v="0"/>
    <n v="0"/>
    <n v="0"/>
    <n v="0"/>
    <n v="0"/>
    <n v="10"/>
    <x v="307"/>
    <n v="1"/>
    <n v="5.8823529411764705E-2"/>
    <n v="4"/>
    <n v="0.23529411764705882"/>
    <n v="2"/>
    <n v="0.11764705882352941"/>
  </r>
  <r>
    <s v="Jared Harper"/>
    <x v="18"/>
    <x v="341"/>
    <n v="23"/>
    <n v="230"/>
    <n v="8"/>
    <n v="160"/>
    <n v="-3"/>
    <n v="-0.375"/>
    <n v="0"/>
    <n v="4"/>
    <n v="0"/>
    <n v="0"/>
    <n v="10"/>
    <n v="0"/>
    <n v="3"/>
    <n v="4"/>
    <n v="0.75"/>
    <n v="0"/>
    <n v="2"/>
    <n v="2"/>
    <n v="0"/>
    <n v="20"/>
    <n v="20"/>
    <n v="0.25"/>
    <n v="1"/>
    <n v="0.125"/>
    <n v="0"/>
    <n v="0"/>
    <n v="0"/>
    <n v="0"/>
    <n v="0"/>
    <n v="0"/>
    <n v="30"/>
    <x v="308"/>
    <n v="3"/>
    <n v="0.375"/>
    <n v="1"/>
    <n v="0.125"/>
    <n v="3"/>
    <n v="0.375"/>
  </r>
  <r>
    <s v="Julius Randle"/>
    <x v="19"/>
    <x v="342"/>
    <n v="27"/>
    <n v="270"/>
    <n v="72"/>
    <n v="25440"/>
    <n v="1343"/>
    <n v="18.652777777777779"/>
    <n v="512"/>
    <n v="1246"/>
    <n v="0.41091492776886035"/>
    <n v="1200"/>
    <n v="3900"/>
    <n v="0.30769230769230771"/>
    <n v="303"/>
    <n v="401"/>
    <n v="0.75561097256857856"/>
    <n v="125"/>
    <n v="591"/>
    <n v="716"/>
    <n v="1250"/>
    <n v="5910"/>
    <n v="7160"/>
    <n v="9.9444444444444446"/>
    <n v="370"/>
    <n v="5.1388888888888893"/>
    <n v="53"/>
    <n v="530"/>
    <n v="0.73611111111111116"/>
    <n v="390"/>
    <n v="39"/>
    <n v="0.54166666666666663"/>
    <n v="2450"/>
    <x v="309"/>
    <n v="245"/>
    <n v="3.4027777777777777"/>
    <n v="205"/>
    <n v="2.8472222222222223"/>
    <n v="1447"/>
    <n v="20.097222222222221"/>
  </r>
  <r>
    <s v="Mitchell Robinson"/>
    <x v="19"/>
    <x v="343"/>
    <n v="24"/>
    <n v="240"/>
    <n v="72"/>
    <n v="18480"/>
    <n v="1026"/>
    <n v="14.25"/>
    <n v="261"/>
    <n v="343"/>
    <n v="0.76093294460641403"/>
    <n v="0"/>
    <n v="0"/>
    <e v="#DIV/0!"/>
    <n v="88"/>
    <n v="181"/>
    <n v="0.48618784530386738"/>
    <n v="295"/>
    <n v="322"/>
    <n v="617"/>
    <n v="2950"/>
    <n v="3220"/>
    <n v="6170"/>
    <n v="8.5694444444444446"/>
    <n v="38"/>
    <n v="0.52777777777777779"/>
    <n v="58"/>
    <n v="580"/>
    <n v="0.80555555555555558"/>
    <n v="1330"/>
    <n v="133"/>
    <n v="1.8472222222222223"/>
    <n v="600"/>
    <x v="309"/>
    <n v="60"/>
    <n v="0.83333333333333337"/>
    <n v="195"/>
    <n v="2.7083333333333335"/>
    <n v="610"/>
    <n v="8.4722222222222214"/>
  </r>
  <r>
    <s v="RJ Barrett"/>
    <x v="19"/>
    <x v="344"/>
    <n v="22"/>
    <n v="220"/>
    <n v="70"/>
    <n v="24170"/>
    <n v="961"/>
    <n v="13.728571428571428"/>
    <n v="487"/>
    <n v="1194"/>
    <n v="0.40787269681742044"/>
    <n v="1380"/>
    <n v="4040"/>
    <n v="0.34158415841584161"/>
    <n v="290"/>
    <n v="406"/>
    <n v="0.7142857142857143"/>
    <n v="66"/>
    <n v="342"/>
    <n v="408"/>
    <n v="660"/>
    <n v="3420"/>
    <n v="4080"/>
    <n v="5.8285714285714283"/>
    <n v="208"/>
    <n v="2.9714285714285715"/>
    <n v="43"/>
    <n v="430"/>
    <n v="0.61428571428571432"/>
    <n v="160"/>
    <n v="16"/>
    <n v="0.22857142857142856"/>
    <n v="1510"/>
    <x v="310"/>
    <n v="151"/>
    <n v="2.157142857142857"/>
    <n v="142"/>
    <n v="2.0285714285714285"/>
    <n v="1402"/>
    <n v="20.028571428571428"/>
  </r>
  <r>
    <s v="Derrick Rose"/>
    <x v="19"/>
    <x v="345"/>
    <n v="33"/>
    <n v="330"/>
    <n v="26"/>
    <n v="6360"/>
    <n v="319"/>
    <n v="12.26923076923077"/>
    <n v="122"/>
    <n v="274"/>
    <n v="0.44525547445255476"/>
    <n v="370"/>
    <n v="920"/>
    <n v="0.40217391304347827"/>
    <n v="30"/>
    <n v="31"/>
    <n v="0.967741935483871"/>
    <n v="21"/>
    <n v="57"/>
    <n v="78"/>
    <n v="210"/>
    <n v="570"/>
    <n v="780"/>
    <n v="3"/>
    <n v="103"/>
    <n v="3.9615384615384617"/>
    <n v="22"/>
    <n v="220"/>
    <n v="0.84615384615384615"/>
    <n v="120"/>
    <n v="12"/>
    <n v="0.46153846153846156"/>
    <n v="390"/>
    <x v="311"/>
    <n v="39"/>
    <n v="1.5"/>
    <n v="15"/>
    <n v="0.57692307692307687"/>
    <n v="311"/>
    <n v="11.961538461538462"/>
  </r>
  <r>
    <s v="Alec Burks"/>
    <x v="19"/>
    <x v="346"/>
    <n v="30"/>
    <n v="300"/>
    <n v="81"/>
    <n v="23180"/>
    <n v="895"/>
    <n v="11.049382716049383"/>
    <n v="285"/>
    <n v="728"/>
    <n v="0.39148351648351648"/>
    <n v="1570"/>
    <n v="3890"/>
    <n v="0.40359897172236503"/>
    <n v="217"/>
    <n v="264"/>
    <n v="0.82196969696969702"/>
    <n v="47"/>
    <n v="350"/>
    <n v="397"/>
    <n v="470"/>
    <n v="3500"/>
    <n v="3970"/>
    <n v="4.9012345679012341"/>
    <n v="239"/>
    <n v="2.9506172839506171"/>
    <n v="85"/>
    <n v="850"/>
    <n v="1.0493827160493827"/>
    <n v="260"/>
    <n v="26"/>
    <n v="0.32098765432098764"/>
    <n v="910"/>
    <x v="312"/>
    <n v="91"/>
    <n v="1.1234567901234569"/>
    <n v="215"/>
    <n v="2.6543209876543208"/>
    <n v="944"/>
    <n v="11.654320987654321"/>
  </r>
  <r>
    <s v="Kemba Walker"/>
    <x v="19"/>
    <x v="347"/>
    <n v="32"/>
    <n v="320"/>
    <n v="37"/>
    <n v="9480"/>
    <n v="389"/>
    <n v="10.513513513513514"/>
    <n v="149"/>
    <n v="370"/>
    <n v="403"/>
    <n v="730"/>
    <n v="1990"/>
    <n v="0.36683417085427134"/>
    <n v="60"/>
    <n v="71"/>
    <n v="0.84507042253521125"/>
    <n v="14"/>
    <n v="97"/>
    <n v="111"/>
    <n v="140"/>
    <n v="970"/>
    <n v="1110"/>
    <n v="3"/>
    <n v="131"/>
    <n v="3.5405405405405403"/>
    <n v="26"/>
    <n v="260"/>
    <n v="0.70270270270270274"/>
    <n v="70"/>
    <n v="7"/>
    <n v="0.1891891891891892"/>
    <n v="480"/>
    <x v="313"/>
    <n v="48"/>
    <n v="1.2972972972972974"/>
    <n v="37"/>
    <n v="1"/>
    <n v="431"/>
    <n v="11.648648648648649"/>
  </r>
  <r>
    <s v="Immanuel Quickley"/>
    <x v="19"/>
    <x v="348"/>
    <n v="23"/>
    <n v="230"/>
    <n v="78"/>
    <n v="18020"/>
    <n v="731"/>
    <n v="9.3717948717948723"/>
    <n v="284"/>
    <n v="724"/>
    <n v="0.39226519337016574"/>
    <n v="1370"/>
    <n v="3960"/>
    <n v="0.34595959595959597"/>
    <n v="177"/>
    <n v="201"/>
    <n v="0.88059701492537312"/>
    <n v="31"/>
    <n v="216"/>
    <n v="247"/>
    <n v="310"/>
    <n v="2160"/>
    <n v="2470"/>
    <n v="3.1666666666666665"/>
    <n v="275"/>
    <n v="3.5256410256410255"/>
    <n v="54"/>
    <n v="540"/>
    <n v="0.69230769230769229"/>
    <n v="30"/>
    <n v="3"/>
    <n v="3.8461538461538464E-2"/>
    <n v="990"/>
    <x v="314"/>
    <n v="99"/>
    <n v="1.2692307692307692"/>
    <n v="167"/>
    <n v="2.141025641025641"/>
    <n v="882"/>
    <n v="11.307692307692308"/>
  </r>
  <r>
    <s v="Evan Fournier"/>
    <x v="19"/>
    <x v="349"/>
    <n v="29"/>
    <n v="290"/>
    <n v="80"/>
    <n v="23580"/>
    <n v="724"/>
    <n v="9.0500000000000007"/>
    <n v="402"/>
    <n v="965"/>
    <n v="0.41658031088082903"/>
    <n v="2410"/>
    <n v="6190"/>
    <n v="0.38933764135702748"/>
    <n v="80"/>
    <n v="113"/>
    <n v="0.70796460176991149"/>
    <n v="34"/>
    <n v="176"/>
    <n v="210"/>
    <n v="340"/>
    <n v="1760"/>
    <n v="2100"/>
    <n v="2.625"/>
    <n v="171"/>
    <n v="2.1375000000000002"/>
    <n v="79"/>
    <n v="790"/>
    <n v="0.98750000000000004"/>
    <n v="200"/>
    <n v="20"/>
    <n v="0.25"/>
    <n v="1050"/>
    <x v="315"/>
    <n v="105"/>
    <n v="1.3125"/>
    <n v="180"/>
    <n v="2.25"/>
    <n v="1125"/>
    <n v="14.0625"/>
  </r>
  <r>
    <s v="Obi Toppin"/>
    <x v="19"/>
    <x v="350"/>
    <n v="24"/>
    <n v="240"/>
    <n v="72"/>
    <n v="12300"/>
    <n v="641"/>
    <n v="8.9027777777777786"/>
    <n v="251"/>
    <n v="473"/>
    <n v="531"/>
    <n v="520"/>
    <n v="1690"/>
    <n v="0.30769230769230771"/>
    <n v="94"/>
    <n v="124"/>
    <n v="0.75806451612903225"/>
    <n v="69"/>
    <n v="199"/>
    <n v="268"/>
    <n v="690"/>
    <n v="1990"/>
    <n v="2680"/>
    <n v="3.7222222222222223"/>
    <n v="77"/>
    <n v="1.0694444444444444"/>
    <n v="25"/>
    <n v="250"/>
    <n v="0.34722222222222221"/>
    <n v="330"/>
    <n v="33"/>
    <n v="0.45833333333333331"/>
    <n v="560"/>
    <x v="316"/>
    <n v="56"/>
    <n v="0.77777777777777779"/>
    <n v="102"/>
    <n v="1.4166666666666667"/>
    <n v="648"/>
    <n v="9"/>
  </r>
  <r>
    <s v="Nerlens Noel"/>
    <x v="19"/>
    <x v="351"/>
    <n v="28"/>
    <n v="280"/>
    <n v="25"/>
    <n v="5620"/>
    <n v="186"/>
    <n v="7.44"/>
    <n v="32"/>
    <n v="60"/>
    <n v="0.53333333333333333"/>
    <n v="0"/>
    <n v="30"/>
    <n v="0"/>
    <n v="21"/>
    <n v="30"/>
    <n v="0.7"/>
    <n v="48"/>
    <n v="93"/>
    <n v="141"/>
    <n v="480"/>
    <n v="930"/>
    <n v="1410"/>
    <n v="5.64"/>
    <n v="23"/>
    <n v="0.92"/>
    <n v="30"/>
    <n v="300"/>
    <n v="1.2"/>
    <n v="310"/>
    <n v="31"/>
    <n v="1.24"/>
    <n v="200"/>
    <x v="317"/>
    <n v="20"/>
    <n v="0.8"/>
    <n v="67"/>
    <n v="2.68"/>
    <n v="85"/>
    <n v="3.4"/>
  </r>
  <r>
    <s v="Taj Gibson"/>
    <x v="19"/>
    <x v="352"/>
    <n v="37"/>
    <n v="370"/>
    <n v="52"/>
    <n v="9460"/>
    <n v="298"/>
    <n v="5.7307692307692308"/>
    <n v="86"/>
    <n v="166"/>
    <n v="518"/>
    <n v="150"/>
    <n v="380"/>
    <n v="0.39473684210526316"/>
    <n v="42"/>
    <n v="52"/>
    <n v="0.80769230769230771"/>
    <n v="88"/>
    <n v="141"/>
    <n v="229"/>
    <n v="880"/>
    <n v="1410"/>
    <n v="2290"/>
    <n v="4.4038461538461542"/>
    <n v="32"/>
    <n v="0.61538461538461542"/>
    <n v="22"/>
    <n v="220"/>
    <n v="0.42307692307692307"/>
    <n v="400"/>
    <n v="40"/>
    <n v="0.76923076923076927"/>
    <n v="270"/>
    <x v="318"/>
    <n v="27"/>
    <n v="0.51923076923076927"/>
    <n v="137"/>
    <n v="2.6346153846153846"/>
    <n v="229"/>
    <n v="4.4038461538461542"/>
  </r>
  <r>
    <s v="Jericho Sims"/>
    <x v="19"/>
    <x v="353"/>
    <n v="23"/>
    <n v="230"/>
    <n v="41"/>
    <n v="5550"/>
    <n v="195"/>
    <n v="4.7560975609756095"/>
    <n v="39"/>
    <n v="54"/>
    <n v="0.72222222222222221"/>
    <n v="0"/>
    <n v="0"/>
    <e v="#DIV/0!"/>
    <n v="12"/>
    <n v="29"/>
    <n v="0.41379310344827586"/>
    <n v="61"/>
    <n v="108"/>
    <n v="169"/>
    <n v="610"/>
    <n v="1080"/>
    <n v="1690"/>
    <n v="4.1219512195121952"/>
    <n v="21"/>
    <n v="0.51219512195121952"/>
    <n v="11"/>
    <n v="110"/>
    <n v="0.26829268292682928"/>
    <n v="220"/>
    <n v="22"/>
    <n v="0.53658536585365857"/>
    <n v="200"/>
    <x v="319"/>
    <n v="20"/>
    <n v="0.48780487804878048"/>
    <n v="66"/>
    <n v="1.6097560975609757"/>
    <n v="90"/>
    <n v="2.1951219512195124"/>
  </r>
  <r>
    <s v="Cam Reddish"/>
    <x v="19"/>
    <x v="354"/>
    <n v="22"/>
    <n v="220"/>
    <n v="15"/>
    <n v="2160"/>
    <n v="69"/>
    <n v="4.5999999999999996"/>
    <n v="27"/>
    <n v="65"/>
    <n v="415"/>
    <n v="80"/>
    <n v="310"/>
    <n v="0.25806451612903225"/>
    <n v="29"/>
    <n v="32"/>
    <n v="0.90625"/>
    <n v="5"/>
    <n v="16"/>
    <n v="21"/>
    <n v="50"/>
    <n v="160"/>
    <n v="210"/>
    <n v="1.4"/>
    <n v="10"/>
    <n v="0.66666666666666663"/>
    <n v="12"/>
    <n v="120"/>
    <n v="0.8"/>
    <n v="40"/>
    <n v="4"/>
    <n v="0.26666666666666666"/>
    <n v="130"/>
    <x v="320"/>
    <n v="13"/>
    <n v="0.8666666666666667"/>
    <n v="15"/>
    <n v="1"/>
    <n v="91"/>
    <n v="6.0666666666666664"/>
  </r>
  <r>
    <s v="Quentin Grimes"/>
    <x v="19"/>
    <x v="355"/>
    <n v="22"/>
    <n v="220"/>
    <n v="46"/>
    <n v="7860"/>
    <n v="209"/>
    <n v="4.5434782608695654"/>
    <n v="95"/>
    <n v="235"/>
    <n v="0.40425531914893614"/>
    <n v="720"/>
    <n v="1890"/>
    <n v="0.38095238095238093"/>
    <n v="13"/>
    <n v="19"/>
    <n v="0.68421052631578949"/>
    <n v="24"/>
    <n v="70"/>
    <n v="94"/>
    <n v="240"/>
    <n v="700"/>
    <n v="940"/>
    <n v="2.0434782608695654"/>
    <n v="44"/>
    <n v="0.95652173913043481"/>
    <n v="31"/>
    <n v="310"/>
    <n v="0.67391304347826086"/>
    <n v="110"/>
    <n v="11"/>
    <n v="0.2391304347826087"/>
    <n v="280"/>
    <x v="321"/>
    <n v="28"/>
    <n v="0.60869565217391308"/>
    <n v="72"/>
    <n v="1.5652173913043479"/>
    <n v="275"/>
    <n v="5.9782608695652177"/>
  </r>
  <r>
    <s v="Kevin Knox II"/>
    <x v="19"/>
    <x v="356"/>
    <n v="22"/>
    <n v="220"/>
    <n v="13"/>
    <n v="1110"/>
    <n v="37"/>
    <n v="2.8461538461538463"/>
    <n v="15"/>
    <n v="40"/>
    <n v="0.375"/>
    <n v="100"/>
    <n v="280"/>
    <n v="0.35714285714285715"/>
    <n v="7"/>
    <n v="10"/>
    <n v="0.7"/>
    <n v="8"/>
    <n v="14"/>
    <n v="22"/>
    <n v="80"/>
    <n v="140"/>
    <n v="220"/>
    <n v="1.6923076923076923"/>
    <n v="3"/>
    <n v="0.23076923076923078"/>
    <n v="2"/>
    <n v="20"/>
    <n v="0.15384615384615385"/>
    <n v="10"/>
    <n v="1"/>
    <n v="7.6923076923076927E-2"/>
    <n v="50"/>
    <x v="322"/>
    <n v="5"/>
    <n v="0.38461538461538464"/>
    <n v="5"/>
    <n v="0.38461538461538464"/>
    <n v="47"/>
    <n v="3.6153846153846154"/>
  </r>
  <r>
    <s v="Damyean Dotson"/>
    <x v="19"/>
    <x v="357"/>
    <n v="28"/>
    <n v="280"/>
    <n v="2"/>
    <n v="210"/>
    <n v="5"/>
    <n v="2.5"/>
    <n v="2"/>
    <n v="4"/>
    <n v="0.5"/>
    <n v="0"/>
    <n v="10"/>
    <n v="0"/>
    <n v="0"/>
    <n v="0"/>
    <e v="#DIV/0!"/>
    <n v="0"/>
    <n v="2"/>
    <n v="2"/>
    <n v="0"/>
    <n v="20"/>
    <n v="20"/>
    <n v="1"/>
    <n v="1"/>
    <n v="0.5"/>
    <n v="0"/>
    <n v="0"/>
    <n v="0"/>
    <n v="0"/>
    <n v="0"/>
    <n v="0"/>
    <n v="0"/>
    <x v="28"/>
    <n v="0"/>
    <n v="0"/>
    <n v="0"/>
    <n v="0"/>
    <n v="4"/>
    <n v="2"/>
  </r>
  <r>
    <s v="Ryan Arcidiacono"/>
    <x v="19"/>
    <x v="358"/>
    <n v="28"/>
    <n v="280"/>
    <n v="10"/>
    <n v="760"/>
    <n v="15"/>
    <n v="1.5"/>
    <n v="6"/>
    <n v="12"/>
    <n v="0.5"/>
    <n v="40"/>
    <n v="90"/>
    <n v="0.44444444444444442"/>
    <n v="0"/>
    <n v="0"/>
    <e v="#DIV/0!"/>
    <n v="0"/>
    <n v="8"/>
    <n v="8"/>
    <n v="0"/>
    <n v="80"/>
    <n v="80"/>
    <n v="0.8"/>
    <n v="4"/>
    <n v="0.4"/>
    <n v="1"/>
    <n v="10"/>
    <n v="0.1"/>
    <n v="0"/>
    <n v="0"/>
    <n v="0"/>
    <n v="30"/>
    <x v="323"/>
    <n v="3"/>
    <n v="0.3"/>
    <n v="5"/>
    <n v="0.5"/>
    <n v="16"/>
    <n v="1.6"/>
  </r>
  <r>
    <s v="Miles McBride"/>
    <x v="19"/>
    <x v="359"/>
    <n v="21"/>
    <n v="210"/>
    <n v="40"/>
    <n v="3720"/>
    <n v="57"/>
    <n v="1.425"/>
    <n v="32"/>
    <n v="108"/>
    <n v="0.29629629629629628"/>
    <n v="170"/>
    <n v="680"/>
    <n v="0.25"/>
    <n v="8"/>
    <n v="12"/>
    <n v="0.66666666666666663"/>
    <n v="4"/>
    <n v="38"/>
    <n v="42"/>
    <n v="40"/>
    <n v="380"/>
    <n v="420"/>
    <n v="1.05"/>
    <n v="41"/>
    <n v="1.0249999999999999"/>
    <n v="14"/>
    <n v="140"/>
    <n v="0.35"/>
    <n v="10"/>
    <n v="1"/>
    <n v="2.5000000000000001E-2"/>
    <n v="50"/>
    <x v="324"/>
    <n v="5"/>
    <n v="0.125"/>
    <n v="45"/>
    <n v="1.125"/>
    <n v="89"/>
    <n v="2.2250000000000001"/>
  </r>
  <r>
    <s v="Wayne Selden"/>
    <x v="19"/>
    <x v="360"/>
    <n v="27"/>
    <n v="270"/>
    <n v="3"/>
    <n v="190"/>
    <n v="1"/>
    <n v="0.33333333333333331"/>
    <n v="1"/>
    <n v="4"/>
    <n v="0.25"/>
    <n v="10"/>
    <n v="20"/>
    <n v="0.5"/>
    <n v="2"/>
    <n v="4"/>
    <n v="0.5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x v="64"/>
    <n v="0"/>
    <n v="0"/>
    <n v="1"/>
    <n v="0.33333333333333331"/>
    <n v="5"/>
    <n v="1.6666666666666667"/>
  </r>
  <r>
    <s v="Tyler Hall"/>
    <x v="19"/>
    <x v="361"/>
    <n v="25"/>
    <n v="250"/>
    <n v="1"/>
    <n v="20"/>
    <n v="0"/>
    <n v="0"/>
    <n v="0"/>
    <n v="0"/>
    <e v="#DIV/0!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Feron Hunt"/>
    <x v="19"/>
    <x v="362"/>
    <n v="22"/>
    <n v="220"/>
    <n v="2"/>
    <n v="80"/>
    <n v="-1"/>
    <n v="-0.5"/>
    <n v="0"/>
    <n v="2"/>
    <n v="0"/>
    <n v="0"/>
    <n v="0"/>
    <e v="#DIV/0!"/>
    <n v="0"/>
    <n v="0"/>
    <e v="#DIV/0!"/>
    <n v="1"/>
    <n v="0"/>
    <n v="1"/>
    <n v="10"/>
    <n v="0"/>
    <n v="10"/>
    <n v="0.5"/>
    <n v="1"/>
    <n v="0.5"/>
    <n v="1"/>
    <n v="10"/>
    <n v="0.5"/>
    <n v="0"/>
    <n v="0"/>
    <n v="0"/>
    <n v="10"/>
    <x v="28"/>
    <n v="1"/>
    <n v="0.5"/>
    <n v="1"/>
    <n v="0.5"/>
    <n v="0"/>
    <n v="0"/>
  </r>
  <r>
    <s v="Matt Mooney"/>
    <x v="19"/>
    <x v="363"/>
    <n v="27"/>
    <n v="270"/>
    <n v="1"/>
    <n v="20"/>
    <n v="-1"/>
    <n v="-1"/>
    <n v="0"/>
    <n v="1"/>
    <n v="0"/>
    <n v="0"/>
    <n v="10"/>
    <n v="0"/>
    <n v="0"/>
    <n v="0"/>
    <e v="#DIV/0!"/>
    <n v="0"/>
    <n v="0"/>
    <n v="0"/>
    <n v="0"/>
    <n v="0"/>
    <n v="0"/>
    <n v="0"/>
    <n v="0"/>
    <n v="0"/>
    <n v="1"/>
    <n v="10"/>
    <n v="1"/>
    <n v="0"/>
    <n v="0"/>
    <n v="0"/>
    <n v="10"/>
    <x v="28"/>
    <n v="1"/>
    <n v="1"/>
    <n v="0"/>
    <n v="0"/>
    <n v="0"/>
    <n v="0"/>
  </r>
  <r>
    <s v="Danuel House Jr."/>
    <x v="19"/>
    <x v="364"/>
    <n v="29"/>
    <n v="290"/>
    <n v="1"/>
    <n v="30"/>
    <n v="-1"/>
    <n v="-1"/>
    <n v="0"/>
    <n v="1"/>
    <n v="0"/>
    <n v="0"/>
    <n v="10"/>
    <n v="0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Julius Randle"/>
    <x v="20"/>
    <x v="365"/>
    <n v="28"/>
    <n v="280"/>
    <n v="77"/>
    <n v="27370"/>
    <n v="1737"/>
    <n v="22.558441558441558"/>
    <n v="658"/>
    <n v="1432"/>
    <n v="0.45949720670391059"/>
    <n v="2180"/>
    <n v="6360"/>
    <n v="0.34276729559748426"/>
    <n v="402"/>
    <n v="531"/>
    <n v="0.75706214689265539"/>
    <n v="141"/>
    <n v="626"/>
    <n v="767"/>
    <n v="1410"/>
    <n v="6260"/>
    <n v="7670"/>
    <n v="9.9610389610389607"/>
    <n v="316"/>
    <n v="4.1038961038961039"/>
    <n v="49"/>
    <n v="490"/>
    <n v="0.63636363636363635"/>
    <n v="210"/>
    <n v="21"/>
    <n v="0.27272727272727271"/>
    <n v="2160"/>
    <x v="325"/>
    <n v="216"/>
    <n v="2.8051948051948052"/>
    <n v="233"/>
    <n v="3.0259740259740258"/>
    <n v="1936"/>
    <n v="25.142857142857142"/>
  </r>
  <r>
    <s v="Jalen Brunson"/>
    <x v="20"/>
    <x v="366"/>
    <n v="26"/>
    <n v="260"/>
    <n v="68"/>
    <n v="23790"/>
    <n v="1402"/>
    <n v="20.617647058823529"/>
    <n v="587"/>
    <n v="1195"/>
    <n v="0.49121338912133894"/>
    <n v="1340"/>
    <n v="3220"/>
    <n v="0.41614906832298137"/>
    <n v="325"/>
    <n v="392"/>
    <n v="0.82908163265306123"/>
    <n v="40"/>
    <n v="201"/>
    <n v="241"/>
    <n v="400"/>
    <n v="2010"/>
    <n v="2410"/>
    <n v="3.5441176470588234"/>
    <n v="421"/>
    <n v="6.1911764705882355"/>
    <n v="61"/>
    <n v="610"/>
    <n v="0.8970588235294118"/>
    <n v="150"/>
    <n v="15"/>
    <n v="0.22058823529411764"/>
    <n v="1420"/>
    <x v="326"/>
    <n v="142"/>
    <n v="2.0882352941176472"/>
    <n v="152"/>
    <n v="2.2352941176470589"/>
    <n v="1633"/>
    <n v="24.014705882352942"/>
  </r>
  <r>
    <s v="Josh Hart"/>
    <x v="20"/>
    <x v="367"/>
    <n v="28"/>
    <n v="280"/>
    <n v="25"/>
    <n v="7500"/>
    <n v="391"/>
    <n v="15.64"/>
    <n v="92"/>
    <n v="157"/>
    <n v="0.5859872611464968"/>
    <n v="270"/>
    <n v="520"/>
    <n v="0.51923076923076927"/>
    <n v="45"/>
    <n v="57"/>
    <n v="0.78947368421052633"/>
    <n v="47"/>
    <n v="129"/>
    <n v="176"/>
    <n v="470"/>
    <n v="1290"/>
    <n v="1760"/>
    <n v="7.04"/>
    <n v="90"/>
    <n v="3.6"/>
    <n v="34"/>
    <n v="340"/>
    <n v="1.36"/>
    <n v="120"/>
    <n v="12"/>
    <n v="0.48"/>
    <n v="380"/>
    <x v="327"/>
    <n v="38"/>
    <n v="1.52"/>
    <n v="62"/>
    <n v="2.48"/>
    <n v="256"/>
    <n v="10.24"/>
  </r>
  <r>
    <s v="Mitchell Robinson"/>
    <x v="20"/>
    <x v="368"/>
    <n v="25"/>
    <n v="250"/>
    <n v="59"/>
    <n v="15890"/>
    <n v="852"/>
    <n v="14.440677966101696"/>
    <n v="188"/>
    <n v="280"/>
    <n v="0.67142857142857137"/>
    <n v="0"/>
    <n v="0"/>
    <e v="#DIV/0!"/>
    <n v="59"/>
    <n v="122"/>
    <n v="0.48360655737704916"/>
    <n v="267"/>
    <n v="288"/>
    <n v="555"/>
    <n v="2670"/>
    <n v="2880"/>
    <n v="5550"/>
    <n v="9.4067796610169498"/>
    <n v="53"/>
    <n v="0.89830508474576276"/>
    <n v="56"/>
    <n v="560"/>
    <n v="0.94915254237288138"/>
    <n v="1090"/>
    <n v="109"/>
    <n v="1.847457627118644"/>
    <n v="410"/>
    <x v="328"/>
    <n v="41"/>
    <n v="0.69491525423728817"/>
    <n v="160"/>
    <n v="2.7118644067796609"/>
    <n v="435"/>
    <n v="7.3728813559322033"/>
  </r>
  <r>
    <s v="Immanuel Quickley"/>
    <x v="20"/>
    <x v="369"/>
    <n v="24"/>
    <n v="240"/>
    <n v="81"/>
    <n v="23440"/>
    <n v="1091"/>
    <n v="13.469135802469136"/>
    <n v="419"/>
    <n v="936"/>
    <n v="0.44764957264957267"/>
    <n v="1680"/>
    <n v="4540"/>
    <n v="0.37004405286343611"/>
    <n v="203"/>
    <n v="248"/>
    <n v="0.81854838709677424"/>
    <n v="58"/>
    <n v="279"/>
    <n v="337"/>
    <n v="580"/>
    <n v="2790"/>
    <n v="3370"/>
    <n v="4.1604938271604937"/>
    <n v="279"/>
    <n v="3.4444444444444446"/>
    <n v="80"/>
    <n v="800"/>
    <n v="0.98765432098765427"/>
    <n v="140"/>
    <n v="14"/>
    <n v="0.1728395061728395"/>
    <n v="1000"/>
    <x v="329"/>
    <n v="100"/>
    <n v="1.2345679012345678"/>
    <n v="166"/>
    <n v="2.0493827160493829"/>
    <n v="1209"/>
    <n v="14.925925925925926"/>
  </r>
  <r>
    <s v="RJ Barrett"/>
    <x v="20"/>
    <x v="370"/>
    <n v="23"/>
    <n v="230"/>
    <n v="73"/>
    <n v="24760"/>
    <n v="935"/>
    <n v="12.808219178082192"/>
    <n v="510"/>
    <n v="1176"/>
    <n v="0.43367346938775508"/>
    <n v="1210"/>
    <n v="3900"/>
    <n v="0.31025641025641026"/>
    <n v="290"/>
    <n v="392"/>
    <n v="0.73979591836734693"/>
    <n v="60"/>
    <n v="308"/>
    <n v="368"/>
    <n v="600"/>
    <n v="3080"/>
    <n v="3680"/>
    <n v="5.0410958904109586"/>
    <n v="201"/>
    <n v="2.7534246575342465"/>
    <n v="31"/>
    <n v="310"/>
    <n v="0.42465753424657532"/>
    <n v="150"/>
    <n v="15"/>
    <n v="0.20547945205479451"/>
    <n v="1640"/>
    <x v="330"/>
    <n v="164"/>
    <n v="2.2465753424657535"/>
    <n v="179"/>
    <n v="2.452054794520548"/>
    <n v="1431"/>
    <n v="19.602739726027398"/>
  </r>
  <r>
    <s v="Quentin Grimes"/>
    <x v="20"/>
    <x v="371"/>
    <n v="23"/>
    <n v="230"/>
    <n v="71"/>
    <n v="21210"/>
    <n v="665"/>
    <n v="9.3661971830985919"/>
    <n v="282"/>
    <n v="602"/>
    <n v="0.46843853820598008"/>
    <n v="1570"/>
    <n v="4070"/>
    <n v="0.38574938574938578"/>
    <n v="78"/>
    <n v="98"/>
    <n v="0.79591836734693877"/>
    <n v="49"/>
    <n v="180"/>
    <n v="229"/>
    <n v="490"/>
    <n v="1800"/>
    <n v="2290"/>
    <n v="3.2253521126760565"/>
    <n v="150"/>
    <n v="2.112676056338028"/>
    <n v="47"/>
    <n v="470"/>
    <n v="0.6619718309859155"/>
    <n v="260"/>
    <n v="26"/>
    <n v="0.36619718309859156"/>
    <n v="690"/>
    <x v="331"/>
    <n v="69"/>
    <n v="0.971830985915493"/>
    <n v="177"/>
    <n v="2.492957746478873"/>
    <n v="799"/>
    <n v="11.253521126760564"/>
  </r>
  <r>
    <s v="Isaiah Hartenstein"/>
    <x v="20"/>
    <x v="372"/>
    <n v="25"/>
    <n v="250"/>
    <n v="82"/>
    <n v="16280"/>
    <n v="707"/>
    <n v="8.6219512195121943"/>
    <n v="175"/>
    <n v="327"/>
    <n v="0.53516819571865448"/>
    <n v="80"/>
    <n v="370"/>
    <n v="0.21621621621621623"/>
    <n v="48"/>
    <n v="71"/>
    <n v="0.676056338028169"/>
    <n v="209"/>
    <n v="327"/>
    <n v="536"/>
    <n v="2090"/>
    <n v="3270"/>
    <n v="5360"/>
    <n v="6.5365853658536581"/>
    <n v="102"/>
    <n v="1.2439024390243902"/>
    <n v="53"/>
    <n v="530"/>
    <n v="0.64634146341463417"/>
    <n v="640"/>
    <n v="64"/>
    <n v="0.78048780487804881"/>
    <n v="660"/>
    <x v="332"/>
    <n v="66"/>
    <n v="0.80487804878048785"/>
    <n v="213"/>
    <n v="2.5975609756097562"/>
    <n v="406"/>
    <n v="4.9512195121951219"/>
  </r>
  <r>
    <s v="Obi Toppin"/>
    <x v="20"/>
    <x v="373"/>
    <n v="25"/>
    <n v="250"/>
    <n v="67"/>
    <n v="10510"/>
    <n v="438"/>
    <n v="6.5373134328358207"/>
    <n v="187"/>
    <n v="419"/>
    <n v="446"/>
    <n v="850"/>
    <n v="2470"/>
    <n v="0.34412955465587042"/>
    <n v="38"/>
    <n v="47"/>
    <n v="0.80851063829787229"/>
    <n v="29"/>
    <n v="158"/>
    <n v="187"/>
    <n v="290"/>
    <n v="1580"/>
    <n v="1870"/>
    <n v="2.7910447761194028"/>
    <n v="66"/>
    <n v="0.9850746268656716"/>
    <n v="23"/>
    <n v="230"/>
    <n v="0.34328358208955223"/>
    <n v="120"/>
    <n v="12"/>
    <n v="0.17910447761194029"/>
    <n v="380"/>
    <x v="333"/>
    <n v="38"/>
    <n v="0.56716417910447758"/>
    <n v="68"/>
    <n v="1.0149253731343284"/>
    <n v="497"/>
    <n v="7.4179104477611943"/>
  </r>
  <r>
    <s v="Jericho Sims"/>
    <x v="20"/>
    <x v="374"/>
    <n v="24"/>
    <n v="240"/>
    <n v="52"/>
    <n v="8120"/>
    <n v="337"/>
    <n v="6.4807692307692308"/>
    <n v="83"/>
    <n v="107"/>
    <n v="0.77570093457943923"/>
    <n v="0"/>
    <n v="10"/>
    <n v="0"/>
    <n v="12"/>
    <n v="16"/>
    <n v="0.75"/>
    <n v="99"/>
    <n v="143"/>
    <n v="242"/>
    <n v="990"/>
    <n v="1430"/>
    <n v="2420"/>
    <n v="4.6538461538461542"/>
    <n v="25"/>
    <n v="0.48076923076923078"/>
    <n v="15"/>
    <n v="150"/>
    <n v="0.28846153846153844"/>
    <n v="280"/>
    <n v="28"/>
    <n v="0.53846153846153844"/>
    <n v="270"/>
    <x v="334"/>
    <n v="27"/>
    <n v="0.51923076923076927"/>
    <n v="96"/>
    <n v="1.8461538461538463"/>
    <n v="178"/>
    <n v="3.4230769230769229"/>
  </r>
  <r>
    <s v="Cam Reddish"/>
    <x v="20"/>
    <x v="375"/>
    <n v="23"/>
    <n v="230"/>
    <n v="20"/>
    <n v="4380"/>
    <n v="116"/>
    <n v="5.8"/>
    <n v="61"/>
    <n v="136"/>
    <n v="449"/>
    <n v="170"/>
    <n v="560"/>
    <n v="0.30357142857142855"/>
    <n v="29"/>
    <n v="33"/>
    <n v="0.87878787878787878"/>
    <n v="7"/>
    <n v="24"/>
    <n v="31"/>
    <n v="70"/>
    <n v="240"/>
    <n v="310"/>
    <n v="1.55"/>
    <n v="20"/>
    <n v="1"/>
    <n v="15"/>
    <n v="150"/>
    <n v="0.75"/>
    <n v="80"/>
    <n v="8"/>
    <n v="0.4"/>
    <n v="150"/>
    <x v="335"/>
    <n v="15"/>
    <n v="0.75"/>
    <n v="32"/>
    <n v="1.6"/>
    <n v="168"/>
    <n v="8.4"/>
  </r>
  <r>
    <s v="Derrick Rose"/>
    <x v="20"/>
    <x v="376"/>
    <n v="34"/>
    <n v="340"/>
    <n v="27"/>
    <n v="3380"/>
    <n v="111"/>
    <n v="4.1111111111111107"/>
    <n v="61"/>
    <n v="159"/>
    <n v="0.38364779874213839"/>
    <n v="190"/>
    <n v="630"/>
    <n v="0.30158730158730157"/>
    <n v="11"/>
    <n v="12"/>
    <n v="0.91666666666666663"/>
    <n v="8"/>
    <n v="32"/>
    <n v="40"/>
    <n v="80"/>
    <n v="320"/>
    <n v="400"/>
    <n v="1.4814814814814814"/>
    <n v="46"/>
    <n v="1.7037037037037037"/>
    <n v="7"/>
    <n v="70"/>
    <n v="0.25925925925925924"/>
    <n v="50"/>
    <n v="5"/>
    <n v="0.18518518518518517"/>
    <n v="220"/>
    <x v="336"/>
    <n v="22"/>
    <n v="0.81481481481481477"/>
    <n v="18"/>
    <n v="0.66666666666666663"/>
    <n v="152"/>
    <n v="5.6296296296296298"/>
  </r>
  <r>
    <s v="Evan Fournier"/>
    <x v="20"/>
    <x v="377"/>
    <n v="30"/>
    <n v="300"/>
    <n v="27"/>
    <n v="4590"/>
    <n v="88"/>
    <n v="3.2592592592592591"/>
    <n v="56"/>
    <n v="166"/>
    <n v="0.33734939759036142"/>
    <n v="350"/>
    <n v="1140"/>
    <n v="0.30701754385964913"/>
    <n v="18"/>
    <n v="21"/>
    <n v="0.8571428571428571"/>
    <n v="4"/>
    <n v="45"/>
    <n v="49"/>
    <n v="40"/>
    <n v="450"/>
    <n v="490"/>
    <n v="1.8148148148148149"/>
    <n v="36"/>
    <n v="1.3333333333333333"/>
    <n v="16"/>
    <n v="160"/>
    <n v="0.59259259259259256"/>
    <n v="30"/>
    <n v="3"/>
    <n v="0.1111111111111111"/>
    <n v="220"/>
    <x v="337"/>
    <n v="22"/>
    <n v="0.81481481481481477"/>
    <n v="46"/>
    <n v="1.7037037037037037"/>
    <n v="165"/>
    <n v="6.1111111111111107"/>
  </r>
  <r>
    <s v="Miles McBride"/>
    <x v="20"/>
    <x v="378"/>
    <n v="22"/>
    <n v="220"/>
    <n v="64"/>
    <n v="7600"/>
    <n v="152"/>
    <n v="2.375"/>
    <n v="77"/>
    <n v="215"/>
    <n v="0.35813953488372091"/>
    <n v="400"/>
    <n v="1340"/>
    <n v="0.29850746268656714"/>
    <n v="28"/>
    <n v="42"/>
    <n v="0.66666666666666663"/>
    <n v="13"/>
    <n v="37"/>
    <n v="50"/>
    <n v="130"/>
    <n v="370"/>
    <n v="500"/>
    <n v="0.78125"/>
    <n v="72"/>
    <n v="1.125"/>
    <n v="37"/>
    <n v="370"/>
    <n v="0.578125"/>
    <n v="80"/>
    <n v="8"/>
    <n v="0.125"/>
    <n v="250"/>
    <x v="338"/>
    <n v="25"/>
    <n v="0.390625"/>
    <n v="60"/>
    <n v="0.9375"/>
    <n v="222"/>
    <n v="3.46875"/>
  </r>
  <r>
    <s v="Svi Mykhailiuk"/>
    <x v="20"/>
    <x v="379"/>
    <n v="26"/>
    <n v="260"/>
    <n v="13"/>
    <n v="400"/>
    <n v="19"/>
    <n v="1.4615384615384615"/>
    <n v="6"/>
    <n v="12"/>
    <n v="0.5"/>
    <n v="60"/>
    <n v="100"/>
    <n v="0.6"/>
    <n v="3"/>
    <n v="5"/>
    <n v="0.6"/>
    <n v="0"/>
    <n v="7"/>
    <n v="7"/>
    <n v="0"/>
    <n v="70"/>
    <n v="70"/>
    <n v="0.53846153846153844"/>
    <n v="1"/>
    <n v="7.6923076923076927E-2"/>
    <n v="1"/>
    <n v="10"/>
    <n v="7.6923076923076927E-2"/>
    <n v="0"/>
    <n v="0"/>
    <n v="0"/>
    <n v="20"/>
    <x v="339"/>
    <n v="2"/>
    <n v="0.15384615384615385"/>
    <n v="1"/>
    <n v="7.6923076923076927E-2"/>
    <n v="21"/>
    <n v="1.6153846153846154"/>
  </r>
  <r>
    <s v="Trevor Keels"/>
    <x v="20"/>
    <x v="380"/>
    <n v="19"/>
    <n v="190"/>
    <n v="3"/>
    <n v="80"/>
    <n v="2"/>
    <n v="0.66666666666666663"/>
    <n v="1"/>
    <n v="4"/>
    <n v="25"/>
    <n v="10"/>
    <n v="40"/>
    <n v="0.25"/>
    <n v="0"/>
    <n v="0"/>
    <e v="#DIV/0!"/>
    <n v="0"/>
    <n v="2"/>
    <n v="2"/>
    <n v="0"/>
    <n v="20"/>
    <n v="20"/>
    <n v="0.66666666666666663"/>
    <n v="0"/>
    <n v="0"/>
    <n v="0"/>
    <n v="0"/>
    <n v="0"/>
    <n v="0"/>
    <n v="0"/>
    <n v="0"/>
    <n v="0"/>
    <x v="340"/>
    <n v="0"/>
    <n v="0"/>
    <n v="0"/>
    <n v="0"/>
    <n v="3"/>
    <n v="1"/>
  </r>
  <r>
    <s v="Ryan Arcidiacono"/>
    <x v="20"/>
    <x v="381"/>
    <n v="29"/>
    <n v="290"/>
    <n v="11"/>
    <n v="260"/>
    <n v="3"/>
    <n v="0.27272727272727271"/>
    <n v="1"/>
    <n v="5"/>
    <n v="0.2"/>
    <n v="10"/>
    <n v="30"/>
    <n v="0.33333333333333331"/>
    <n v="0"/>
    <n v="0"/>
    <e v="#DIV/0!"/>
    <n v="0"/>
    <n v="4"/>
    <n v="4"/>
    <n v="0"/>
    <n v="40"/>
    <n v="40"/>
    <n v="0.36363636363636365"/>
    <n v="2"/>
    <n v="0.18181818181818182"/>
    <n v="2"/>
    <n v="20"/>
    <n v="0.18181818181818182"/>
    <n v="0"/>
    <n v="0"/>
    <n v="0"/>
    <n v="10"/>
    <x v="341"/>
    <n v="1"/>
    <n v="9.0909090909090912E-2"/>
    <n v="3"/>
    <n v="0.27272727272727271"/>
    <n v="3"/>
    <n v="0.27272727272727271"/>
  </r>
  <r>
    <s v="Jalen Brunson"/>
    <x v="21"/>
    <x v="382"/>
    <n v="27"/>
    <n v="270"/>
    <n v="77"/>
    <n v="27260"/>
    <n v="1828"/>
    <n v="23.740259740259742"/>
    <n v="790"/>
    <n v="1648"/>
    <n v="0.47936893203883496"/>
    <n v="2110"/>
    <n v="5260"/>
    <n v="0.40114068441064638"/>
    <n v="421"/>
    <n v="497"/>
    <n v="0.84708249496981891"/>
    <n v="43"/>
    <n v="235"/>
    <n v="278"/>
    <n v="430"/>
    <n v="2350"/>
    <n v="2780"/>
    <n v="3.6103896103896105"/>
    <n v="519"/>
    <n v="6.7402597402597406"/>
    <n v="70"/>
    <n v="700"/>
    <n v="0.90909090909090906"/>
    <n v="130"/>
    <n v="13"/>
    <n v="0.16883116883116883"/>
    <n v="1860"/>
    <x v="342"/>
    <n v="186"/>
    <n v="2.4155844155844157"/>
    <n v="144"/>
    <n v="1.8701298701298701"/>
    <n v="2212"/>
    <n v="28.727272727272727"/>
  </r>
  <r>
    <s v="Julius Randle"/>
    <x v="21"/>
    <x v="383"/>
    <n v="29"/>
    <n v="290"/>
    <n v="46"/>
    <n v="16300"/>
    <n v="1000"/>
    <n v="21.739130434782609"/>
    <n v="395"/>
    <n v="836"/>
    <n v="0.47248803827751196"/>
    <n v="760"/>
    <n v="2440"/>
    <n v="0.31147540983606559"/>
    <n v="236"/>
    <n v="302"/>
    <n v="0.7814569536423841"/>
    <n v="99"/>
    <n v="324"/>
    <n v="423"/>
    <n v="990"/>
    <n v="3240"/>
    <n v="4230"/>
    <n v="9.195652173913043"/>
    <n v="229"/>
    <n v="4.9782608695652177"/>
    <n v="25"/>
    <n v="250"/>
    <n v="0.54347826086956519"/>
    <n v="120"/>
    <n v="12"/>
    <n v="0.2608695652173913"/>
    <n v="1590"/>
    <x v="213"/>
    <n v="159"/>
    <n v="3.4565217391304346"/>
    <n v="125"/>
    <n v="2.7173913043478262"/>
    <n v="1102"/>
    <n v="23.956521739130434"/>
  </r>
  <r>
    <s v="Isaiah Hartenstein"/>
    <x v="21"/>
    <x v="384"/>
    <n v="26"/>
    <n v="260"/>
    <n v="75"/>
    <n v="18960"/>
    <n v="1089"/>
    <n v="14.52"/>
    <n v="235"/>
    <n v="365"/>
    <n v="0.64383561643835618"/>
    <n v="10"/>
    <n v="30"/>
    <n v="0.33333333333333331"/>
    <n v="111"/>
    <n v="157"/>
    <n v="0.70700636942675155"/>
    <n v="244"/>
    <n v="382"/>
    <n v="626"/>
    <n v="2440"/>
    <n v="3820"/>
    <n v="6260"/>
    <n v="8.3466666666666658"/>
    <n v="188"/>
    <n v="2.5066666666666668"/>
    <n v="87"/>
    <n v="870"/>
    <n v="1.1599999999999999"/>
    <n v="850"/>
    <n v="85"/>
    <n v="1.1333333333333333"/>
    <n v="930"/>
    <x v="343"/>
    <n v="93"/>
    <n v="1.24"/>
    <n v="210"/>
    <n v="2.8"/>
    <n v="582"/>
    <n v="7.76"/>
  </r>
  <r>
    <s v="Josh Hart"/>
    <x v="21"/>
    <x v="385"/>
    <n v="29"/>
    <n v="290"/>
    <n v="81"/>
    <n v="27070"/>
    <n v="1168"/>
    <n v="14.419753086419753"/>
    <n v="295"/>
    <n v="679"/>
    <n v="0.43446244477172313"/>
    <n v="800"/>
    <n v="2580"/>
    <n v="0.31007751937984496"/>
    <n v="91"/>
    <n v="115"/>
    <n v="0.79130434782608694"/>
    <n v="128"/>
    <n v="547"/>
    <n v="675"/>
    <n v="1280"/>
    <n v="5470"/>
    <n v="6750"/>
    <n v="8.3333333333333339"/>
    <n v="331"/>
    <n v="4.0864197530864201"/>
    <n v="75"/>
    <n v="750"/>
    <n v="0.92592592592592593"/>
    <n v="230"/>
    <n v="23"/>
    <n v="0.2839506172839506"/>
    <n v="1180"/>
    <x v="344"/>
    <n v="118"/>
    <n v="1.4567901234567902"/>
    <n v="171"/>
    <n v="2.1111111111111112"/>
    <n v="761"/>
    <n v="9.3950617283950617"/>
  </r>
  <r>
    <s v="Donte DiVincenzo"/>
    <x v="21"/>
    <x v="386"/>
    <n v="27"/>
    <n v="270"/>
    <n v="81"/>
    <n v="23600"/>
    <n v="1049"/>
    <n v="12.950617283950617"/>
    <n v="445"/>
    <n v="1004"/>
    <n v="0.44322709163346613"/>
    <n v="2830"/>
    <n v="7050"/>
    <n v="0.40141843971631208"/>
    <n v="86"/>
    <n v="114"/>
    <n v="0.75438596491228072"/>
    <n v="63"/>
    <n v="234"/>
    <n v="297"/>
    <n v="630"/>
    <n v="2340"/>
    <n v="2970"/>
    <n v="3.6666666666666665"/>
    <n v="216"/>
    <n v="2.6666666666666665"/>
    <n v="107"/>
    <n v="1070"/>
    <n v="1.3209876543209877"/>
    <n v="360"/>
    <n v="36"/>
    <n v="0.44444444444444442"/>
    <n v="1130"/>
    <x v="345"/>
    <n v="113"/>
    <n v="1.3950617283950617"/>
    <n v="166"/>
    <n v="2.0493827160493829"/>
    <n v="1259"/>
    <n v="15.543209876543211"/>
  </r>
  <r>
    <s v="RJ Barrett"/>
    <x v="21"/>
    <x v="387"/>
    <n v="24"/>
    <n v="240"/>
    <n v="26"/>
    <n v="7670"/>
    <n v="332"/>
    <n v="12.76923076923077"/>
    <n v="164"/>
    <n v="388"/>
    <n v="0.42268041237113402"/>
    <n v="430"/>
    <n v="1300"/>
    <n v="0.33076923076923076"/>
    <n v="103"/>
    <n v="124"/>
    <n v="0.83064516129032262"/>
    <n v="19"/>
    <n v="92"/>
    <n v="111"/>
    <n v="190"/>
    <n v="920"/>
    <n v="1110"/>
    <n v="4.2692307692307692"/>
    <n v="63"/>
    <n v="2.4230769230769229"/>
    <n v="12"/>
    <n v="120"/>
    <n v="0.46153846153846156"/>
    <n v="90"/>
    <n v="9"/>
    <n v="0.34615384615384615"/>
    <n v="470"/>
    <x v="346"/>
    <n v="47"/>
    <n v="1.8076923076923077"/>
    <n v="45"/>
    <n v="1.7307692307692308"/>
    <n v="474"/>
    <n v="18.23076923076923"/>
  </r>
  <r>
    <s v="OG Anunoby"/>
    <x v="21"/>
    <x v="388"/>
    <n v="26"/>
    <n v="260"/>
    <n v="23"/>
    <n v="8020"/>
    <n v="290"/>
    <n v="12.608695652173912"/>
    <n v="125"/>
    <n v="256"/>
    <n v="0.48828125"/>
    <n v="410"/>
    <n v="1040"/>
    <n v="0.39423076923076922"/>
    <n v="34"/>
    <n v="43"/>
    <n v="0.79069767441860461"/>
    <n v="23"/>
    <n v="79"/>
    <n v="102"/>
    <n v="230"/>
    <n v="790"/>
    <n v="1020"/>
    <n v="4.4347826086956523"/>
    <n v="35"/>
    <n v="1.5217391304347827"/>
    <n v="40"/>
    <n v="400"/>
    <n v="1.7391304347826086"/>
    <n v="230"/>
    <n v="23"/>
    <n v="1"/>
    <n v="380"/>
    <x v="347"/>
    <n v="38"/>
    <n v="1.6521739130434783"/>
    <n v="57"/>
    <n v="2.4782608695652173"/>
    <n v="325"/>
    <n v="14.130434782608695"/>
  </r>
  <r>
    <s v="Immanuel Quickley"/>
    <x v="21"/>
    <x v="389"/>
    <n v="25"/>
    <n v="250"/>
    <n v="30"/>
    <n v="7200"/>
    <n v="350"/>
    <n v="11.666666666666666"/>
    <n v="152"/>
    <n v="335"/>
    <n v="0.45373134328358211"/>
    <n v="640"/>
    <n v="1620"/>
    <n v="0.39506172839506171"/>
    <n v="82"/>
    <n v="94"/>
    <n v="0.87234042553191493"/>
    <n v="5"/>
    <n v="72"/>
    <n v="77"/>
    <n v="50"/>
    <n v="720"/>
    <n v="770"/>
    <n v="2.5666666666666669"/>
    <n v="74"/>
    <n v="2.4666666666666668"/>
    <n v="16"/>
    <n v="160"/>
    <n v="0.53333333333333333"/>
    <n v="30"/>
    <n v="3"/>
    <n v="0.1"/>
    <n v="310"/>
    <x v="348"/>
    <n v="31"/>
    <n v="1.0333333333333334"/>
    <n v="44"/>
    <n v="1.4666666666666666"/>
    <n v="450"/>
    <n v="15"/>
  </r>
  <r>
    <s v="Mitchell Robinson"/>
    <x v="21"/>
    <x v="390"/>
    <n v="26"/>
    <n v="260"/>
    <n v="31"/>
    <n v="7680"/>
    <n v="353"/>
    <n v="11.387096774193548"/>
    <n v="73"/>
    <n v="127"/>
    <n v="0.57480314960629919"/>
    <n v="0"/>
    <n v="0"/>
    <e v="#DIV/0!"/>
    <n v="27"/>
    <n v="66"/>
    <n v="0.40909090909090912"/>
    <n v="142"/>
    <n v="121"/>
    <n v="263"/>
    <n v="1420"/>
    <n v="1210"/>
    <n v="2630"/>
    <n v="8.4838709677419359"/>
    <n v="18"/>
    <n v="0.58064516129032262"/>
    <n v="37"/>
    <n v="370"/>
    <n v="1.1935483870967742"/>
    <n v="350"/>
    <n v="35"/>
    <n v="1.1290322580645162"/>
    <n v="250"/>
    <x v="349"/>
    <n v="25"/>
    <n v="0.80645161290322576"/>
    <n v="55"/>
    <n v="1.7741935483870968"/>
    <n v="173"/>
    <n v="5.580645161290323"/>
  </r>
  <r>
    <s v="Precious Achiuwa"/>
    <x v="21"/>
    <x v="391"/>
    <n v="24"/>
    <n v="240"/>
    <n v="49"/>
    <n v="11870"/>
    <n v="538"/>
    <n v="10.979591836734693"/>
    <n v="157"/>
    <n v="299"/>
    <n v="525"/>
    <n v="130"/>
    <n v="500"/>
    <n v="0.26"/>
    <n v="45"/>
    <n v="70"/>
    <n v="0.6428571428571429"/>
    <n v="141"/>
    <n v="210"/>
    <n v="351"/>
    <n v="1410"/>
    <n v="2100"/>
    <n v="3510"/>
    <n v="7.1632653061224492"/>
    <n v="53"/>
    <n v="1.0816326530612246"/>
    <n v="30"/>
    <n v="300"/>
    <n v="0.61224489795918369"/>
    <n v="560"/>
    <n v="56"/>
    <n v="1.1428571428571428"/>
    <n v="540"/>
    <x v="350"/>
    <n v="54"/>
    <n v="1.1020408163265305"/>
    <n v="103"/>
    <n v="2.1020408163265305"/>
    <n v="372"/>
    <n v="7.591836734693878"/>
  </r>
  <r>
    <s v="Miles McBride"/>
    <x v="21"/>
    <x v="392"/>
    <n v="23"/>
    <n v="230"/>
    <n v="68"/>
    <n v="13280"/>
    <n v="439"/>
    <n v="6.4558823529411766"/>
    <n v="205"/>
    <n v="454"/>
    <n v="0.45154185022026433"/>
    <n v="1090"/>
    <n v="2660"/>
    <n v="0.40977443609022557"/>
    <n v="43"/>
    <n v="50"/>
    <n v="0.86"/>
    <n v="31"/>
    <n v="69"/>
    <n v="100"/>
    <n v="310"/>
    <n v="690"/>
    <n v="1000"/>
    <n v="1.4705882352941178"/>
    <n v="114"/>
    <n v="1.6764705882352942"/>
    <n v="50"/>
    <n v="500"/>
    <n v="0.73529411764705888"/>
    <n v="70"/>
    <n v="7"/>
    <n v="0.10294117647058823"/>
    <n v="300"/>
    <x v="351"/>
    <n v="30"/>
    <n v="0.44117647058823528"/>
    <n v="108"/>
    <n v="1.588235294117647"/>
    <n v="562"/>
    <n v="8.264705882352942"/>
  </r>
  <r>
    <s v="Bojan Bogdanovic"/>
    <x v="21"/>
    <x v="393"/>
    <n v="35"/>
    <n v="350"/>
    <n v="29"/>
    <n v="5570"/>
    <n v="164"/>
    <n v="5.6551724137931032"/>
    <n v="110"/>
    <n v="256"/>
    <n v="43"/>
    <n v="470"/>
    <n v="1270"/>
    <n v="0.37007874015748032"/>
    <n v="36"/>
    <n v="45"/>
    <n v="0.8"/>
    <n v="9"/>
    <n v="49"/>
    <n v="58"/>
    <n v="90"/>
    <n v="490"/>
    <n v="580"/>
    <n v="2"/>
    <n v="26"/>
    <n v="0.89655172413793105"/>
    <n v="7"/>
    <n v="70"/>
    <n v="0.2413793103448276"/>
    <n v="10"/>
    <n v="1"/>
    <n v="3.4482758620689655E-2"/>
    <n v="380"/>
    <x v="352"/>
    <n v="38"/>
    <n v="1.3103448275862069"/>
    <n v="38"/>
    <n v="1.3103448275862069"/>
    <n v="303"/>
    <n v="10.448275862068966"/>
  </r>
  <r>
    <s v="Quentin Grimes"/>
    <x v="21"/>
    <x v="394"/>
    <n v="24"/>
    <n v="240"/>
    <n v="45"/>
    <n v="9100"/>
    <n v="230"/>
    <n v="5.1111111111111107"/>
    <n v="113"/>
    <n v="286"/>
    <n v="0.3951048951048951"/>
    <n v="770"/>
    <n v="2120"/>
    <n v="0.3632075471698113"/>
    <n v="24"/>
    <n v="34"/>
    <n v="0.70588235294117652"/>
    <n v="14"/>
    <n v="74"/>
    <n v="88"/>
    <n v="140"/>
    <n v="740"/>
    <n v="880"/>
    <n v="1.9555555555555555"/>
    <n v="52"/>
    <n v="1.1555555555555554"/>
    <n v="30"/>
    <n v="300"/>
    <n v="0.66666666666666663"/>
    <n v="30"/>
    <n v="3"/>
    <n v="6.6666666666666666E-2"/>
    <n v="210"/>
    <x v="353"/>
    <n v="21"/>
    <n v="0.46666666666666667"/>
    <n v="66"/>
    <n v="1.4666666666666666"/>
    <n v="327"/>
    <n v="7.2666666666666666"/>
  </r>
  <r>
    <s v="Jericho Sims"/>
    <x v="21"/>
    <x v="395"/>
    <n v="25"/>
    <n v="250"/>
    <n v="45"/>
    <n v="5850"/>
    <n v="205"/>
    <n v="4.5555555555555554"/>
    <n v="38"/>
    <n v="55"/>
    <n v="0.69090909090909092"/>
    <n v="0"/>
    <n v="0"/>
    <e v="#DIV/0!"/>
    <n v="16"/>
    <n v="24"/>
    <n v="0.66666666666666663"/>
    <n v="56"/>
    <n v="91"/>
    <n v="147"/>
    <n v="560"/>
    <n v="910"/>
    <n v="1470"/>
    <n v="3.2666666666666666"/>
    <n v="25"/>
    <n v="0.55555555555555558"/>
    <n v="8"/>
    <n v="80"/>
    <n v="0.17777777777777778"/>
    <n v="190"/>
    <n v="19"/>
    <n v="0.42222222222222222"/>
    <n v="160"/>
    <x v="354"/>
    <n v="16"/>
    <n v="0.35555555555555557"/>
    <n v="45"/>
    <n v="1"/>
    <n v="92"/>
    <n v="2.0444444444444443"/>
  </r>
  <r>
    <s v="Alec Burks"/>
    <x v="21"/>
    <x v="396"/>
    <n v="32"/>
    <n v="320"/>
    <n v="23"/>
    <n v="3110"/>
    <n v="68"/>
    <n v="2.9565217391304346"/>
    <n v="50"/>
    <n v="163"/>
    <n v="0.30674846625766872"/>
    <n v="250"/>
    <n v="830"/>
    <n v="0.30120481927710846"/>
    <n v="24"/>
    <n v="33"/>
    <n v="0.72727272727272729"/>
    <n v="8"/>
    <n v="32"/>
    <n v="40"/>
    <n v="80"/>
    <n v="320"/>
    <n v="400"/>
    <n v="1.7391304347826086"/>
    <n v="20"/>
    <n v="0.86956521739130432"/>
    <n v="7"/>
    <n v="70"/>
    <n v="0.30434782608695654"/>
    <n v="10"/>
    <n v="1"/>
    <n v="4.3478260869565216E-2"/>
    <n v="160"/>
    <x v="355"/>
    <n v="16"/>
    <n v="0.69565217391304346"/>
    <n v="11"/>
    <n v="0.47826086956521741"/>
    <n v="149"/>
    <n v="6.4782608695652177"/>
  </r>
  <r>
    <s v="Jacob Toppin"/>
    <x v="21"/>
    <x v="397"/>
    <n v="24"/>
    <n v="240"/>
    <n v="9"/>
    <n v="380"/>
    <n v="16"/>
    <n v="1.7777777777777777"/>
    <n v="5"/>
    <n v="9"/>
    <n v="556"/>
    <n v="10"/>
    <n v="40"/>
    <n v="0.25"/>
    <n v="2"/>
    <n v="2"/>
    <n v="1"/>
    <n v="3"/>
    <n v="4"/>
    <n v="7"/>
    <n v="30"/>
    <n v="40"/>
    <n v="70"/>
    <n v="0.77777777777777779"/>
    <n v="3"/>
    <n v="0.33333333333333331"/>
    <n v="0"/>
    <n v="0"/>
    <n v="0"/>
    <n v="10"/>
    <n v="1"/>
    <n v="0.1111111111111111"/>
    <n v="10"/>
    <x v="356"/>
    <n v="1"/>
    <n v="0.1111111111111111"/>
    <n v="3"/>
    <n v="0.33333333333333331"/>
    <n v="13"/>
    <n v="1.4444444444444444"/>
  </r>
  <r>
    <s v="Shake Milton"/>
    <x v="21"/>
    <x v="398"/>
    <n v="27"/>
    <n v="270"/>
    <n v="6"/>
    <n v="270"/>
    <n v="10"/>
    <n v="1.6666666666666667"/>
    <n v="4"/>
    <n v="9"/>
    <n v="0.44444444444444442"/>
    <n v="10"/>
    <n v="20"/>
    <n v="0.5"/>
    <n v="2"/>
    <n v="2"/>
    <n v="1"/>
    <n v="0"/>
    <n v="6"/>
    <n v="6"/>
    <n v="0"/>
    <n v="60"/>
    <n v="60"/>
    <n v="1"/>
    <n v="4"/>
    <n v="0.66666666666666663"/>
    <n v="1"/>
    <n v="10"/>
    <n v="0.16666666666666666"/>
    <n v="0"/>
    <n v="0"/>
    <n v="0"/>
    <n v="0"/>
    <x v="357"/>
    <n v="0"/>
    <n v="0"/>
    <n v="7"/>
    <n v="1.1666666666666667"/>
    <n v="11"/>
    <n v="1.8333333333333333"/>
  </r>
  <r>
    <s v="Malachi Flynn"/>
    <x v="21"/>
    <x v="399"/>
    <n v="26"/>
    <n v="260"/>
    <n v="14"/>
    <n v="610"/>
    <n v="22"/>
    <n v="1.5714285714285714"/>
    <n v="9"/>
    <n v="23"/>
    <n v="0.39130434782608697"/>
    <n v="40"/>
    <n v="130"/>
    <n v="0.30769230769230771"/>
    <n v="9"/>
    <n v="11"/>
    <n v="0.81818181818181823"/>
    <n v="0"/>
    <n v="6"/>
    <n v="6"/>
    <n v="0"/>
    <n v="60"/>
    <n v="60"/>
    <n v="0.42857142857142855"/>
    <n v="6"/>
    <n v="0.42857142857142855"/>
    <n v="1"/>
    <n v="10"/>
    <n v="7.1428571428571425E-2"/>
    <n v="0"/>
    <n v="0"/>
    <n v="0"/>
    <n v="30"/>
    <x v="42"/>
    <n v="3"/>
    <n v="0.21428571428571427"/>
    <n v="3"/>
    <n v="0.21428571428571427"/>
    <n v="31"/>
    <n v="2.2142857142857144"/>
  </r>
  <r>
    <s v="Dylan Windler"/>
    <x v="21"/>
    <x v="400"/>
    <n v="27"/>
    <n v="270"/>
    <n v="3"/>
    <n v="70"/>
    <n v="3"/>
    <n v="1"/>
    <n v="1"/>
    <n v="2"/>
    <n v="5"/>
    <n v="10"/>
    <n v="20"/>
    <n v="0.5"/>
    <n v="0"/>
    <n v="0"/>
    <e v="#DIV/0!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x v="64"/>
    <n v="0"/>
    <n v="0"/>
    <n v="1"/>
    <n v="0.33333333333333331"/>
    <n v="3"/>
    <n v="1"/>
  </r>
  <r>
    <s v="Taj Gibson"/>
    <x v="21"/>
    <x v="401"/>
    <n v="39"/>
    <n v="390"/>
    <n v="16"/>
    <n v="1650"/>
    <n v="12"/>
    <n v="0.75"/>
    <n v="7"/>
    <n v="23"/>
    <n v="304"/>
    <n v="0"/>
    <n v="60"/>
    <n v="0"/>
    <n v="2"/>
    <n v="2"/>
    <n v="1"/>
    <n v="10"/>
    <n v="18"/>
    <n v="28"/>
    <n v="100"/>
    <n v="180"/>
    <n v="280"/>
    <n v="1.75"/>
    <n v="9"/>
    <n v="0.5625"/>
    <n v="2"/>
    <n v="20"/>
    <n v="0.125"/>
    <n v="60"/>
    <n v="6"/>
    <n v="0.375"/>
    <n v="50"/>
    <x v="98"/>
    <n v="5"/>
    <n v="0.3125"/>
    <n v="28"/>
    <n v="1.75"/>
    <n v="16"/>
    <n v="1"/>
  </r>
  <r>
    <s v="Evan Fournier"/>
    <x v="21"/>
    <x v="402"/>
    <n v="31"/>
    <n v="310"/>
    <n v="3"/>
    <n v="390"/>
    <n v="2"/>
    <n v="0.66666666666666663"/>
    <n v="4"/>
    <n v="20"/>
    <n v="0.2"/>
    <n v="20"/>
    <n v="150"/>
    <n v="0.13333333333333333"/>
    <n v="2"/>
    <n v="2"/>
    <n v="1"/>
    <n v="0"/>
    <n v="4"/>
    <n v="4"/>
    <n v="0"/>
    <n v="40"/>
    <n v="40"/>
    <n v="1.3333333333333333"/>
    <n v="3"/>
    <n v="1"/>
    <n v="4"/>
    <n v="40"/>
    <n v="1.3333333333333333"/>
    <n v="0"/>
    <n v="0"/>
    <n v="0"/>
    <n v="10"/>
    <x v="358"/>
    <n v="1"/>
    <n v="0.33333333333333331"/>
    <n v="4"/>
    <n v="1.3333333333333333"/>
    <n v="12"/>
    <n v="4"/>
  </r>
  <r>
    <s v="DaQuan Jeffries"/>
    <x v="21"/>
    <x v="403"/>
    <n v="26"/>
    <n v="260"/>
    <n v="17"/>
    <n v="460"/>
    <n v="7"/>
    <n v="0.41176470588235292"/>
    <n v="6"/>
    <n v="17"/>
    <n v="353"/>
    <n v="20"/>
    <n v="100"/>
    <n v="0.2"/>
    <n v="0"/>
    <n v="2"/>
    <n v="0"/>
    <n v="0"/>
    <n v="5"/>
    <n v="5"/>
    <n v="0"/>
    <n v="50"/>
    <n v="50"/>
    <n v="0.29411764705882354"/>
    <n v="5"/>
    <n v="0.29411764705882354"/>
    <n v="0"/>
    <n v="0"/>
    <n v="0"/>
    <n v="10"/>
    <n v="1"/>
    <n v="5.8823529411764705E-2"/>
    <n v="30"/>
    <x v="359"/>
    <n v="3"/>
    <n v="0.17647058823529413"/>
    <n v="2"/>
    <n v="0.11764705882352941"/>
    <n v="14"/>
    <n v="0.82352941176470584"/>
  </r>
  <r>
    <s v="Ryan Arcidiacono"/>
    <x v="21"/>
    <x v="404"/>
    <n v="30"/>
    <n v="300"/>
    <n v="20"/>
    <n v="450"/>
    <n v="1"/>
    <n v="0.05"/>
    <n v="0"/>
    <n v="6"/>
    <n v="0"/>
    <n v="0"/>
    <n v="60"/>
    <n v="0"/>
    <n v="0"/>
    <n v="0"/>
    <e v="#DIV/0!"/>
    <n v="0"/>
    <n v="8"/>
    <n v="8"/>
    <n v="0"/>
    <n v="80"/>
    <n v="80"/>
    <n v="0.4"/>
    <n v="4"/>
    <n v="0.2"/>
    <n v="2"/>
    <n v="20"/>
    <n v="0.1"/>
    <n v="0"/>
    <n v="0"/>
    <n v="0"/>
    <n v="20"/>
    <x v="42"/>
    <n v="2"/>
    <n v="0.1"/>
    <n v="5"/>
    <n v="0.25"/>
    <n v="0"/>
    <n v="0"/>
  </r>
  <r>
    <s v="Mamadi Diakite"/>
    <x v="21"/>
    <x v="405"/>
    <n v="27"/>
    <n v="270"/>
    <n v="3"/>
    <n v="80"/>
    <n v="-1"/>
    <n v="-0.33333333333333331"/>
    <n v="0"/>
    <n v="1"/>
    <n v="0"/>
    <n v="0"/>
    <n v="10"/>
    <n v="0"/>
    <n v="0"/>
    <n v="0"/>
    <e v="#DIV/0!"/>
    <n v="0"/>
    <n v="1"/>
    <n v="1"/>
    <n v="0"/>
    <n v="10"/>
    <n v="10"/>
    <n v="0.33333333333333331"/>
    <n v="0"/>
    <n v="0"/>
    <n v="1"/>
    <n v="10"/>
    <n v="0.33333333333333331"/>
    <n v="0"/>
    <n v="0"/>
    <n v="0"/>
    <n v="10"/>
    <x v="340"/>
    <n v="1"/>
    <n v="0.33333333333333331"/>
    <n v="1"/>
    <n v="0.33333333333333331"/>
    <n v="0"/>
    <n v="0"/>
  </r>
  <r>
    <s v="Dmytro Skapintsev"/>
    <x v="21"/>
    <x v="406"/>
    <n v="26"/>
    <n v="260"/>
    <n v="2"/>
    <n v="20"/>
    <n v="-1"/>
    <n v="-0.5"/>
    <n v="0"/>
    <n v="1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x v="63"/>
    <n v="0"/>
    <n v="0"/>
    <n v="0"/>
    <n v="0"/>
    <n v="0"/>
    <n v="0"/>
  </r>
  <r>
    <s v="Charlie Brown Jr."/>
    <x v="21"/>
    <x v="407"/>
    <n v="27"/>
    <n v="270"/>
    <n v="8"/>
    <n v="370"/>
    <n v="-5"/>
    <n v="-0.625"/>
    <n v="2"/>
    <n v="10"/>
    <n v="0.2"/>
    <n v="20"/>
    <n v="70"/>
    <n v="0.2857142857142857"/>
    <n v="0"/>
    <n v="0"/>
    <e v="#DIV/0!"/>
    <n v="1"/>
    <n v="1"/>
    <n v="2"/>
    <n v="10"/>
    <n v="10"/>
    <n v="20"/>
    <n v="0.25"/>
    <n v="0"/>
    <n v="0"/>
    <n v="0"/>
    <n v="0"/>
    <n v="0"/>
    <n v="20"/>
    <n v="2"/>
    <n v="0.25"/>
    <n v="20"/>
    <x v="42"/>
    <n v="2"/>
    <n v="0.25"/>
    <n v="5"/>
    <n v="0.625"/>
    <n v="6"/>
    <n v="0.75"/>
  </r>
  <r>
    <m/>
    <x v="22"/>
    <x v="408"/>
    <m/>
    <n v="220"/>
    <m/>
    <m/>
    <m/>
    <m/>
    <m/>
    <m/>
    <m/>
    <m/>
    <m/>
    <m/>
    <m/>
    <m/>
    <m/>
    <m/>
    <m/>
    <m/>
    <m/>
    <m/>
    <n v="2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2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48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"/>
    <n v="20"/>
    <n v="30"/>
    <e v="#DIV/0!"/>
    <m/>
    <m/>
    <m/>
    <n v="20"/>
    <m/>
    <n v="10"/>
    <m/>
    <m/>
    <n v="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49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7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890"/>
    <n v="1780"/>
    <n v="2670"/>
    <e v="#DIV/0!"/>
    <m/>
    <m/>
    <m/>
    <n v="710"/>
    <m/>
    <n v="6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00"/>
    <n v="1130"/>
    <n v="1630"/>
    <e v="#DIV/0!"/>
    <m/>
    <m/>
    <m/>
    <n v="570"/>
    <m/>
    <n v="5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760"/>
    <n v="1880"/>
    <n v="2640"/>
    <e v="#DIV/0!"/>
    <m/>
    <m/>
    <m/>
    <n v="1170"/>
    <m/>
    <n v="30"/>
    <m/>
    <m/>
    <n v="154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"/>
    <n v="90"/>
    <n v="100"/>
    <e v="#DIV/0!"/>
    <m/>
    <m/>
    <m/>
    <n v="70"/>
    <m/>
    <n v="0"/>
    <m/>
    <m/>
    <n v="10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430"/>
    <n v="5180"/>
    <n v="8610"/>
    <e v="#DIV/0!"/>
    <m/>
    <m/>
    <m/>
    <n v="1040"/>
    <m/>
    <n v="140"/>
    <m/>
    <m/>
    <n v="248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580"/>
    <n v="4690"/>
    <n v="7270"/>
    <e v="#DIV/0!"/>
    <m/>
    <m/>
    <m/>
    <n v="640"/>
    <m/>
    <n v="160"/>
    <m/>
    <m/>
    <n v="16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050"/>
    <n v="6150"/>
    <n v="9200"/>
    <e v="#DIV/0!"/>
    <m/>
    <m/>
    <m/>
    <n v="620"/>
    <m/>
    <n v="170"/>
    <m/>
    <m/>
    <n v="21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560"/>
    <n v="4440"/>
    <n v="7000"/>
    <e v="#DIV/0!"/>
    <m/>
    <m/>
    <m/>
    <n v="670"/>
    <m/>
    <n v="150"/>
    <m/>
    <m/>
    <n v="12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880"/>
    <n v="4200"/>
    <n v="7080"/>
    <e v="#DIV/0!"/>
    <m/>
    <m/>
    <m/>
    <n v="850"/>
    <m/>
    <n v="150"/>
    <m/>
    <m/>
    <n v="124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490"/>
    <n v="6160"/>
    <n v="9650"/>
    <e v="#DIV/0!"/>
    <m/>
    <m/>
    <m/>
    <n v="1100"/>
    <m/>
    <n v="180"/>
    <m/>
    <m/>
    <n v="19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550"/>
    <n v="2900"/>
    <n v="4450"/>
    <e v="#DIV/0!"/>
    <m/>
    <m/>
    <m/>
    <n v="600"/>
    <m/>
    <n v="70"/>
    <m/>
    <m/>
    <n v="103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620"/>
    <n v="2980"/>
    <n v="4600"/>
    <e v="#DIV/0!"/>
    <m/>
    <m/>
    <m/>
    <n v="580"/>
    <m/>
    <n v="140"/>
    <m/>
    <m/>
    <n v="104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460"/>
    <n v="5350"/>
    <n v="7810"/>
    <e v="#DIV/0!"/>
    <m/>
    <m/>
    <m/>
    <n v="1110"/>
    <m/>
    <n v="210"/>
    <m/>
    <m/>
    <n v="171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180"/>
    <n v="5060"/>
    <n v="7240"/>
    <e v="#DIV/0!"/>
    <m/>
    <m/>
    <m/>
    <n v="1230"/>
    <m/>
    <n v="220"/>
    <m/>
    <m/>
    <n v="126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470"/>
    <n v="850"/>
    <n v="1320"/>
    <e v="#DIV/0!"/>
    <m/>
    <m/>
    <m/>
    <n v="120"/>
    <m/>
    <n v="40"/>
    <m/>
    <m/>
    <n v="3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20"/>
    <n v="30"/>
    <n v="50"/>
    <e v="#DIV/0!"/>
    <m/>
    <m/>
    <m/>
    <n v="10"/>
    <m/>
    <n v="10"/>
    <m/>
    <m/>
    <n v="2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90"/>
    <n v="170"/>
    <n v="260"/>
    <e v="#DIV/0!"/>
    <m/>
    <m/>
    <m/>
    <n v="60"/>
    <m/>
    <n v="20"/>
    <m/>
    <m/>
    <n v="7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60"/>
    <n v="80"/>
    <n v="140"/>
    <e v="#DIV/0!"/>
    <m/>
    <m/>
    <m/>
    <n v="30"/>
    <m/>
    <n v="10"/>
    <m/>
    <m/>
    <n v="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0"/>
    <n v="110"/>
    <n v="170"/>
    <e v="#DIV/0!"/>
    <m/>
    <m/>
    <m/>
    <n v="0"/>
    <m/>
    <n v="10"/>
    <m/>
    <m/>
    <n v="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640"/>
    <n v="1520"/>
    <n v="2160"/>
    <e v="#DIV/0!"/>
    <m/>
    <m/>
    <m/>
    <n v="90"/>
    <m/>
    <n v="200"/>
    <m/>
    <m/>
    <n v="4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510"/>
    <n v="4710"/>
    <n v="6220"/>
    <e v="#DIV/0!"/>
    <m/>
    <m/>
    <m/>
    <n v="510"/>
    <m/>
    <n v="220"/>
    <m/>
    <m/>
    <n v="193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10"/>
    <n v="2900"/>
    <n v="4610"/>
    <e v="#DIV/0!"/>
    <m/>
    <m/>
    <m/>
    <n v="180"/>
    <m/>
    <n v="170"/>
    <m/>
    <m/>
    <n v="79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870"/>
    <n v="720"/>
    <n v="1590"/>
    <e v="#DIV/0!"/>
    <m/>
    <m/>
    <m/>
    <n v="720"/>
    <m/>
    <n v="110"/>
    <m/>
    <m/>
    <n v="10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30"/>
    <n v="1130"/>
    <n v="2060"/>
    <e v="#DIV/0!"/>
    <m/>
    <m/>
    <m/>
    <n v="1110"/>
    <m/>
    <n v="230"/>
    <m/>
    <m/>
    <n v="153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600"/>
    <n v="1310"/>
    <n v="1910"/>
    <e v="#DIV/0!"/>
    <m/>
    <m/>
    <m/>
    <n v="950"/>
    <m/>
    <n v="220"/>
    <m/>
    <m/>
    <n v="143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360"/>
    <n v="550"/>
    <n v="910"/>
    <e v="#DIV/0!"/>
    <m/>
    <m/>
    <m/>
    <n v="330"/>
    <m/>
    <n v="30"/>
    <m/>
    <m/>
    <n v="10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2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17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799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72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92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055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67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20"/>
    <n v="110"/>
    <n v="230"/>
    <e v="#DIV/0!"/>
    <m/>
    <m/>
    <m/>
    <n v="170"/>
    <m/>
    <n v="20"/>
    <m/>
    <m/>
    <n v="1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0"/>
    <n v="180"/>
    <n v="280"/>
    <e v="#DIV/0!"/>
    <m/>
    <m/>
    <m/>
    <n v="150"/>
    <m/>
    <n v="20"/>
    <m/>
    <m/>
    <n v="18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50"/>
    <n v="50"/>
    <n v="100"/>
    <e v="#DIV/0!"/>
    <m/>
    <m/>
    <m/>
    <n v="40"/>
    <m/>
    <n v="0"/>
    <m/>
    <m/>
    <n v="4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530"/>
    <n v="1020"/>
    <n v="1550"/>
    <e v="#DIV/0!"/>
    <m/>
    <m/>
    <m/>
    <n v="910"/>
    <m/>
    <n v="10"/>
    <m/>
    <m/>
    <n v="124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510"/>
    <n v="1180"/>
    <n v="1690"/>
    <e v="#DIV/0!"/>
    <m/>
    <m/>
    <m/>
    <n v="150"/>
    <m/>
    <n v="140"/>
    <m/>
    <m/>
    <n v="61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6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860"/>
    <n v="2420"/>
    <n v="4280"/>
    <e v="#DIV/0!"/>
    <m/>
    <m/>
    <m/>
    <n v="520"/>
    <m/>
    <n v="1190"/>
    <m/>
    <m/>
    <n v="3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92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4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"/>
    <n v="990"/>
    <n v="1210"/>
    <e v="#DIV/0!"/>
    <m/>
    <m/>
    <m/>
    <n v="340"/>
    <m/>
    <n v="19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60"/>
    <n v="2710"/>
    <n v="3270"/>
    <e v="#DIV/0!"/>
    <m/>
    <m/>
    <m/>
    <n v="1080"/>
    <m/>
    <n v="29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80"/>
    <n v="2250"/>
    <n v="2730"/>
    <e v="#DIV/0!"/>
    <m/>
    <m/>
    <m/>
    <n v="1110"/>
    <m/>
    <n v="22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50"/>
    <n v="1780"/>
    <n v="2230"/>
    <e v="#DIV/0!"/>
    <m/>
    <m/>
    <m/>
    <n v="910"/>
    <m/>
    <n v="230"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470"/>
    <n v="1350"/>
    <n v="1820"/>
    <e v="#DIV/0!"/>
    <m/>
    <m/>
    <m/>
    <n v="600"/>
    <m/>
    <n v="190"/>
    <m/>
    <m/>
    <n v="179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60"/>
    <n v="480"/>
    <n v="740"/>
    <e v="#DIV/0!"/>
    <m/>
    <m/>
    <m/>
    <n v="480"/>
    <m/>
    <n v="60"/>
    <m/>
    <m/>
    <n v="98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160"/>
    <n v="200"/>
    <n v="360"/>
    <e v="#DIV/0!"/>
    <m/>
    <m/>
    <m/>
    <n v="210"/>
    <m/>
    <n v="30"/>
    <m/>
    <m/>
    <n v="2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480"/>
    <n v="1850"/>
    <n v="2330"/>
    <e v="#DIV/0!"/>
    <m/>
    <m/>
    <m/>
    <n v="340"/>
    <m/>
    <n v="170"/>
    <m/>
    <m/>
    <n v="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690"/>
    <n v="980"/>
    <n v="1670"/>
    <e v="#DIV/0!"/>
    <m/>
    <m/>
    <m/>
    <n v="170"/>
    <m/>
    <n v="80"/>
    <m/>
    <m/>
    <n v="59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30"/>
    <n v="790"/>
    <n v="1020"/>
    <e v="#DIV/0!"/>
    <m/>
    <m/>
    <m/>
    <n v="220"/>
    <m/>
    <n v="100"/>
    <m/>
    <m/>
    <n v="65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230"/>
    <n v="700"/>
    <n v="930"/>
    <e v="#DIV/0!"/>
    <m/>
    <m/>
    <m/>
    <n v="250"/>
    <m/>
    <n v="60"/>
    <m/>
    <m/>
    <n v="4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00"/>
    <n v="2880"/>
    <n v="4080"/>
    <e v="#DIV/0!"/>
    <m/>
    <m/>
    <m/>
    <n v="450"/>
    <m/>
    <n v="300"/>
    <m/>
    <m/>
    <n v="10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520"/>
    <n v="1600"/>
    <n v="2120"/>
    <e v="#DIV/0!"/>
    <m/>
    <m/>
    <m/>
    <n v="700"/>
    <m/>
    <n v="170"/>
    <m/>
    <m/>
    <n v="96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65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810"/>
    <n v="1440"/>
    <n v="2250"/>
    <e v="#DIV/0!"/>
    <m/>
    <m/>
    <m/>
    <n v="230"/>
    <m/>
    <n v="530"/>
    <m/>
    <m/>
    <n v="85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20"/>
    <n v="2280"/>
    <n v="3500"/>
    <e v="#DIV/0!"/>
    <m/>
    <m/>
    <m/>
    <n v="370"/>
    <m/>
    <n v="1200"/>
    <m/>
    <m/>
    <n v="11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9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8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2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50"/>
    <n v="1560"/>
    <n v="2810"/>
    <e v="#DIV/0!"/>
    <m/>
    <m/>
    <m/>
    <n v="620"/>
    <m/>
    <n v="80"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20"/>
    <n v="140"/>
    <n v="260"/>
    <e v="#DIV/0!"/>
    <m/>
    <m/>
    <m/>
    <n v="80"/>
    <m/>
    <n v="1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12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2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471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458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48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20"/>
    <n v="1410"/>
    <n v="2030"/>
    <e v="#DIV/0!"/>
    <m/>
    <m/>
    <m/>
    <n v="380"/>
    <m/>
    <n v="120"/>
    <m/>
    <m/>
    <n v="3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740"/>
    <n v="1530"/>
    <n v="2270"/>
    <e v="#DIV/0!"/>
    <m/>
    <m/>
    <m/>
    <n v="360"/>
    <m/>
    <n v="160"/>
    <m/>
    <m/>
    <n v="6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40"/>
    <n v="400"/>
    <n v="640"/>
    <e v="#DIV/0!"/>
    <m/>
    <m/>
    <m/>
    <n v="160"/>
    <m/>
    <n v="20"/>
    <m/>
    <m/>
    <n v="17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60"/>
    <n v="2410"/>
    <n v="3070"/>
    <e v="#DIV/0!"/>
    <m/>
    <m/>
    <m/>
    <n v="630"/>
    <m/>
    <n v="5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800"/>
    <n v="2090"/>
    <n v="2890"/>
    <e v="#DIV/0!"/>
    <m/>
    <m/>
    <m/>
    <n v="760"/>
    <m/>
    <n v="170"/>
    <m/>
    <m/>
    <n v="10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90"/>
    <n v="110"/>
    <e v="#DIV/0!"/>
    <m/>
    <m/>
    <m/>
    <n v="20"/>
    <m/>
    <n v="0"/>
    <m/>
    <m/>
    <n v="4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1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61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78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65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87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93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50"/>
    <n v="360"/>
    <n v="510"/>
    <e v="#DIV/0!"/>
    <m/>
    <m/>
    <m/>
    <n v="120"/>
    <m/>
    <n v="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80"/>
    <n v="400"/>
    <n v="880"/>
    <e v="#DIV/0!"/>
    <m/>
    <m/>
    <m/>
    <n v="240"/>
    <m/>
    <n v="3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850"/>
    <n v="2320"/>
    <n v="3170"/>
    <e v="#DIV/0!"/>
    <m/>
    <m/>
    <m/>
    <n v="100"/>
    <m/>
    <n v="4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0"/>
    <n v="10"/>
    <n v="10"/>
    <e v="#DIV/0!"/>
    <m/>
    <m/>
    <m/>
    <n v="0"/>
    <m/>
    <n v="0"/>
    <m/>
    <m/>
    <n v="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90"/>
    <n v="60"/>
    <n v="150"/>
    <e v="#DIV/0!"/>
    <m/>
    <m/>
    <m/>
    <n v="0"/>
    <m/>
    <n v="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00"/>
    <n v="670"/>
    <n v="1070"/>
    <e v="#DIV/0!"/>
    <m/>
    <m/>
    <m/>
    <n v="150"/>
    <m/>
    <n v="5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34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332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8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31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2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220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4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80"/>
    <n v="2220"/>
    <n v="3300"/>
    <e v="#DIV/0!"/>
    <m/>
    <m/>
    <m/>
    <n v="380"/>
    <m/>
    <n v="400"/>
    <m/>
    <m/>
    <n v="14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90"/>
    <n v="2330"/>
    <n v="3220"/>
    <e v="#DIV/0!"/>
    <m/>
    <m/>
    <m/>
    <n v="420"/>
    <m/>
    <n v="240"/>
    <m/>
    <m/>
    <n v="129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0"/>
    <n v="20"/>
    <n v="20"/>
    <e v="#DIV/0!"/>
    <m/>
    <m/>
    <m/>
    <n v="0"/>
    <m/>
    <n v="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8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307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2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80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2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7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2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1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226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238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251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221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m/>
    <m/>
    <n v="2380"/>
    <e v="#DIV/0!"/>
    <m/>
    <m/>
    <m/>
    <m/>
    <m/>
    <m/>
    <m/>
    <m/>
    <m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m/>
    <m/>
    <n v="1530"/>
    <e v="#DIV/0!"/>
    <m/>
    <m/>
    <m/>
    <m/>
    <m/>
    <m/>
    <m/>
    <m/>
    <m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m/>
    <m/>
    <n v="410"/>
    <e v="#DIV/0!"/>
    <m/>
    <m/>
    <m/>
    <m/>
    <m/>
    <m/>
    <m/>
    <m/>
    <m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10"/>
    <n v="30"/>
    <n v="40"/>
    <e v="#DIV/0!"/>
    <m/>
    <m/>
    <m/>
    <n v="10"/>
    <m/>
    <n v="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1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10"/>
    <n v="520"/>
    <n v="830"/>
    <e v="#DIV/0!"/>
    <m/>
    <m/>
    <m/>
    <n v="60"/>
    <m/>
    <n v="70"/>
    <m/>
    <m/>
    <n v="20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60"/>
    <n v="1350"/>
    <n v="1610"/>
    <e v="#DIV/0!"/>
    <m/>
    <m/>
    <m/>
    <n v="420"/>
    <m/>
    <n v="60"/>
    <m/>
    <m/>
    <n v="81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n v="3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0"/>
    <n v="170"/>
    <n v="200"/>
    <e v="#DIV/0!"/>
    <m/>
    <m/>
    <m/>
    <n v="30"/>
    <m/>
    <n v="10"/>
    <m/>
    <m/>
    <n v="5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760"/>
    <n v="2840"/>
    <n v="4600"/>
    <e v="#DIV/0!"/>
    <m/>
    <m/>
    <m/>
    <n v="570"/>
    <m/>
    <n v="240"/>
    <m/>
    <m/>
    <n v="14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9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40"/>
    <n v="200"/>
    <n v="340"/>
    <e v="#DIV/0!"/>
    <m/>
    <m/>
    <m/>
    <n v="20"/>
    <m/>
    <n v="0"/>
    <m/>
    <m/>
    <n v="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80"/>
    <n v="150"/>
    <n v="230"/>
    <e v="#DIV/0!"/>
    <m/>
    <m/>
    <m/>
    <n v="70"/>
    <m/>
    <n v="90"/>
    <m/>
    <m/>
    <n v="1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90"/>
    <n v="190"/>
    <n v="280"/>
    <e v="#DIV/0!"/>
    <m/>
    <m/>
    <m/>
    <n v="30"/>
    <m/>
    <n v="40"/>
    <m/>
    <m/>
    <n v="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50"/>
    <n v="800"/>
    <n v="1450"/>
    <e v="#DIV/0!"/>
    <m/>
    <m/>
    <m/>
    <n v="220"/>
    <m/>
    <n v="130"/>
    <m/>
    <m/>
    <n v="5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90"/>
    <n v="150"/>
    <n v="240"/>
    <e v="#DIV/0!"/>
    <m/>
    <m/>
    <m/>
    <n v="70"/>
    <m/>
    <n v="60"/>
    <m/>
    <m/>
    <n v="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090"/>
    <n v="2440"/>
    <n v="3530"/>
    <e v="#DIV/0!"/>
    <m/>
    <m/>
    <m/>
    <n v="990"/>
    <m/>
    <n v="80"/>
    <m/>
    <m/>
    <n v="212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860"/>
    <n v="1500"/>
    <n v="2360"/>
    <e v="#DIV/0!"/>
    <m/>
    <m/>
    <m/>
    <n v="770"/>
    <m/>
    <n v="120"/>
    <m/>
    <m/>
    <n v="19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330"/>
    <n v="5290"/>
    <n v="6620"/>
    <e v="#DIV/0!"/>
    <m/>
    <m/>
    <m/>
    <n v="610"/>
    <m/>
    <n v="65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360"/>
    <n v="7740"/>
    <n v="10100"/>
    <e v="#DIV/0!"/>
    <m/>
    <m/>
    <m/>
    <n v="1050"/>
    <m/>
    <n v="1260"/>
    <m/>
    <m/>
    <n v="346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940"/>
    <n v="2850"/>
    <n v="3790"/>
    <e v="#DIV/0!"/>
    <m/>
    <m/>
    <m/>
    <n v="620"/>
    <m/>
    <n v="470"/>
    <m/>
    <m/>
    <n v="15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8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1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9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65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544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513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7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200"/>
    <n v="4160"/>
    <n v="5360"/>
    <e v="#DIV/0!"/>
    <m/>
    <m/>
    <m/>
    <n v="1610"/>
    <m/>
    <n v="15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900"/>
    <n v="3750"/>
    <n v="4650"/>
    <e v="#DIV/0!"/>
    <m/>
    <m/>
    <m/>
    <n v="1900"/>
    <m/>
    <n v="14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790"/>
    <n v="3210"/>
    <n v="4000"/>
    <e v="#DIV/0!"/>
    <m/>
    <m/>
    <m/>
    <n v="1060"/>
    <m/>
    <n v="9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520"/>
    <n v="2410"/>
    <n v="2930"/>
    <e v="#DIV/0!"/>
    <m/>
    <m/>
    <m/>
    <n v="1320"/>
    <m/>
    <n v="90"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1770"/>
    <n v="2460"/>
    <n v="4230"/>
    <e v="#DIV/0!"/>
    <m/>
    <m/>
    <m/>
    <n v="520"/>
    <m/>
    <n v="1610"/>
    <m/>
    <m/>
    <n v="3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130"/>
    <n v="4150"/>
    <n v="5280"/>
    <e v="#DIV/0!"/>
    <m/>
    <m/>
    <m/>
    <n v="460"/>
    <m/>
    <n v="510"/>
    <m/>
    <m/>
    <n v="8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30"/>
    <n v="1630"/>
    <n v="1960"/>
    <e v="#DIV/0!"/>
    <m/>
    <m/>
    <m/>
    <n v="430"/>
    <m/>
    <n v="190"/>
    <m/>
    <m/>
    <n v="14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0"/>
    <n v="70"/>
    <n v="80"/>
    <e v="#DIV/0!"/>
    <m/>
    <m/>
    <m/>
    <n v="0"/>
    <m/>
    <n v="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40"/>
    <n v="440"/>
    <n v="580"/>
    <e v="#DIV/0!"/>
    <m/>
    <m/>
    <m/>
    <n v="390"/>
    <m/>
    <n v="50"/>
    <m/>
    <m/>
    <n v="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5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7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0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3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92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1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2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530"/>
    <n v="1130"/>
    <n v="1660"/>
    <e v="#DIV/0!"/>
    <m/>
    <m/>
    <m/>
    <n v="120"/>
    <m/>
    <n v="420"/>
    <m/>
    <m/>
    <n v="4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140"/>
    <n v="440"/>
    <n v="580"/>
    <e v="#DIV/0!"/>
    <m/>
    <m/>
    <m/>
    <n v="270"/>
    <m/>
    <n v="90"/>
    <m/>
    <m/>
    <n v="54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5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7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30"/>
    <n v="1970"/>
    <n v="2400"/>
    <e v="#DIV/0!"/>
    <m/>
    <m/>
    <m/>
    <n v="410"/>
    <m/>
    <n v="180"/>
    <m/>
    <m/>
    <n v="16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430"/>
    <n v="2310"/>
    <n v="2740"/>
    <e v="#DIV/0!"/>
    <m/>
    <m/>
    <m/>
    <n v="630"/>
    <m/>
    <n v="240"/>
    <m/>
    <m/>
    <n v="20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0"/>
    <n v="1320"/>
    <n v="1520"/>
    <e v="#DIV/0!"/>
    <m/>
    <m/>
    <m/>
    <n v="350"/>
    <m/>
    <n v="90"/>
    <m/>
    <m/>
    <n v="130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380"/>
    <n v="2330"/>
    <n v="2710"/>
    <e v="#DIV/0!"/>
    <m/>
    <m/>
    <m/>
    <n v="650"/>
    <m/>
    <n v="140"/>
    <m/>
    <m/>
    <n v="18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0"/>
    <n v="20"/>
    <n v="30"/>
    <e v="#DIV/0!"/>
    <m/>
    <m/>
    <m/>
    <n v="10"/>
    <m/>
    <n v="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940"/>
    <n v="5320"/>
    <n v="7260"/>
    <e v="#DIV/0!"/>
    <m/>
    <m/>
    <m/>
    <n v="480"/>
    <m/>
    <n v="1010"/>
    <m/>
    <m/>
    <n v="22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610"/>
    <n v="4520"/>
    <n v="6130"/>
    <e v="#DIV/0!"/>
    <m/>
    <m/>
    <m/>
    <n v="480"/>
    <m/>
    <n v="830"/>
    <m/>
    <m/>
    <n v="200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160"/>
    <n v="3050"/>
    <n v="4210"/>
    <e v="#DIV/0!"/>
    <m/>
    <m/>
    <m/>
    <n v="480"/>
    <m/>
    <n v="650"/>
    <m/>
    <m/>
    <n v="166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850"/>
    <n v="4050"/>
    <n v="5900"/>
    <e v="#DIV/0!"/>
    <m/>
    <m/>
    <m/>
    <n v="410"/>
    <m/>
    <n v="1270"/>
    <m/>
    <m/>
    <n v="20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950"/>
    <n v="4540"/>
    <n v="6490"/>
    <e v="#DIV/0!"/>
    <m/>
    <m/>
    <m/>
    <n v="440"/>
    <m/>
    <n v="970"/>
    <m/>
    <m/>
    <n v="20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80"/>
    <n v="100"/>
    <e v="#DIV/0!"/>
    <m/>
    <m/>
    <m/>
    <n v="10"/>
    <m/>
    <n v="10"/>
    <m/>
    <m/>
    <n v="6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20"/>
    <n v="3130"/>
    <n v="4450"/>
    <e v="#DIV/0!"/>
    <m/>
    <m/>
    <m/>
    <n v="400"/>
    <m/>
    <n v="260"/>
    <m/>
    <m/>
    <n v="128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270"/>
    <n v="2570"/>
    <n v="3840"/>
    <e v="#DIV/0!"/>
    <m/>
    <m/>
    <m/>
    <n v="430"/>
    <m/>
    <n v="430"/>
    <m/>
    <m/>
    <n v="13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800"/>
    <n v="2580"/>
    <n v="3380"/>
    <e v="#DIV/0!"/>
    <m/>
    <m/>
    <m/>
    <n v="320"/>
    <m/>
    <n v="180"/>
    <m/>
    <m/>
    <n v="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00"/>
    <n v="390"/>
    <n v="690"/>
    <e v="#DIV/0!"/>
    <m/>
    <m/>
    <m/>
    <n v="220"/>
    <m/>
    <n v="20"/>
    <m/>
    <m/>
    <n v="3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50"/>
    <n v="600"/>
    <n v="950"/>
    <e v="#DIV/0!"/>
    <m/>
    <m/>
    <m/>
    <n v="360"/>
    <m/>
    <n v="60"/>
    <m/>
    <m/>
    <n v="7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780"/>
    <n v="1550"/>
    <n v="2330"/>
    <e v="#DIV/0!"/>
    <m/>
    <m/>
    <m/>
    <n v="1000"/>
    <m/>
    <n v="180"/>
    <m/>
    <m/>
    <n v="14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510"/>
    <n v="3880"/>
    <n v="5390"/>
    <e v="#DIV/0!"/>
    <m/>
    <m/>
    <m/>
    <n v="2650"/>
    <m/>
    <n v="350"/>
    <m/>
    <m/>
    <n v="35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730"/>
    <n v="3720"/>
    <n v="5450"/>
    <e v="#DIV/0!"/>
    <m/>
    <m/>
    <m/>
    <n v="2320"/>
    <m/>
    <n v="350"/>
    <m/>
    <m/>
    <n v="30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70"/>
    <n v="3880"/>
    <n v="5650"/>
    <e v="#DIV/0!"/>
    <m/>
    <m/>
    <m/>
    <n v="2130"/>
    <m/>
    <n v="410"/>
    <m/>
    <m/>
    <n v="29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160"/>
    <n v="3570"/>
    <n v="5730"/>
    <e v="#DIV/0!"/>
    <m/>
    <m/>
    <m/>
    <n v="460"/>
    <m/>
    <n v="200"/>
    <m/>
    <m/>
    <n v="10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310"/>
    <n v="4090"/>
    <n v="6400"/>
    <e v="#DIV/0!"/>
    <m/>
    <m/>
    <m/>
    <n v="430"/>
    <m/>
    <n v="190"/>
    <m/>
    <m/>
    <n v="13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580"/>
    <n v="2690"/>
    <n v="4270"/>
    <e v="#DIV/0!"/>
    <m/>
    <m/>
    <m/>
    <n v="310"/>
    <m/>
    <n v="90"/>
    <m/>
    <m/>
    <n v="107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820"/>
    <n v="4680"/>
    <n v="6500"/>
    <e v="#DIV/0!"/>
    <m/>
    <m/>
    <m/>
    <n v="690"/>
    <m/>
    <n v="210"/>
    <m/>
    <m/>
    <n v="12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0"/>
    <n v="5440"/>
    <n v="7640"/>
    <e v="#DIV/0!"/>
    <m/>
    <m/>
    <m/>
    <n v="690"/>
    <m/>
    <n v="340"/>
    <m/>
    <m/>
    <n v="211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60"/>
    <n v="590"/>
    <n v="950"/>
    <e v="#DIV/0!"/>
    <m/>
    <m/>
    <m/>
    <n v="570"/>
    <m/>
    <n v="50"/>
    <m/>
    <m/>
    <n v="109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10"/>
    <n v="30"/>
    <e v="#DIV/0!"/>
    <m/>
    <m/>
    <m/>
    <n v="10"/>
    <m/>
    <n v="0"/>
    <m/>
    <m/>
    <n v="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8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94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6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0"/>
    <n v="30"/>
    <e v="#DIV/0!"/>
    <m/>
    <m/>
    <m/>
    <n v="0"/>
    <m/>
    <n v="10"/>
    <m/>
    <m/>
    <n v="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3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8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9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5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0"/>
    <n v="70"/>
    <n v="130"/>
    <e v="#DIV/0!"/>
    <m/>
    <m/>
    <m/>
    <n v="110"/>
    <m/>
    <n v="40"/>
    <m/>
    <m/>
    <n v="2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0"/>
    <n v="430"/>
    <n v="510"/>
    <e v="#DIV/0!"/>
    <m/>
    <m/>
    <m/>
    <n v="160"/>
    <m/>
    <n v="40"/>
    <m/>
    <m/>
    <n v="26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"/>
    <n v="50"/>
    <n v="70"/>
    <e v="#DIV/0!"/>
    <m/>
    <m/>
    <m/>
    <n v="40"/>
    <m/>
    <n v="20"/>
    <m/>
    <m/>
    <n v="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n v="500"/>
    <n v="2290"/>
    <n v="2790"/>
    <e v="#DIV/0!"/>
    <m/>
    <m/>
    <m/>
    <n v="550"/>
    <m/>
    <n v="170"/>
    <m/>
    <m/>
    <n v="124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590"/>
    <n v="960"/>
    <n v="1550"/>
    <e v="#DIV/0!"/>
    <m/>
    <m/>
    <m/>
    <n v="340"/>
    <m/>
    <n v="50"/>
    <m/>
    <m/>
    <n v="51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280"/>
    <n v="320"/>
    <n v="600"/>
    <e v="#DIV/0!"/>
    <m/>
    <m/>
    <m/>
    <n v="200"/>
    <m/>
    <n v="10"/>
    <m/>
    <m/>
    <n v="2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9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290"/>
    <n v="570"/>
    <n v="860"/>
    <e v="#DIV/0!"/>
    <m/>
    <m/>
    <m/>
    <n v="160"/>
    <m/>
    <n v="80"/>
    <m/>
    <m/>
    <n v="19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20"/>
    <n v="1510"/>
    <n v="2530"/>
    <e v="#DIV/0!"/>
    <m/>
    <m/>
    <m/>
    <n v="290"/>
    <m/>
    <n v="740"/>
    <m/>
    <m/>
    <n v="3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740"/>
    <n v="2870"/>
    <n v="4610"/>
    <e v="#DIV/0!"/>
    <m/>
    <m/>
    <m/>
    <n v="430"/>
    <m/>
    <n v="1160"/>
    <m/>
    <m/>
    <n v="7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72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720"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430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50"/>
    <n v="60"/>
    <n v="110"/>
    <e v="#DIV/0!"/>
    <m/>
    <m/>
    <m/>
    <n v="10"/>
    <m/>
    <n v="0"/>
    <m/>
    <m/>
    <n v="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50"/>
    <n v="470"/>
    <n v="620"/>
    <e v="#DIV/0!"/>
    <m/>
    <m/>
    <m/>
    <n v="210"/>
    <m/>
    <n v="50"/>
    <m/>
    <m/>
    <n v="29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18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62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587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747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6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25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25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1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8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0"/>
    <n v="470"/>
    <n v="600"/>
    <e v="#DIV/0!"/>
    <m/>
    <m/>
    <m/>
    <n v="170"/>
    <m/>
    <n v="80"/>
    <m/>
    <m/>
    <n v="24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2740"/>
    <n v="6290"/>
    <n v="9030"/>
    <e v="#DIV/0!"/>
    <m/>
    <m/>
    <m/>
    <n v="680"/>
    <m/>
    <n v="700"/>
    <m/>
    <m/>
    <n v="17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40"/>
    <n v="3270"/>
    <n v="4510"/>
    <e v="#DIV/0!"/>
    <m/>
    <m/>
    <m/>
    <n v="540"/>
    <m/>
    <n v="1030"/>
    <m/>
    <m/>
    <n v="17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570"/>
    <n v="3980"/>
    <n v="5550"/>
    <e v="#DIV/0!"/>
    <m/>
    <m/>
    <m/>
    <n v="890"/>
    <m/>
    <n v="1470"/>
    <m/>
    <m/>
    <n v="229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450"/>
    <n v="4310"/>
    <n v="6760"/>
    <e v="#DIV/0!"/>
    <m/>
    <m/>
    <m/>
    <n v="1040"/>
    <m/>
    <n v="2450"/>
    <m/>
    <m/>
    <n v="28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2130"/>
    <n v="5270"/>
    <n v="7400"/>
    <e v="#DIV/0!"/>
    <m/>
    <m/>
    <m/>
    <n v="1170"/>
    <m/>
    <n v="2810"/>
    <m/>
    <m/>
    <n v="266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350"/>
    <n v="6580"/>
    <n v="8930"/>
    <e v="#DIV/0!"/>
    <m/>
    <m/>
    <m/>
    <n v="780"/>
    <m/>
    <n v="3270"/>
    <m/>
    <m/>
    <n v="27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940"/>
    <n v="7110"/>
    <n v="9050"/>
    <e v="#DIV/0!"/>
    <m/>
    <m/>
    <m/>
    <n v="800"/>
    <m/>
    <n v="2580"/>
    <m/>
    <m/>
    <n v="291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80"/>
    <n v="6930"/>
    <n v="9210"/>
    <e v="#DIV/0!"/>
    <m/>
    <m/>
    <m/>
    <n v="880"/>
    <m/>
    <n v="2450"/>
    <m/>
    <m/>
    <n v="209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910"/>
    <n v="7890"/>
    <n v="9800"/>
    <e v="#DIV/0!"/>
    <m/>
    <m/>
    <m/>
    <n v="740"/>
    <m/>
    <n v="1610"/>
    <m/>
    <m/>
    <n v="26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190"/>
    <n v="6660"/>
    <n v="8850"/>
    <e v="#DIV/0!"/>
    <m/>
    <m/>
    <m/>
    <n v="900"/>
    <m/>
    <n v="2170"/>
    <m/>
    <m/>
    <n v="260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570"/>
    <n v="7100"/>
    <n v="8670"/>
    <e v="#DIV/0!"/>
    <m/>
    <m/>
    <m/>
    <n v="680"/>
    <m/>
    <n v="1590"/>
    <m/>
    <m/>
    <n v="256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570"/>
    <n v="6490"/>
    <n v="8060"/>
    <e v="#DIV/0!"/>
    <m/>
    <m/>
    <m/>
    <n v="680"/>
    <m/>
    <n v="1840"/>
    <m/>
    <m/>
    <n v="221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1750"/>
    <n v="6590"/>
    <n v="8340"/>
    <e v="#DIV/0!"/>
    <m/>
    <m/>
    <m/>
    <n v="690"/>
    <m/>
    <n v="1890"/>
    <m/>
    <m/>
    <n v="269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590"/>
    <n v="2060"/>
    <n v="2650"/>
    <e v="#DIV/0!"/>
    <m/>
    <m/>
    <m/>
    <n v="160"/>
    <m/>
    <n v="580"/>
    <m/>
    <m/>
    <n v="770"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n v="740"/>
    <n v="3030"/>
    <n v="3770"/>
    <e v="#DIV/0!"/>
    <m/>
    <m/>
    <m/>
    <n v="300"/>
    <m/>
    <n v="1000"/>
    <m/>
    <m/>
    <n v="99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1400"/>
    <n v="4640"/>
    <n v="6040"/>
    <e v="#DIV/0!"/>
    <m/>
    <m/>
    <m/>
    <n v="360"/>
    <m/>
    <n v="840"/>
    <m/>
    <m/>
    <n v="14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40"/>
    <n v="2280"/>
    <n v="2620"/>
    <e v="#DIV/0!"/>
    <m/>
    <m/>
    <m/>
    <n v="580"/>
    <m/>
    <n v="100"/>
    <m/>
    <m/>
    <n v="71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1011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510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620"/>
    <n v="3120"/>
    <n v="3740"/>
    <e v="#DIV/0!"/>
    <m/>
    <m/>
    <m/>
    <n v="280"/>
    <m/>
    <n v="24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98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99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620"/>
    <n v="1030"/>
    <n v="1650"/>
    <e v="#DIV/0!"/>
    <m/>
    <m/>
    <m/>
    <n v="290"/>
    <m/>
    <n v="300"/>
    <m/>
    <m/>
    <n v="4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90"/>
    <n v="190"/>
    <n v="280"/>
    <e v="#DIV/0!"/>
    <m/>
    <m/>
    <m/>
    <n v="10"/>
    <m/>
    <n v="20"/>
    <m/>
    <m/>
    <n v="1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0"/>
    <n v="60"/>
    <n v="90"/>
    <e v="#DIV/0!"/>
    <m/>
    <m/>
    <m/>
    <n v="0"/>
    <m/>
    <n v="0"/>
    <m/>
    <m/>
    <n v="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3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70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6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7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80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10"/>
    <n v="1660"/>
    <n v="1970"/>
    <e v="#DIV/0!"/>
    <m/>
    <m/>
    <m/>
    <n v="280"/>
    <m/>
    <n v="140"/>
    <m/>
    <m/>
    <n v="116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1110"/>
    <n v="1560"/>
    <n v="2670"/>
    <e v="#DIV/0!"/>
    <m/>
    <m/>
    <m/>
    <n v="270"/>
    <m/>
    <n v="300"/>
    <m/>
    <m/>
    <n v="47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280"/>
    <n v="1070"/>
    <n v="1350"/>
    <e v="#DIV/0!"/>
    <m/>
    <m/>
    <m/>
    <n v="270"/>
    <m/>
    <n v="420"/>
    <m/>
    <m/>
    <n v="2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0"/>
    <n v="290"/>
    <n v="310"/>
    <e v="#DIV/0!"/>
    <m/>
    <m/>
    <m/>
    <n v="80"/>
    <m/>
    <n v="100"/>
    <m/>
    <m/>
    <n v="11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40"/>
    <n v="1220"/>
    <n v="1660"/>
    <e v="#DIV/0!"/>
    <m/>
    <m/>
    <m/>
    <n v="950"/>
    <m/>
    <n v="110"/>
    <m/>
    <m/>
    <n v="157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"/>
    <n v="90"/>
    <n v="100"/>
    <e v="#DIV/0!"/>
    <m/>
    <m/>
    <m/>
    <n v="20"/>
    <m/>
    <n v="0"/>
    <m/>
    <m/>
    <n v="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5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9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30"/>
    <n v="1030"/>
    <n v="1360"/>
    <e v="#DIV/0!"/>
    <m/>
    <m/>
    <m/>
    <n v="590"/>
    <m/>
    <n v="90"/>
    <m/>
    <m/>
    <n v="9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20"/>
    <n v="1280"/>
    <n v="1700"/>
    <e v="#DIV/0!"/>
    <m/>
    <m/>
    <m/>
    <n v="1130"/>
    <m/>
    <n v="120"/>
    <m/>
    <m/>
    <n v="10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30"/>
    <n v="1460"/>
    <n v="1890"/>
    <e v="#DIV/0!"/>
    <m/>
    <m/>
    <m/>
    <n v="1140"/>
    <m/>
    <n v="130"/>
    <m/>
    <m/>
    <n v="12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70"/>
    <n v="570"/>
    <n v="640"/>
    <e v="#DIV/0!"/>
    <m/>
    <m/>
    <m/>
    <n v="500"/>
    <m/>
    <n v="70"/>
    <m/>
    <m/>
    <n v="57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80"/>
    <n v="2110"/>
    <n v="2390"/>
    <e v="#DIV/0!"/>
    <m/>
    <m/>
    <m/>
    <n v="570"/>
    <m/>
    <n v="80"/>
    <m/>
    <m/>
    <n v="880"/>
    <x v="360"/>
    <m/>
    <m/>
    <m/>
    <m/>
    <m/>
    <m/>
  </r>
  <r>
    <m/>
    <x v="22"/>
    <x v="408"/>
    <m/>
    <n v="190"/>
    <m/>
    <m/>
    <m/>
    <m/>
    <m/>
    <m/>
    <m/>
    <m/>
    <m/>
    <m/>
    <m/>
    <m/>
    <m/>
    <m/>
    <m/>
    <m/>
    <n v="610"/>
    <n v="2740"/>
    <n v="3350"/>
    <e v="#DIV/0!"/>
    <m/>
    <m/>
    <m/>
    <n v="430"/>
    <m/>
    <n v="240"/>
    <m/>
    <m/>
    <n v="11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340"/>
    <n v="6440"/>
    <n v="8780"/>
    <e v="#DIV/0!"/>
    <m/>
    <m/>
    <m/>
    <n v="530"/>
    <m/>
    <n v="800"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770"/>
    <n v="2030"/>
    <n v="2800"/>
    <e v="#DIV/0!"/>
    <m/>
    <m/>
    <m/>
    <n v="140"/>
    <m/>
    <n v="290"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410"/>
    <n v="3010"/>
    <n v="4420"/>
    <e v="#DIV/0!"/>
    <m/>
    <m/>
    <m/>
    <n v="370"/>
    <m/>
    <n v="720"/>
    <m/>
    <m/>
    <n v="14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660"/>
    <n v="1400"/>
    <n v="2060"/>
    <e v="#DIV/0!"/>
    <m/>
    <m/>
    <m/>
    <n v="100"/>
    <m/>
    <n v="290"/>
    <m/>
    <m/>
    <n v="87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9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4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00"/>
    <n v="210"/>
    <n v="310"/>
    <e v="#DIV/0!"/>
    <m/>
    <m/>
    <m/>
    <n v="50"/>
    <m/>
    <n v="0"/>
    <m/>
    <m/>
    <n v="6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0"/>
    <n v="10"/>
    <n v="10"/>
    <e v="#DIV/0!"/>
    <m/>
    <m/>
    <m/>
    <n v="0"/>
    <m/>
    <n v="0"/>
    <m/>
    <m/>
    <n v="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60"/>
    <n v="400"/>
    <n v="660"/>
    <e v="#DIV/0!"/>
    <m/>
    <m/>
    <m/>
    <n v="470"/>
    <m/>
    <n v="1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0"/>
    <n v="0"/>
    <n v="0"/>
    <e v="#DIV/0!"/>
    <m/>
    <m/>
    <m/>
    <n v="10"/>
    <m/>
    <n v="0"/>
    <m/>
    <m/>
    <n v="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90"/>
    <n v="80"/>
    <n v="170"/>
    <e v="#DIV/0!"/>
    <m/>
    <m/>
    <m/>
    <n v="30"/>
    <m/>
    <n v="3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10"/>
    <n v="360"/>
    <n v="470"/>
    <e v="#DIV/0!"/>
    <m/>
    <m/>
    <m/>
    <n v="210"/>
    <m/>
    <n v="6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4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80"/>
    <n v="320"/>
    <n v="400"/>
    <e v="#DIV/0!"/>
    <m/>
    <m/>
    <m/>
    <n v="90"/>
    <m/>
    <n v="30"/>
    <m/>
    <m/>
    <n v="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97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4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9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76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31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20"/>
    <n v="2220"/>
    <n v="3440"/>
    <e v="#DIV/0!"/>
    <m/>
    <m/>
    <m/>
    <n v="300"/>
    <m/>
    <n v="500"/>
    <m/>
    <m/>
    <n v="100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020"/>
    <n v="2320"/>
    <n v="3340"/>
    <e v="#DIV/0!"/>
    <m/>
    <m/>
    <m/>
    <n v="330"/>
    <m/>
    <n v="400"/>
    <m/>
    <m/>
    <n v="99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080"/>
    <n v="1670"/>
    <n v="2750"/>
    <e v="#DIV/0!"/>
    <m/>
    <m/>
    <m/>
    <n v="130"/>
    <m/>
    <n v="510"/>
    <m/>
    <m/>
    <n v="44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790"/>
    <n v="1140"/>
    <n v="1930"/>
    <e v="#DIV/0!"/>
    <m/>
    <m/>
    <m/>
    <n v="130"/>
    <m/>
    <n v="380"/>
    <m/>
    <m/>
    <n v="24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630"/>
    <n v="730"/>
    <n v="1360"/>
    <e v="#DIV/0!"/>
    <m/>
    <m/>
    <m/>
    <n v="70"/>
    <m/>
    <n v="210"/>
    <m/>
    <m/>
    <n v="1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3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80"/>
    <n v="940"/>
    <n v="1320"/>
    <e v="#DIV/0!"/>
    <m/>
    <m/>
    <m/>
    <n v="180"/>
    <m/>
    <n v="70"/>
    <m/>
    <m/>
    <n v="30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160"/>
    <n v="440"/>
    <n v="600"/>
    <e v="#DIV/0!"/>
    <m/>
    <m/>
    <m/>
    <n v="80"/>
    <m/>
    <n v="60"/>
    <m/>
    <m/>
    <n v="5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67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7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73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133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12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91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0"/>
    <n v="70"/>
    <n v="100"/>
    <e v="#DIV/0!"/>
    <m/>
    <m/>
    <m/>
    <n v="90"/>
    <m/>
    <n v="0"/>
    <m/>
    <m/>
    <n v="12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0"/>
    <n v="240"/>
    <n v="270"/>
    <e v="#DIV/0!"/>
    <m/>
    <m/>
    <m/>
    <n v="90"/>
    <m/>
    <n v="10"/>
    <m/>
    <m/>
    <n v="31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70"/>
    <n v="240"/>
    <n v="410"/>
    <e v="#DIV/0!"/>
    <m/>
    <m/>
    <m/>
    <n v="80"/>
    <m/>
    <n v="3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0"/>
    <n v="760"/>
    <n v="860"/>
    <e v="#DIV/0!"/>
    <m/>
    <m/>
    <m/>
    <n v="800"/>
    <m/>
    <n v="40"/>
    <m/>
    <m/>
    <n v="81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310"/>
    <n v="1630"/>
    <n v="1940"/>
    <e v="#DIV/0!"/>
    <m/>
    <m/>
    <m/>
    <n v="790"/>
    <m/>
    <n v="100"/>
    <m/>
    <m/>
    <n v="151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320"/>
    <n v="1700"/>
    <n v="2020"/>
    <e v="#DIV/0!"/>
    <m/>
    <m/>
    <m/>
    <n v="1310"/>
    <m/>
    <n v="50"/>
    <m/>
    <m/>
    <n v="17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0"/>
    <n v="550"/>
    <n v="680"/>
    <e v="#DIV/0!"/>
    <m/>
    <m/>
    <m/>
    <n v="250"/>
    <m/>
    <n v="30"/>
    <m/>
    <m/>
    <n v="19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50"/>
    <n v="520"/>
    <n v="570"/>
    <e v="#DIV/0!"/>
    <m/>
    <m/>
    <m/>
    <n v="70"/>
    <m/>
    <n v="20"/>
    <m/>
    <m/>
    <n v="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30"/>
    <n v="250"/>
    <n v="380"/>
    <e v="#DIV/0!"/>
    <m/>
    <m/>
    <m/>
    <n v="30"/>
    <m/>
    <n v="1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50"/>
    <n v="200"/>
    <n v="250"/>
    <e v="#DIV/0!"/>
    <m/>
    <m/>
    <m/>
    <n v="160"/>
    <m/>
    <n v="10"/>
    <m/>
    <m/>
    <n v="4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389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79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990"/>
    <n v="4580"/>
    <n v="6570"/>
    <e v="#DIV/0!"/>
    <m/>
    <m/>
    <m/>
    <n v="570"/>
    <m/>
    <n v="240"/>
    <m/>
    <m/>
    <n v="190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710"/>
    <n v="3740"/>
    <n v="5450"/>
    <e v="#DIV/0!"/>
    <m/>
    <m/>
    <m/>
    <n v="430"/>
    <m/>
    <n v="270"/>
    <m/>
    <m/>
    <n v="160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60"/>
    <n v="30"/>
    <n v="90"/>
    <e v="#DIV/0!"/>
    <m/>
    <m/>
    <m/>
    <n v="20"/>
    <m/>
    <n v="3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410"/>
    <n v="1150"/>
    <n v="1560"/>
    <e v="#DIV/0!"/>
    <m/>
    <m/>
    <m/>
    <n v="460"/>
    <m/>
    <n v="20"/>
    <m/>
    <m/>
    <n v="79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490"/>
    <n v="3000"/>
    <n v="3490"/>
    <e v="#DIV/0!"/>
    <m/>
    <m/>
    <m/>
    <n v="1090"/>
    <m/>
    <n v="220"/>
    <m/>
    <m/>
    <n v="226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230"/>
    <n v="980"/>
    <n v="1210"/>
    <e v="#DIV/0!"/>
    <m/>
    <m/>
    <m/>
    <n v="540"/>
    <m/>
    <n v="160"/>
    <m/>
    <m/>
    <n v="7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0"/>
    <n v="810"/>
    <n v="910"/>
    <e v="#DIV/0!"/>
    <m/>
    <m/>
    <m/>
    <n v="230"/>
    <m/>
    <n v="40"/>
    <m/>
    <m/>
    <n v="21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1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0"/>
    <n v="170"/>
    <n v="190"/>
    <e v="#DIV/0!"/>
    <m/>
    <m/>
    <m/>
    <n v="0"/>
    <m/>
    <n v="50"/>
    <m/>
    <m/>
    <n v="7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60"/>
    <n v="210"/>
    <n v="270"/>
    <e v="#DIV/0!"/>
    <m/>
    <m/>
    <m/>
    <n v="80"/>
    <m/>
    <n v="20"/>
    <m/>
    <m/>
    <n v="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60"/>
    <n v="120"/>
    <n v="180"/>
    <e v="#DIV/0!"/>
    <m/>
    <m/>
    <m/>
    <n v="210"/>
    <m/>
    <n v="0"/>
    <m/>
    <m/>
    <n v="1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9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9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8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8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6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9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1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20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5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"/>
    <n v="50"/>
    <n v="70"/>
    <e v="#DIV/0!"/>
    <m/>
    <m/>
    <m/>
    <n v="10"/>
    <m/>
    <n v="30"/>
    <m/>
    <m/>
    <n v="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34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8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51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0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628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501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331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1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12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420"/>
    <n v="1210"/>
    <n v="1630"/>
    <e v="#DIV/0!"/>
    <m/>
    <m/>
    <m/>
    <n v="400"/>
    <m/>
    <n v="100"/>
    <m/>
    <m/>
    <n v="8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40"/>
    <n v="970"/>
    <n v="1210"/>
    <e v="#DIV/0!"/>
    <m/>
    <m/>
    <m/>
    <n v="430"/>
    <m/>
    <n v="70"/>
    <m/>
    <m/>
    <n v="71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410"/>
    <n v="1100"/>
    <n v="1510"/>
    <e v="#DIV/0!"/>
    <m/>
    <m/>
    <m/>
    <n v="500"/>
    <m/>
    <n v="70"/>
    <m/>
    <m/>
    <n v="40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420"/>
    <n v="1640"/>
    <n v="2060"/>
    <e v="#DIV/0!"/>
    <m/>
    <m/>
    <m/>
    <n v="390"/>
    <m/>
    <n v="130"/>
    <m/>
    <m/>
    <n v="5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950"/>
    <n v="2880"/>
    <n v="4830"/>
    <e v="#DIV/0!"/>
    <m/>
    <m/>
    <m/>
    <n v="560"/>
    <m/>
    <n v="300"/>
    <m/>
    <m/>
    <n v="16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140"/>
    <n v="1290"/>
    <n v="2430"/>
    <e v="#DIV/0!"/>
    <m/>
    <m/>
    <m/>
    <n v="120"/>
    <m/>
    <n v="130"/>
    <m/>
    <m/>
    <n v="5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90"/>
    <n v="500"/>
    <n v="790"/>
    <e v="#DIV/0!"/>
    <m/>
    <m/>
    <m/>
    <n v="40"/>
    <m/>
    <n v="60"/>
    <m/>
    <m/>
    <n v="2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17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8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136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07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191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126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1003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96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590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70"/>
    <n v="940"/>
    <n v="1410"/>
    <e v="#DIV/0!"/>
    <m/>
    <m/>
    <m/>
    <n v="120"/>
    <m/>
    <n v="21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10"/>
    <n v="2000"/>
    <n v="3210"/>
    <e v="#DIV/0!"/>
    <m/>
    <m/>
    <m/>
    <n v="500"/>
    <m/>
    <n v="280"/>
    <m/>
    <m/>
    <n v="9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10"/>
    <n v="3470"/>
    <n v="5480"/>
    <e v="#DIV/0!"/>
    <m/>
    <m/>
    <m/>
    <n v="610"/>
    <m/>
    <n v="600"/>
    <m/>
    <m/>
    <n v="16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010"/>
    <n v="2920"/>
    <n v="4930"/>
    <e v="#DIV/0!"/>
    <m/>
    <m/>
    <m/>
    <n v="1170"/>
    <m/>
    <n v="860"/>
    <m/>
    <m/>
    <n v="163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30"/>
    <n v="490"/>
    <n v="820"/>
    <e v="#DIV/0!"/>
    <m/>
    <m/>
    <m/>
    <n v="140"/>
    <m/>
    <n v="110"/>
    <m/>
    <m/>
    <n v="21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53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79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901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901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787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340"/>
    <n v="6230"/>
    <n v="7570"/>
    <e v="#DIV/0!"/>
    <m/>
    <m/>
    <m/>
    <n v="670"/>
    <m/>
    <n v="39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1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2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6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8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430"/>
    <n v="1060"/>
    <n v="1490"/>
    <e v="#DIV/0!"/>
    <m/>
    <m/>
    <m/>
    <n v="960"/>
    <m/>
    <n v="140"/>
    <m/>
    <m/>
    <n v="10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0"/>
    <n v="0"/>
    <n v="0"/>
    <e v="#DIV/0!"/>
    <m/>
    <m/>
    <m/>
    <n v="0"/>
    <m/>
    <n v="0"/>
    <m/>
    <m/>
    <n v="0"/>
    <x v="360"/>
    <m/>
    <m/>
    <m/>
    <m/>
    <m/>
    <m/>
  </r>
  <r>
    <m/>
    <x v="22"/>
    <x v="408"/>
    <m/>
    <n v="50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70"/>
    <n v="100"/>
    <e v="#DIV/0!"/>
    <m/>
    <m/>
    <m/>
    <n v="0"/>
    <m/>
    <n v="40"/>
    <m/>
    <m/>
    <n v="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6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40"/>
    <n v="1340"/>
    <n v="2280"/>
    <e v="#DIV/0!"/>
    <m/>
    <m/>
    <m/>
    <n v="640"/>
    <m/>
    <n v="240"/>
    <m/>
    <m/>
    <n v="93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10"/>
    <n v="1270"/>
    <n v="2280"/>
    <e v="#DIV/0!"/>
    <m/>
    <m/>
    <m/>
    <n v="660"/>
    <m/>
    <n v="170"/>
    <m/>
    <m/>
    <n v="9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10"/>
    <n v="2200"/>
    <n v="3910"/>
    <e v="#DIV/0!"/>
    <m/>
    <m/>
    <m/>
    <n v="1000"/>
    <m/>
    <n v="270"/>
    <m/>
    <m/>
    <n v="13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30"/>
    <n v="1890"/>
    <n v="3120"/>
    <e v="#DIV/0!"/>
    <m/>
    <m/>
    <m/>
    <n v="610"/>
    <m/>
    <n v="260"/>
    <m/>
    <m/>
    <n v="118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020"/>
    <n v="1300"/>
    <n v="2320"/>
    <e v="#DIV/0!"/>
    <m/>
    <m/>
    <m/>
    <n v="470"/>
    <m/>
    <n v="180"/>
    <m/>
    <m/>
    <n v="7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30"/>
    <n v="210"/>
    <n v="340"/>
    <e v="#DIV/0!"/>
    <m/>
    <m/>
    <m/>
    <n v="60"/>
    <m/>
    <n v="0"/>
    <m/>
    <m/>
    <n v="14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700"/>
    <n v="2620"/>
    <n v="4320"/>
    <e v="#DIV/0!"/>
    <m/>
    <m/>
    <m/>
    <n v="480"/>
    <m/>
    <n v="960"/>
    <m/>
    <m/>
    <n v="15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60"/>
    <n v="990"/>
    <n v="1650"/>
    <e v="#DIV/0!"/>
    <m/>
    <m/>
    <m/>
    <n v="260"/>
    <m/>
    <n v="450"/>
    <m/>
    <m/>
    <n v="6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440"/>
    <n v="1800"/>
    <n v="3240"/>
    <e v="#DIV/0!"/>
    <m/>
    <m/>
    <m/>
    <n v="490"/>
    <m/>
    <n v="950"/>
    <m/>
    <m/>
    <n v="147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90"/>
    <n v="1010"/>
    <n v="1600"/>
    <e v="#DIV/0!"/>
    <m/>
    <m/>
    <m/>
    <n v="180"/>
    <m/>
    <n v="510"/>
    <m/>
    <m/>
    <n v="61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0"/>
    <n v="20"/>
    <n v="40"/>
    <e v="#DIV/0!"/>
    <m/>
    <m/>
    <m/>
    <n v="0"/>
    <m/>
    <n v="0"/>
    <m/>
    <m/>
    <n v="1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210"/>
    <n v="4210"/>
    <n v="6420"/>
    <e v="#DIV/0!"/>
    <m/>
    <m/>
    <m/>
    <n v="650"/>
    <m/>
    <n v="320"/>
    <m/>
    <m/>
    <n v="14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570"/>
    <n v="2370"/>
    <n v="3940"/>
    <e v="#DIV/0!"/>
    <m/>
    <m/>
    <m/>
    <n v="470"/>
    <m/>
    <n v="180"/>
    <m/>
    <m/>
    <n v="12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70"/>
    <n v="370"/>
    <n v="540"/>
    <e v="#DIV/0!"/>
    <m/>
    <m/>
    <m/>
    <n v="30"/>
    <m/>
    <n v="4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700"/>
    <n v="2510"/>
    <n v="3210"/>
    <e v="#DIV/0!"/>
    <m/>
    <m/>
    <m/>
    <n v="160"/>
    <m/>
    <n v="8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30"/>
    <n v="1050"/>
    <n v="1480"/>
    <e v="#DIV/0!"/>
    <m/>
    <m/>
    <m/>
    <n v="160"/>
    <m/>
    <n v="5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0"/>
    <n v="700"/>
    <n v="1000"/>
    <e v="#DIV/0!"/>
    <m/>
    <m/>
    <m/>
    <n v="90"/>
    <m/>
    <n v="1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0"/>
    <n v="230"/>
    <n v="290"/>
    <e v="#DIV/0!"/>
    <m/>
    <m/>
    <m/>
    <n v="30"/>
    <m/>
    <n v="40"/>
    <m/>
    <m/>
    <n v="2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0"/>
    <n v="150"/>
    <n v="270"/>
    <e v="#DIV/0!"/>
    <m/>
    <m/>
    <m/>
    <n v="40"/>
    <m/>
    <n v="0"/>
    <m/>
    <m/>
    <n v="1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30"/>
    <n v="430"/>
    <n v="560"/>
    <e v="#DIV/0!"/>
    <m/>
    <m/>
    <m/>
    <n v="220"/>
    <m/>
    <n v="40"/>
    <m/>
    <m/>
    <n v="4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30"/>
    <n v="440"/>
    <n v="670"/>
    <e v="#DIV/0!"/>
    <m/>
    <m/>
    <m/>
    <n v="400"/>
    <m/>
    <n v="40"/>
    <m/>
    <m/>
    <n v="76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00"/>
    <n v="800"/>
    <n v="1100"/>
    <e v="#DIV/0!"/>
    <m/>
    <m/>
    <m/>
    <n v="350"/>
    <m/>
    <n v="110"/>
    <m/>
    <m/>
    <n v="8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50"/>
    <n v="880"/>
    <n v="1230"/>
    <e v="#DIV/0!"/>
    <m/>
    <m/>
    <m/>
    <n v="310"/>
    <m/>
    <n v="80"/>
    <m/>
    <m/>
    <n v="6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20"/>
    <n v="670"/>
    <n v="890"/>
    <e v="#DIV/0!"/>
    <m/>
    <m/>
    <m/>
    <n v="370"/>
    <m/>
    <n v="40"/>
    <m/>
    <m/>
    <n v="7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80"/>
    <n v="1410"/>
    <n v="1890"/>
    <e v="#DIV/0!"/>
    <m/>
    <m/>
    <m/>
    <n v="1000"/>
    <m/>
    <n v="80"/>
    <m/>
    <m/>
    <n v="210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80"/>
    <n v="1310"/>
    <n v="1690"/>
    <e v="#DIV/0!"/>
    <m/>
    <m/>
    <m/>
    <n v="810"/>
    <m/>
    <n v="90"/>
    <m/>
    <m/>
    <n v="15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500"/>
    <n v="1200"/>
    <n v="1700"/>
    <e v="#DIV/0!"/>
    <m/>
    <m/>
    <m/>
    <n v="850"/>
    <m/>
    <n v="140"/>
    <m/>
    <m/>
    <n v="15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90"/>
    <n v="860"/>
    <n v="1150"/>
    <e v="#DIV/0!"/>
    <m/>
    <m/>
    <m/>
    <n v="670"/>
    <m/>
    <n v="60"/>
    <m/>
    <m/>
    <n v="14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0"/>
    <n v="10"/>
    <n v="20"/>
    <e v="#DIV/0!"/>
    <m/>
    <m/>
    <m/>
    <n v="40"/>
    <m/>
    <n v="0"/>
    <m/>
    <m/>
    <n v="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990"/>
    <n v="2270"/>
    <n v="3260"/>
    <e v="#DIV/0!"/>
    <m/>
    <m/>
    <m/>
    <n v="900"/>
    <m/>
    <n v="130"/>
    <m/>
    <m/>
    <n v="19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230"/>
    <n v="2710"/>
    <n v="3940"/>
    <e v="#DIV/0!"/>
    <m/>
    <m/>
    <m/>
    <n v="750"/>
    <m/>
    <n v="170"/>
    <m/>
    <m/>
    <n v="197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140"/>
    <n v="2030"/>
    <n v="3170"/>
    <e v="#DIV/0!"/>
    <m/>
    <m/>
    <m/>
    <n v="710"/>
    <m/>
    <n v="150"/>
    <m/>
    <m/>
    <n v="204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30"/>
    <n v="190"/>
    <n v="320"/>
    <e v="#DIV/0!"/>
    <m/>
    <m/>
    <m/>
    <n v="20"/>
    <m/>
    <n v="0"/>
    <m/>
    <m/>
    <n v="15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53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3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1066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964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799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545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7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0"/>
    <n v="0"/>
    <n v="60"/>
    <e v="#DIV/0!"/>
    <m/>
    <m/>
    <m/>
    <n v="10"/>
    <m/>
    <n v="0"/>
    <m/>
    <m/>
    <n v="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90"/>
    <n v="20"/>
    <n v="110"/>
    <e v="#DIV/0!"/>
    <m/>
    <m/>
    <m/>
    <n v="0"/>
    <m/>
    <n v="0"/>
    <m/>
    <m/>
    <n v="1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0"/>
    <n v="80"/>
    <n v="110"/>
    <e v="#DIV/0!"/>
    <m/>
    <m/>
    <m/>
    <n v="10"/>
    <m/>
    <n v="0"/>
    <m/>
    <m/>
    <n v="6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0"/>
    <n v="120"/>
    <n v="140"/>
    <e v="#DIV/0!"/>
    <m/>
    <m/>
    <m/>
    <n v="30"/>
    <m/>
    <n v="2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0"/>
    <n v="80"/>
    <n v="100"/>
    <e v="#DIV/0!"/>
    <m/>
    <m/>
    <m/>
    <n v="0"/>
    <m/>
    <n v="10"/>
    <m/>
    <m/>
    <n v="2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20"/>
    <n v="70"/>
    <n v="90"/>
    <e v="#DIV/0!"/>
    <m/>
    <m/>
    <m/>
    <n v="50"/>
    <m/>
    <n v="20"/>
    <m/>
    <m/>
    <n v="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0"/>
    <n v="30"/>
    <n v="30"/>
    <e v="#DIV/0!"/>
    <m/>
    <m/>
    <m/>
    <n v="10"/>
    <m/>
    <n v="10"/>
    <m/>
    <m/>
    <n v="20"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n v="280"/>
    <n v="1560"/>
    <n v="1840"/>
    <e v="#DIV/0!"/>
    <m/>
    <m/>
    <m/>
    <n v="230"/>
    <m/>
    <n v="280"/>
    <m/>
    <m/>
    <n v="4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"/>
    <n v="90"/>
    <n v="100"/>
    <e v="#DIV/0!"/>
    <m/>
    <m/>
    <m/>
    <n v="90"/>
    <m/>
    <n v="0"/>
    <m/>
    <m/>
    <n v="1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50"/>
    <n v="220"/>
    <n v="370"/>
    <e v="#DIV/0!"/>
    <m/>
    <m/>
    <m/>
    <n v="30"/>
    <m/>
    <n v="1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6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20"/>
    <n v="400"/>
    <n v="520"/>
    <e v="#DIV/0!"/>
    <m/>
    <m/>
    <m/>
    <n v="390"/>
    <m/>
    <n v="30"/>
    <m/>
    <m/>
    <n v="4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60"/>
    <n v="1660"/>
    <n v="1920"/>
    <e v="#DIV/0!"/>
    <m/>
    <m/>
    <m/>
    <n v="1230"/>
    <m/>
    <n v="90"/>
    <m/>
    <m/>
    <n v="114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0"/>
    <n v="350"/>
    <n v="390"/>
    <e v="#DIV/0!"/>
    <m/>
    <m/>
    <m/>
    <n v="250"/>
    <m/>
    <n v="50"/>
    <m/>
    <m/>
    <n v="29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0"/>
    <n v="70"/>
    <n v="90"/>
    <e v="#DIV/0!"/>
    <m/>
    <m/>
    <m/>
    <n v="40"/>
    <m/>
    <n v="0"/>
    <m/>
    <m/>
    <n v="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0"/>
    <n v="300"/>
    <n v="360"/>
    <e v="#DIV/0!"/>
    <m/>
    <m/>
    <m/>
    <n v="0"/>
    <m/>
    <n v="20"/>
    <m/>
    <m/>
    <n v="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3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9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0"/>
    <n v="110"/>
    <n v="170"/>
    <e v="#DIV/0!"/>
    <m/>
    <m/>
    <m/>
    <n v="70"/>
    <m/>
    <n v="10"/>
    <m/>
    <m/>
    <n v="22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0"/>
    <n v="610"/>
    <n v="650"/>
    <e v="#DIV/0!"/>
    <m/>
    <m/>
    <m/>
    <n v="130"/>
    <m/>
    <n v="40"/>
    <m/>
    <m/>
    <n v="1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00"/>
    <n v="1010"/>
    <n v="1310"/>
    <e v="#DIV/0!"/>
    <m/>
    <m/>
    <m/>
    <n v="590"/>
    <m/>
    <n v="170"/>
    <m/>
    <m/>
    <n v="7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50"/>
    <n v="1460"/>
    <n v="1910"/>
    <e v="#DIV/0!"/>
    <m/>
    <m/>
    <m/>
    <n v="1030"/>
    <m/>
    <n v="180"/>
    <m/>
    <m/>
    <n v="150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540"/>
    <n v="1500"/>
    <n v="2040"/>
    <e v="#DIV/0!"/>
    <m/>
    <m/>
    <m/>
    <n v="910"/>
    <m/>
    <n v="120"/>
    <m/>
    <m/>
    <n v="173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70"/>
    <n v="1480"/>
    <n v="1850"/>
    <e v="#DIV/0!"/>
    <m/>
    <m/>
    <m/>
    <n v="950"/>
    <m/>
    <n v="60"/>
    <m/>
    <m/>
    <n v="184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340"/>
    <n v="1850"/>
    <n v="2190"/>
    <e v="#DIV/0!"/>
    <m/>
    <m/>
    <m/>
    <n v="920"/>
    <m/>
    <n v="40"/>
    <m/>
    <m/>
    <n v="16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10"/>
    <n v="2060"/>
    <n v="2370"/>
    <e v="#DIV/0!"/>
    <m/>
    <m/>
    <m/>
    <n v="1030"/>
    <m/>
    <n v="110"/>
    <m/>
    <m/>
    <n v="156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360"/>
    <n v="1690"/>
    <n v="2050"/>
    <e v="#DIV/0!"/>
    <m/>
    <m/>
    <m/>
    <n v="900"/>
    <m/>
    <n v="110"/>
    <m/>
    <m/>
    <n v="158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80"/>
    <n v="1820"/>
    <n v="2300"/>
    <e v="#DIV/0!"/>
    <m/>
    <m/>
    <m/>
    <n v="780"/>
    <m/>
    <n v="50"/>
    <m/>
    <m/>
    <n v="14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48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30"/>
    <n v="20"/>
    <n v="50"/>
    <e v="#DIV/0!"/>
    <m/>
    <m/>
    <m/>
    <n v="0"/>
    <m/>
    <n v="0"/>
    <m/>
    <m/>
    <n v="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50"/>
    <n v="80"/>
    <n v="130"/>
    <e v="#DIV/0!"/>
    <m/>
    <m/>
    <m/>
    <n v="40"/>
    <m/>
    <n v="10"/>
    <m/>
    <m/>
    <n v="1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420"/>
    <n v="930"/>
    <n v="1350"/>
    <e v="#DIV/0!"/>
    <m/>
    <m/>
    <m/>
    <n v="160"/>
    <m/>
    <n v="50"/>
    <m/>
    <m/>
    <n v="3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390"/>
    <n v="3790"/>
    <n v="5180"/>
    <e v="#DIV/0!"/>
    <m/>
    <m/>
    <m/>
    <n v="500"/>
    <m/>
    <n v="170"/>
    <m/>
    <m/>
    <n v="166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920"/>
    <n v="1880"/>
    <n v="2800"/>
    <e v="#DIV/0!"/>
    <m/>
    <m/>
    <m/>
    <n v="270"/>
    <m/>
    <n v="120"/>
    <m/>
    <m/>
    <n v="87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230"/>
    <n v="1890"/>
    <n v="3120"/>
    <e v="#DIV/0!"/>
    <m/>
    <m/>
    <m/>
    <n v="260"/>
    <m/>
    <n v="70"/>
    <m/>
    <m/>
    <n v="8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820"/>
    <n v="1530"/>
    <n v="2350"/>
    <e v="#DIV/0!"/>
    <m/>
    <m/>
    <m/>
    <n v="200"/>
    <m/>
    <n v="100"/>
    <m/>
    <m/>
    <n v="65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2200"/>
    <n v="4130"/>
    <n v="6330"/>
    <e v="#DIV/0!"/>
    <m/>
    <m/>
    <m/>
    <n v="1250"/>
    <m/>
    <n v="980"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2040"/>
    <n v="3760"/>
    <n v="5800"/>
    <e v="#DIV/0!"/>
    <m/>
    <m/>
    <m/>
    <n v="1090"/>
    <m/>
    <n v="1120"/>
    <m/>
    <m/>
    <n v="22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2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0"/>
    <n v="0"/>
    <n v="0"/>
    <e v="#DIV/0!"/>
    <m/>
    <m/>
    <m/>
    <n v="0"/>
    <m/>
    <n v="0"/>
    <m/>
    <m/>
    <n v="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920"/>
    <n v="1580"/>
    <n v="2500"/>
    <e v="#DIV/0!"/>
    <m/>
    <m/>
    <m/>
    <n v="560"/>
    <m/>
    <n v="180"/>
    <m/>
    <m/>
    <n v="8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470"/>
    <n v="2770"/>
    <n v="4240"/>
    <e v="#DIV/0!"/>
    <m/>
    <m/>
    <m/>
    <n v="980"/>
    <m/>
    <n v="180"/>
    <m/>
    <m/>
    <n v="95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13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50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3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60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5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01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90"/>
    <n v="1940"/>
    <n v="2530"/>
    <e v="#DIV/0!"/>
    <m/>
    <m/>
    <m/>
    <n v="420"/>
    <m/>
    <n v="21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650"/>
    <n v="1860"/>
    <n v="2510"/>
    <e v="#DIV/0!"/>
    <m/>
    <m/>
    <m/>
    <n v="740"/>
    <m/>
    <n v="18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470"/>
    <n v="1870"/>
    <n v="2340"/>
    <e v="#DIV/0!"/>
    <m/>
    <m/>
    <m/>
    <n v="680"/>
    <m/>
    <n v="180"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270"/>
    <n v="760"/>
    <n v="1030"/>
    <e v="#DIV/0!"/>
    <m/>
    <m/>
    <m/>
    <n v="250"/>
    <m/>
    <n v="8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249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1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33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3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517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469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319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2890"/>
    <e v="#DIV/0!"/>
    <m/>
    <m/>
    <m/>
    <m/>
    <m/>
    <m/>
    <m/>
    <m/>
    <m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n v="120"/>
    <n v="750"/>
    <n v="870"/>
    <e v="#DIV/0!"/>
    <m/>
    <m/>
    <m/>
    <n v="300"/>
    <m/>
    <n v="140"/>
    <m/>
    <m/>
    <n v="560"/>
    <x v="360"/>
    <m/>
    <m/>
    <m/>
    <m/>
    <m/>
    <m/>
  </r>
  <r>
    <m/>
    <x v="22"/>
    <x v="408"/>
    <m/>
    <n v="20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33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4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295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59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259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330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251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168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31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492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72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323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52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35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60"/>
    <n v="140"/>
    <n v="200"/>
    <e v="#DIV/0!"/>
    <m/>
    <m/>
    <m/>
    <n v="30"/>
    <m/>
    <n v="3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280"/>
    <n v="540"/>
    <n v="820"/>
    <e v="#DIV/0!"/>
    <m/>
    <m/>
    <m/>
    <n v="370"/>
    <m/>
    <n v="60"/>
    <m/>
    <m/>
    <n v="6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10"/>
    <n v="450"/>
    <n v="660"/>
    <e v="#DIV/0!"/>
    <m/>
    <m/>
    <m/>
    <n v="350"/>
    <m/>
    <n v="70"/>
    <m/>
    <m/>
    <n v="3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70"/>
    <n v="610"/>
    <n v="880"/>
    <e v="#DIV/0!"/>
    <m/>
    <m/>
    <m/>
    <n v="720"/>
    <m/>
    <n v="50"/>
    <m/>
    <m/>
    <n v="6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48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3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510"/>
    <n v="1280"/>
    <n v="1790"/>
    <e v="#DIV/0!"/>
    <m/>
    <m/>
    <m/>
    <n v="220"/>
    <m/>
    <n v="710"/>
    <m/>
    <m/>
    <n v="4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67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7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700"/>
    <n v="860"/>
    <n v="1560"/>
    <e v="#DIV/0!"/>
    <m/>
    <m/>
    <m/>
    <n v="610"/>
    <m/>
    <n v="250"/>
    <m/>
    <m/>
    <n v="8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20"/>
    <n v="50"/>
    <e v="#DIV/0!"/>
    <m/>
    <m/>
    <m/>
    <n v="40"/>
    <m/>
    <n v="20"/>
    <m/>
    <m/>
    <n v="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650"/>
    <n v="2280"/>
    <n v="3930"/>
    <e v="#DIV/0!"/>
    <m/>
    <m/>
    <m/>
    <n v="640"/>
    <m/>
    <n v="360"/>
    <m/>
    <m/>
    <n v="136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750"/>
    <n v="2260"/>
    <n v="4010"/>
    <e v="#DIV/0!"/>
    <m/>
    <m/>
    <m/>
    <n v="400"/>
    <m/>
    <n v="130"/>
    <m/>
    <m/>
    <n v="127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910"/>
    <n v="1930"/>
    <n v="2840"/>
    <e v="#DIV/0!"/>
    <m/>
    <m/>
    <m/>
    <n v="340"/>
    <m/>
    <n v="100"/>
    <m/>
    <m/>
    <n v="89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870"/>
    <n v="2930"/>
    <n v="3800"/>
    <e v="#DIV/0!"/>
    <m/>
    <m/>
    <m/>
    <n v="420"/>
    <m/>
    <n v="70"/>
    <m/>
    <m/>
    <n v="94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210"/>
    <n v="570"/>
    <n v="780"/>
    <e v="#DIV/0!"/>
    <m/>
    <m/>
    <m/>
    <n v="280"/>
    <m/>
    <n v="80"/>
    <m/>
    <m/>
    <n v="5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50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100"/>
    <n v="2330"/>
    <n v="3430"/>
    <e v="#DIV/0!"/>
    <m/>
    <m/>
    <m/>
    <n v="230"/>
    <m/>
    <n v="42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140"/>
    <n v="4750"/>
    <n v="6890"/>
    <e v="#DIV/0!"/>
    <m/>
    <m/>
    <m/>
    <n v="380"/>
    <m/>
    <n v="118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870"/>
    <n v="3650"/>
    <n v="5520"/>
    <e v="#DIV/0!"/>
    <m/>
    <m/>
    <m/>
    <n v="250"/>
    <m/>
    <n v="62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600"/>
    <n v="1180"/>
    <n v="1780"/>
    <e v="#DIV/0!"/>
    <m/>
    <m/>
    <m/>
    <n v="140"/>
    <m/>
    <n v="280"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7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30"/>
    <n v="40"/>
    <n v="70"/>
    <e v="#DIV/0!"/>
    <m/>
    <m/>
    <m/>
    <n v="10"/>
    <m/>
    <n v="0"/>
    <m/>
    <m/>
    <n v="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197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32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469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15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0"/>
    <n v="0"/>
    <n v="10"/>
    <e v="#DIV/0!"/>
    <m/>
    <m/>
    <m/>
    <n v="0"/>
    <m/>
    <n v="0"/>
    <m/>
    <m/>
    <n v="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00"/>
    <n v="160"/>
    <n v="260"/>
    <e v="#DIV/0!"/>
    <m/>
    <m/>
    <m/>
    <n v="70"/>
    <m/>
    <n v="1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6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244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210"/>
    <n v="960"/>
    <n v="1170"/>
    <e v="#DIV/0!"/>
    <m/>
    <m/>
    <m/>
    <n v="170"/>
    <m/>
    <n v="70"/>
    <m/>
    <m/>
    <n v="24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27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60"/>
    <n v="400"/>
    <n v="460"/>
    <e v="#DIV/0!"/>
    <m/>
    <m/>
    <m/>
    <n v="200"/>
    <m/>
    <n v="30"/>
    <m/>
    <m/>
    <n v="4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5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94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69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87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310"/>
    <n v="340"/>
    <n v="650"/>
    <e v="#DIV/0!"/>
    <m/>
    <m/>
    <m/>
    <n v="120"/>
    <m/>
    <n v="50"/>
    <m/>
    <m/>
    <n v="2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49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731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7610"/>
    <e v="#DIV/0!"/>
    <m/>
    <m/>
    <m/>
    <m/>
    <m/>
    <m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m/>
    <m/>
    <n v="5280"/>
    <e v="#DIV/0!"/>
    <m/>
    <m/>
    <m/>
    <m/>
    <m/>
    <m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m/>
    <m/>
    <n v="6120"/>
    <e v="#DIV/0!"/>
    <m/>
    <m/>
    <m/>
    <m/>
    <m/>
    <m/>
    <m/>
    <m/>
    <m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m/>
    <m/>
    <n v="3860"/>
    <e v="#DIV/0!"/>
    <m/>
    <m/>
    <m/>
    <m/>
    <m/>
    <m/>
    <m/>
    <m/>
    <m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m/>
    <m/>
    <n v="55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6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0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661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91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09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995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7400"/>
    <e v="#DIV/0!"/>
    <m/>
    <m/>
    <m/>
    <m/>
    <m/>
    <m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m/>
    <m/>
    <n v="72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83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82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480"/>
    <n v="850"/>
    <n v="1330"/>
    <e v="#DIV/0!"/>
    <m/>
    <m/>
    <m/>
    <n v="650"/>
    <m/>
    <n v="2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90"/>
    <n v="580"/>
    <n v="870"/>
    <e v="#DIV/0!"/>
    <m/>
    <m/>
    <m/>
    <n v="290"/>
    <m/>
    <n v="3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0"/>
    <n v="0"/>
    <n v="10"/>
    <e v="#DIV/0!"/>
    <m/>
    <m/>
    <m/>
    <n v="0"/>
    <m/>
    <n v="0"/>
    <m/>
    <m/>
    <n v="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30"/>
    <n v="100"/>
    <n v="130"/>
    <e v="#DIV/0!"/>
    <m/>
    <m/>
    <m/>
    <n v="20"/>
    <m/>
    <n v="0"/>
    <m/>
    <m/>
    <n v="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690"/>
    <n v="1430"/>
    <n v="2120"/>
    <e v="#DIV/0!"/>
    <m/>
    <m/>
    <m/>
    <n v="680"/>
    <m/>
    <n v="170"/>
    <m/>
    <m/>
    <n v="11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50"/>
    <n v="1600"/>
    <n v="2250"/>
    <e v="#DIV/0!"/>
    <m/>
    <m/>
    <m/>
    <n v="730"/>
    <m/>
    <n v="110"/>
    <m/>
    <m/>
    <n v="142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00"/>
    <n v="90"/>
    <n v="190"/>
    <e v="#DIV/0!"/>
    <m/>
    <m/>
    <m/>
    <n v="130"/>
    <m/>
    <n v="20"/>
    <m/>
    <m/>
    <n v="17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338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46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3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326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34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230"/>
    <n v="3550"/>
    <n v="4780"/>
    <e v="#DIV/0!"/>
    <m/>
    <m/>
    <m/>
    <n v="420"/>
    <m/>
    <n v="670"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370"/>
    <n v="4630"/>
    <n v="6000"/>
    <e v="#DIV/0!"/>
    <m/>
    <m/>
    <m/>
    <n v="840"/>
    <m/>
    <n v="53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800"/>
    <n v="2630"/>
    <n v="3430"/>
    <e v="#DIV/0!"/>
    <m/>
    <m/>
    <m/>
    <n v="410"/>
    <m/>
    <n v="200"/>
    <m/>
    <m/>
    <m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750"/>
    <n v="1540"/>
    <n v="2290"/>
    <e v="#DIV/0!"/>
    <m/>
    <m/>
    <m/>
    <n v="330"/>
    <m/>
    <n v="18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290"/>
    <n v="810"/>
    <n v="1100"/>
    <e v="#DIV/0!"/>
    <m/>
    <m/>
    <m/>
    <n v="310"/>
    <m/>
    <n v="150"/>
    <m/>
    <m/>
    <n v="47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500"/>
    <n v="1940"/>
    <n v="3440"/>
    <e v="#DIV/0!"/>
    <m/>
    <m/>
    <m/>
    <n v="760"/>
    <m/>
    <n v="130"/>
    <m/>
    <m/>
    <n v="89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130"/>
    <n v="1490"/>
    <n v="2620"/>
    <e v="#DIV/0!"/>
    <m/>
    <m/>
    <m/>
    <n v="480"/>
    <m/>
    <n v="230"/>
    <m/>
    <m/>
    <n v="7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00"/>
    <n v="2760"/>
    <n v="3960"/>
    <e v="#DIV/0!"/>
    <m/>
    <m/>
    <m/>
    <n v="2050"/>
    <m/>
    <n v="60"/>
    <m/>
    <m/>
    <n v="258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60"/>
    <n v="2350"/>
    <n v="3410"/>
    <e v="#DIV/0!"/>
    <m/>
    <m/>
    <m/>
    <n v="1390"/>
    <m/>
    <n v="70"/>
    <m/>
    <m/>
    <n v="226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60"/>
    <n v="2120"/>
    <n v="3180"/>
    <e v="#DIV/0!"/>
    <m/>
    <m/>
    <m/>
    <n v="1090"/>
    <m/>
    <n v="40"/>
    <m/>
    <m/>
    <n v="211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620"/>
    <n v="1350"/>
    <n v="1970"/>
    <e v="#DIV/0!"/>
    <m/>
    <m/>
    <m/>
    <n v="600"/>
    <m/>
    <n v="90"/>
    <m/>
    <m/>
    <n v="13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950"/>
    <n v="2100"/>
    <n v="3050"/>
    <e v="#DIV/0!"/>
    <m/>
    <m/>
    <m/>
    <n v="1120"/>
    <m/>
    <n v="130"/>
    <m/>
    <m/>
    <n v="21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30"/>
    <n v="100"/>
    <n v="130"/>
    <e v="#DIV/0!"/>
    <m/>
    <m/>
    <m/>
    <n v="20"/>
    <m/>
    <n v="10"/>
    <m/>
    <m/>
    <n v="13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0"/>
    <n v="260"/>
    <n v="340"/>
    <e v="#DIV/0!"/>
    <m/>
    <m/>
    <m/>
    <n v="120"/>
    <m/>
    <n v="30"/>
    <m/>
    <m/>
    <n v="1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152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064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961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38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1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0"/>
    <n v="0"/>
    <n v="0"/>
    <e v="#DIV/0!"/>
    <m/>
    <m/>
    <m/>
    <n v="0"/>
    <m/>
    <n v="0"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480"/>
    <n v="570"/>
    <n v="1050"/>
    <e v="#DIV/0!"/>
    <m/>
    <m/>
    <m/>
    <n v="220"/>
    <m/>
    <n v="9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0"/>
    <n v="100"/>
    <n v="140"/>
    <e v="#DIV/0!"/>
    <m/>
    <m/>
    <m/>
    <n v="60"/>
    <m/>
    <n v="10"/>
    <m/>
    <m/>
    <m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0"/>
    <n v="20"/>
    <n v="30"/>
    <e v="#DIV/0!"/>
    <m/>
    <m/>
    <m/>
    <n v="10"/>
    <m/>
    <n v="10"/>
    <m/>
    <m/>
    <n v="2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10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8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87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20"/>
    <n v="0"/>
    <n v="20"/>
    <e v="#DIV/0!"/>
    <m/>
    <m/>
    <m/>
    <n v="0"/>
    <m/>
    <n v="0"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"/>
    <n v="1690"/>
    <n v="1910"/>
    <e v="#DIV/0!"/>
    <m/>
    <m/>
    <m/>
    <n v="780"/>
    <m/>
    <n v="110"/>
    <m/>
    <m/>
    <n v="180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290"/>
    <n v="1330"/>
    <n v="1620"/>
    <e v="#DIV/0!"/>
    <m/>
    <m/>
    <m/>
    <n v="560"/>
    <m/>
    <n v="60"/>
    <m/>
    <m/>
    <n v="10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80"/>
    <n v="1150"/>
    <n v="1330"/>
    <e v="#DIV/0!"/>
    <m/>
    <m/>
    <m/>
    <n v="440"/>
    <m/>
    <n v="10"/>
    <m/>
    <m/>
    <n v="85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70"/>
    <n v="1300"/>
    <n v="1470"/>
    <e v="#DIV/0!"/>
    <m/>
    <m/>
    <m/>
    <n v="360"/>
    <m/>
    <n v="40"/>
    <m/>
    <m/>
    <n v="105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110"/>
    <n v="620"/>
    <n v="730"/>
    <e v="#DIV/0!"/>
    <m/>
    <m/>
    <m/>
    <n v="420"/>
    <m/>
    <n v="50"/>
    <m/>
    <m/>
    <n v="360"/>
    <x v="360"/>
    <m/>
    <m/>
    <m/>
    <m/>
    <m/>
    <m/>
  </r>
  <r>
    <m/>
    <x v="22"/>
    <x v="408"/>
    <m/>
    <n v="340"/>
    <m/>
    <m/>
    <m/>
    <m/>
    <m/>
    <m/>
    <m/>
    <m/>
    <m/>
    <m/>
    <m/>
    <m/>
    <m/>
    <m/>
    <m/>
    <m/>
    <n v="220"/>
    <n v="1510"/>
    <n v="1730"/>
    <e v="#DIV/0!"/>
    <m/>
    <m/>
    <m/>
    <n v="1280"/>
    <m/>
    <n v="100"/>
    <m/>
    <m/>
    <n v="108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4180"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n v="604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767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140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27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296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470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510"/>
    <n v="1090"/>
    <n v="1600"/>
    <e v="#DIV/0!"/>
    <m/>
    <m/>
    <m/>
    <n v="980"/>
    <m/>
    <n v="30"/>
    <m/>
    <m/>
    <n v="148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430"/>
    <n v="830"/>
    <n v="1260"/>
    <e v="#DIV/0!"/>
    <m/>
    <m/>
    <m/>
    <n v="700"/>
    <m/>
    <n v="80"/>
    <m/>
    <m/>
    <n v="8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5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90"/>
    <n v="170"/>
    <n v="360"/>
    <e v="#DIV/0!"/>
    <m/>
    <m/>
    <m/>
    <n v="200"/>
    <m/>
    <n v="20"/>
    <m/>
    <m/>
    <n v="30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820"/>
    <n v="2040"/>
    <n v="2860"/>
    <e v="#DIV/0!"/>
    <m/>
    <m/>
    <m/>
    <n v="450"/>
    <m/>
    <n v="170"/>
    <m/>
    <m/>
    <n v="73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440"/>
    <n v="3610"/>
    <n v="5050"/>
    <e v="#DIV/0!"/>
    <m/>
    <m/>
    <m/>
    <n v="510"/>
    <m/>
    <n v="420"/>
    <m/>
    <m/>
    <n v="105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0"/>
    <n v="100"/>
    <n v="100"/>
    <e v="#DIV/0!"/>
    <m/>
    <m/>
    <m/>
    <n v="60"/>
    <m/>
    <n v="10"/>
    <m/>
    <m/>
    <n v="11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130"/>
    <n v="1770"/>
    <n v="2900"/>
    <e v="#DIV/0!"/>
    <m/>
    <m/>
    <m/>
    <n v="300"/>
    <m/>
    <n v="70"/>
    <m/>
    <m/>
    <n v="8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80"/>
    <n v="380"/>
    <n v="560"/>
    <e v="#DIV/0!"/>
    <m/>
    <m/>
    <m/>
    <n v="40"/>
    <m/>
    <n v="30"/>
    <m/>
    <m/>
    <n v="2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50"/>
    <n v="80"/>
    <n v="130"/>
    <e v="#DIV/0!"/>
    <m/>
    <m/>
    <m/>
    <n v="20"/>
    <m/>
    <n v="0"/>
    <m/>
    <m/>
    <n v="8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40"/>
    <n v="210"/>
    <n v="350"/>
    <e v="#DIV/0!"/>
    <m/>
    <m/>
    <m/>
    <n v="50"/>
    <m/>
    <n v="20"/>
    <m/>
    <m/>
    <n v="10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30"/>
    <n v="50"/>
    <n v="80"/>
    <e v="#DIV/0!"/>
    <m/>
    <m/>
    <m/>
    <n v="90"/>
    <m/>
    <n v="10"/>
    <m/>
    <m/>
    <n v="12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0"/>
    <n v="60"/>
    <n v="70"/>
    <e v="#DIV/0!"/>
    <m/>
    <m/>
    <m/>
    <n v="50"/>
    <m/>
    <n v="0"/>
    <m/>
    <m/>
    <n v="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750"/>
    <n v="1410"/>
    <n v="2160"/>
    <e v="#DIV/0!"/>
    <m/>
    <m/>
    <m/>
    <n v="560"/>
    <m/>
    <n v="60"/>
    <m/>
    <m/>
    <n v="70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430"/>
    <n v="870"/>
    <n v="1300"/>
    <e v="#DIV/0!"/>
    <m/>
    <m/>
    <m/>
    <n v="630"/>
    <m/>
    <n v="80"/>
    <m/>
    <m/>
    <n v="5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740"/>
    <n v="1140"/>
    <n v="1880"/>
    <e v="#DIV/0!"/>
    <m/>
    <m/>
    <m/>
    <n v="750"/>
    <m/>
    <n v="150"/>
    <m/>
    <m/>
    <n v="64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700"/>
    <n v="990"/>
    <n v="1690"/>
    <e v="#DIV/0!"/>
    <m/>
    <m/>
    <m/>
    <n v="650"/>
    <m/>
    <n v="80"/>
    <m/>
    <m/>
    <n v="70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490"/>
    <n v="860"/>
    <n v="1350"/>
    <e v="#DIV/0!"/>
    <m/>
    <m/>
    <m/>
    <n v="1160"/>
    <m/>
    <n v="130"/>
    <m/>
    <m/>
    <n v="78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320"/>
    <n v="870"/>
    <n v="1190"/>
    <e v="#DIV/0!"/>
    <m/>
    <m/>
    <m/>
    <n v="530"/>
    <m/>
    <n v="60"/>
    <m/>
    <m/>
    <n v="47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550"/>
    <n v="1210"/>
    <n v="1760"/>
    <e v="#DIV/0!"/>
    <m/>
    <m/>
    <m/>
    <n v="880"/>
    <m/>
    <n v="60"/>
    <m/>
    <m/>
    <n v="59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570"/>
    <n v="1170"/>
    <n v="1740"/>
    <e v="#DIV/0!"/>
    <m/>
    <m/>
    <m/>
    <n v="740"/>
    <m/>
    <n v="80"/>
    <m/>
    <m/>
    <n v="7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330"/>
    <n v="720"/>
    <n v="1050"/>
    <e v="#DIV/0!"/>
    <m/>
    <m/>
    <m/>
    <n v="440"/>
    <m/>
    <n v="90"/>
    <m/>
    <m/>
    <n v="460"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n v="20"/>
    <n v="30"/>
    <n v="50"/>
    <e v="#DIV/0!"/>
    <m/>
    <m/>
    <m/>
    <n v="0"/>
    <m/>
    <n v="10"/>
    <m/>
    <m/>
    <n v="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20"/>
    <n v="80"/>
    <n v="100"/>
    <e v="#DIV/0!"/>
    <m/>
    <m/>
    <m/>
    <n v="20"/>
    <m/>
    <n v="0"/>
    <m/>
    <m/>
    <n v="1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54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376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55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42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10"/>
    <m/>
    <m/>
    <m/>
    <m/>
    <m/>
    <m/>
    <m/>
    <m/>
    <m/>
    <m/>
    <m/>
    <m/>
    <m/>
    <m/>
    <m/>
    <m/>
    <m/>
    <m/>
    <m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19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264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342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9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130"/>
    <e v="#DIV/0!"/>
    <m/>
    <m/>
    <m/>
    <m/>
    <m/>
    <m/>
    <m/>
    <m/>
    <m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80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m/>
    <m/>
    <n v="4850"/>
    <e v="#DIV/0!"/>
    <m/>
    <m/>
    <m/>
    <m/>
    <m/>
    <m/>
    <m/>
    <m/>
    <m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m/>
    <m/>
    <n v="5980"/>
    <e v="#DIV/0!"/>
    <m/>
    <m/>
    <m/>
    <m/>
    <m/>
    <m/>
    <m/>
    <m/>
    <m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394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80"/>
    <n v="590"/>
    <n v="770"/>
    <e v="#DIV/0!"/>
    <m/>
    <m/>
    <m/>
    <n v="70"/>
    <m/>
    <n v="3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980"/>
    <n v="2910"/>
    <n v="3890"/>
    <e v="#DIV/0!"/>
    <m/>
    <m/>
    <m/>
    <n v="260"/>
    <m/>
    <n v="220"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50"/>
    <n v="220"/>
    <n v="270"/>
    <e v="#DIV/0!"/>
    <m/>
    <m/>
    <m/>
    <n v="40"/>
    <m/>
    <n v="30"/>
    <m/>
    <m/>
    <m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50"/>
    <n v="210"/>
    <n v="360"/>
    <e v="#DIV/0!"/>
    <m/>
    <m/>
    <m/>
    <n v="120"/>
    <m/>
    <n v="70"/>
    <m/>
    <m/>
    <n v="23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50"/>
    <n v="380"/>
    <n v="530"/>
    <e v="#DIV/0!"/>
    <m/>
    <m/>
    <m/>
    <n v="150"/>
    <m/>
    <n v="30"/>
    <m/>
    <m/>
    <n v="26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780"/>
    <n v="1020"/>
    <n v="1800"/>
    <e v="#DIV/0!"/>
    <m/>
    <m/>
    <m/>
    <n v="420"/>
    <m/>
    <n v="100"/>
    <m/>
    <m/>
    <n v="1080"/>
    <x v="360"/>
    <m/>
    <m/>
    <m/>
    <m/>
    <m/>
    <m/>
  </r>
  <r>
    <m/>
    <x v="22"/>
    <x v="408"/>
    <m/>
    <n v="330"/>
    <m/>
    <m/>
    <m/>
    <m/>
    <m/>
    <m/>
    <m/>
    <m/>
    <m/>
    <m/>
    <m/>
    <m/>
    <m/>
    <m/>
    <m/>
    <m/>
    <n v="310"/>
    <n v="570"/>
    <n v="880"/>
    <e v="#DIV/0!"/>
    <m/>
    <m/>
    <m/>
    <n v="150"/>
    <m/>
    <n v="80"/>
    <m/>
    <m/>
    <n v="27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1180"/>
    <n v="2200"/>
    <n v="3380"/>
    <e v="#DIV/0!"/>
    <m/>
    <m/>
    <m/>
    <n v="490"/>
    <m/>
    <n v="490"/>
    <m/>
    <m/>
    <n v="7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920"/>
    <n v="1970"/>
    <n v="3890"/>
    <e v="#DIV/0!"/>
    <m/>
    <m/>
    <m/>
    <n v="630"/>
    <m/>
    <n v="590"/>
    <m/>
    <m/>
    <n v="8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10"/>
    <n v="1290"/>
    <n v="2300"/>
    <e v="#DIV/0!"/>
    <m/>
    <m/>
    <m/>
    <n v="410"/>
    <m/>
    <n v="450"/>
    <m/>
    <m/>
    <n v="4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310"/>
    <n v="2120"/>
    <n v="3430"/>
    <e v="#DIV/0!"/>
    <m/>
    <m/>
    <m/>
    <n v="330"/>
    <m/>
    <n v="520"/>
    <m/>
    <m/>
    <n v="60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630"/>
    <n v="940"/>
    <n v="1570"/>
    <e v="#DIV/0!"/>
    <m/>
    <m/>
    <m/>
    <n v="180"/>
    <m/>
    <n v="300"/>
    <m/>
    <m/>
    <n v="30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510"/>
    <n v="1040"/>
    <n v="1550"/>
    <e v="#DIV/0!"/>
    <m/>
    <m/>
    <m/>
    <n v="210"/>
    <m/>
    <n v="250"/>
    <m/>
    <m/>
    <n v="7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20"/>
    <n v="930"/>
    <n v="1350"/>
    <e v="#DIV/0!"/>
    <m/>
    <m/>
    <m/>
    <n v="100"/>
    <m/>
    <n v="140"/>
    <m/>
    <m/>
    <n v="63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"/>
    <n v="50"/>
    <n v="60"/>
    <e v="#DIV/0!"/>
    <m/>
    <m/>
    <m/>
    <n v="20"/>
    <m/>
    <n v="0"/>
    <m/>
    <m/>
    <n v="8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90"/>
    <n v="730"/>
    <n v="1020"/>
    <e v="#DIV/0!"/>
    <m/>
    <m/>
    <m/>
    <n v="540"/>
    <m/>
    <n v="60"/>
    <m/>
    <m/>
    <n v="7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450"/>
    <n v="1750"/>
    <n v="2200"/>
    <e v="#DIV/0!"/>
    <m/>
    <m/>
    <m/>
    <n v="830"/>
    <m/>
    <n v="150"/>
    <m/>
    <m/>
    <n v="147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320"/>
    <n v="2420"/>
    <n v="2740"/>
    <e v="#DIV/0!"/>
    <m/>
    <m/>
    <m/>
    <n v="1440"/>
    <m/>
    <n v="370"/>
    <m/>
    <m/>
    <n v="175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30"/>
    <n v="1490"/>
    <n v="1720"/>
    <e v="#DIV/0!"/>
    <m/>
    <m/>
    <m/>
    <n v="1030"/>
    <m/>
    <n v="80"/>
    <m/>
    <m/>
    <n v="131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220"/>
    <n v="2060"/>
    <n v="2280"/>
    <e v="#DIV/0!"/>
    <m/>
    <m/>
    <m/>
    <n v="950"/>
    <m/>
    <n v="160"/>
    <m/>
    <m/>
    <n v="102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m/>
    <m/>
    <n v="400"/>
    <e v="#DIV/0!"/>
    <m/>
    <m/>
    <m/>
    <m/>
    <m/>
    <m/>
    <m/>
    <m/>
    <m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980"/>
    <n v="4570"/>
    <n v="6550"/>
    <e v="#DIV/0!"/>
    <m/>
    <m/>
    <m/>
    <n v="240"/>
    <m/>
    <n v="1120"/>
    <m/>
    <m/>
    <n v="170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280"/>
    <n v="520"/>
    <n v="800"/>
    <e v="#DIV/0!"/>
    <m/>
    <m/>
    <m/>
    <n v="30"/>
    <m/>
    <n v="110"/>
    <m/>
    <m/>
    <n v="20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1620"/>
    <n v="3030"/>
    <n v="4650"/>
    <e v="#DIV/0!"/>
    <m/>
    <m/>
    <m/>
    <n v="270"/>
    <m/>
    <n v="970"/>
    <m/>
    <m/>
    <n v="1030"/>
    <x v="360"/>
    <m/>
    <m/>
    <m/>
    <m/>
    <m/>
    <m/>
  </r>
  <r>
    <m/>
    <x v="22"/>
    <x v="408"/>
    <m/>
    <n v="300"/>
    <m/>
    <m/>
    <m/>
    <m/>
    <m/>
    <m/>
    <m/>
    <m/>
    <m/>
    <m/>
    <m/>
    <m/>
    <m/>
    <m/>
    <m/>
    <m/>
    <n v="1840"/>
    <n v="3060"/>
    <n v="4900"/>
    <e v="#DIV/0!"/>
    <m/>
    <m/>
    <m/>
    <n v="220"/>
    <m/>
    <n v="900"/>
    <m/>
    <m/>
    <n v="90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1760"/>
    <n v="2670"/>
    <n v="4430"/>
    <e v="#DIV/0!"/>
    <m/>
    <m/>
    <m/>
    <n v="350"/>
    <m/>
    <n v="1310"/>
    <m/>
    <m/>
    <n v="102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460"/>
    <n v="2200"/>
    <n v="3660"/>
    <e v="#DIV/0!"/>
    <m/>
    <m/>
    <m/>
    <n v="340"/>
    <m/>
    <n v="1000"/>
    <m/>
    <m/>
    <n v="850"/>
    <x v="360"/>
    <m/>
    <m/>
    <m/>
    <m/>
    <m/>
    <m/>
  </r>
  <r>
    <m/>
    <x v="22"/>
    <x v="408"/>
    <m/>
    <n v="310"/>
    <m/>
    <m/>
    <m/>
    <m/>
    <m/>
    <m/>
    <m/>
    <m/>
    <m/>
    <m/>
    <m/>
    <m/>
    <m/>
    <m/>
    <m/>
    <m/>
    <n v="90"/>
    <n v="130"/>
    <n v="220"/>
    <e v="#DIV/0!"/>
    <m/>
    <m/>
    <m/>
    <n v="190"/>
    <m/>
    <n v="80"/>
    <m/>
    <m/>
    <n v="470"/>
    <x v="360"/>
    <m/>
    <m/>
    <m/>
    <m/>
    <m/>
    <m/>
  </r>
  <r>
    <m/>
    <x v="22"/>
    <x v="408"/>
    <m/>
    <n v="320"/>
    <m/>
    <m/>
    <m/>
    <m/>
    <m/>
    <m/>
    <m/>
    <m/>
    <m/>
    <m/>
    <m/>
    <m/>
    <m/>
    <m/>
    <m/>
    <m/>
    <n v="190"/>
    <n v="960"/>
    <n v="1150"/>
    <e v="#DIV/0!"/>
    <m/>
    <m/>
    <m/>
    <n v="870"/>
    <m/>
    <n v="160"/>
    <m/>
    <m/>
    <n v="196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0"/>
    <n v="20"/>
    <n v="30"/>
    <e v="#DIV/0!"/>
    <m/>
    <m/>
    <m/>
    <n v="10"/>
    <m/>
    <n v="0"/>
    <m/>
    <m/>
    <n v="13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860"/>
    <n v="1760"/>
    <n v="2620"/>
    <e v="#DIV/0!"/>
    <m/>
    <m/>
    <m/>
    <n v="210"/>
    <m/>
    <n v="160"/>
    <m/>
    <m/>
    <n v="6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450"/>
    <n v="620"/>
    <n v="1070"/>
    <e v="#DIV/0!"/>
    <m/>
    <m/>
    <m/>
    <n v="90"/>
    <m/>
    <n v="20"/>
    <m/>
    <m/>
    <n v="28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720"/>
    <n v="760"/>
    <n v="1480"/>
    <e v="#DIV/0!"/>
    <m/>
    <m/>
    <m/>
    <n v="100"/>
    <m/>
    <n v="160"/>
    <m/>
    <m/>
    <n v="56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1140"/>
    <n v="1510"/>
    <n v="2650"/>
    <e v="#DIV/0!"/>
    <m/>
    <m/>
    <m/>
    <n v="180"/>
    <m/>
    <n v="180"/>
    <m/>
    <m/>
    <n v="73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90"/>
    <n v="1110"/>
    <n v="1800"/>
    <e v="#DIV/0!"/>
    <m/>
    <m/>
    <m/>
    <n v="170"/>
    <m/>
    <n v="70"/>
    <m/>
    <m/>
    <n v="50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440"/>
    <n v="1020"/>
    <n v="1460"/>
    <e v="#DIV/0!"/>
    <m/>
    <m/>
    <m/>
    <n v="210"/>
    <m/>
    <n v="280"/>
    <m/>
    <m/>
    <n v="220"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n v="560"/>
    <n v="1260"/>
    <n v="1820"/>
    <e v="#DIV/0!"/>
    <m/>
    <m/>
    <m/>
    <n v="180"/>
    <m/>
    <n v="430"/>
    <m/>
    <m/>
    <n v="39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230"/>
    <n v="1090"/>
    <n v="1320"/>
    <e v="#DIV/0!"/>
    <m/>
    <m/>
    <m/>
    <n v="130"/>
    <m/>
    <n v="450"/>
    <m/>
    <m/>
    <n v="400"/>
    <x v="360"/>
    <m/>
    <m/>
    <m/>
    <m/>
    <m/>
    <m/>
  </r>
  <r>
    <m/>
    <x v="22"/>
    <x v="408"/>
    <m/>
    <n v="380"/>
    <m/>
    <m/>
    <m/>
    <m/>
    <m/>
    <m/>
    <m/>
    <m/>
    <m/>
    <m/>
    <m/>
    <m/>
    <m/>
    <m/>
    <m/>
    <m/>
    <n v="140"/>
    <n v="680"/>
    <n v="820"/>
    <e v="#DIV/0!"/>
    <m/>
    <m/>
    <m/>
    <n v="130"/>
    <m/>
    <n v="310"/>
    <m/>
    <m/>
    <n v="220"/>
    <x v="360"/>
    <m/>
    <m/>
    <m/>
    <m/>
    <m/>
    <m/>
  </r>
  <r>
    <m/>
    <x v="22"/>
    <x v="408"/>
    <m/>
    <n v="390"/>
    <m/>
    <m/>
    <m/>
    <m/>
    <m/>
    <m/>
    <m/>
    <m/>
    <m/>
    <m/>
    <m/>
    <m/>
    <m/>
    <m/>
    <m/>
    <m/>
    <n v="90"/>
    <n v="220"/>
    <n v="310"/>
    <e v="#DIV/0!"/>
    <m/>
    <m/>
    <m/>
    <n v="40"/>
    <m/>
    <n v="50"/>
    <m/>
    <m/>
    <n v="50"/>
    <x v="360"/>
    <m/>
    <m/>
    <m/>
    <m/>
    <m/>
    <m/>
  </r>
  <r>
    <m/>
    <x v="22"/>
    <x v="408"/>
    <m/>
    <n v="400"/>
    <m/>
    <m/>
    <m/>
    <m/>
    <m/>
    <m/>
    <m/>
    <m/>
    <m/>
    <m/>
    <m/>
    <m/>
    <m/>
    <m/>
    <m/>
    <m/>
    <n v="60"/>
    <n v="230"/>
    <n v="290"/>
    <e v="#DIV/0!"/>
    <m/>
    <m/>
    <m/>
    <n v="60"/>
    <m/>
    <n v="90"/>
    <m/>
    <m/>
    <n v="50"/>
    <x v="360"/>
    <m/>
    <m/>
    <m/>
    <m/>
    <m/>
    <m/>
  </r>
  <r>
    <m/>
    <x v="22"/>
    <x v="408"/>
    <m/>
    <n v="410"/>
    <m/>
    <m/>
    <m/>
    <m/>
    <m/>
    <m/>
    <m/>
    <m/>
    <m/>
    <m/>
    <m/>
    <m/>
    <m/>
    <m/>
    <m/>
    <m/>
    <n v="30"/>
    <n v="30"/>
    <n v="60"/>
    <e v="#DIV/0!"/>
    <m/>
    <m/>
    <m/>
    <n v="0"/>
    <m/>
    <n v="20"/>
    <m/>
    <m/>
    <n v="2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920"/>
    <n v="1160"/>
    <n v="2080"/>
    <e v="#DIV/0!"/>
    <m/>
    <m/>
    <m/>
    <n v="680"/>
    <m/>
    <n v="90"/>
    <m/>
    <m/>
    <n v="157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200"/>
    <n v="1740"/>
    <n v="2940"/>
    <e v="#DIV/0!"/>
    <m/>
    <m/>
    <m/>
    <n v="880"/>
    <m/>
    <n v="180"/>
    <m/>
    <m/>
    <n v="21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60"/>
    <n v="1640"/>
    <n v="2700"/>
    <e v="#DIV/0!"/>
    <m/>
    <m/>
    <m/>
    <n v="900"/>
    <m/>
    <n v="220"/>
    <m/>
    <m/>
    <n v="21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50"/>
    <n v="1490"/>
    <n v="2440"/>
    <e v="#DIV/0!"/>
    <m/>
    <m/>
    <m/>
    <n v="1150"/>
    <m/>
    <n v="220"/>
    <m/>
    <m/>
    <n v="169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330"/>
    <n v="2380"/>
    <n v="3710"/>
    <e v="#DIV/0!"/>
    <m/>
    <m/>
    <m/>
    <n v="950"/>
    <m/>
    <n v="210"/>
    <m/>
    <m/>
    <n v="1940"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780"/>
    <n v="1290"/>
    <n v="2070"/>
    <e v="#DIV/0!"/>
    <m/>
    <m/>
    <m/>
    <n v="820"/>
    <m/>
    <n v="230"/>
    <m/>
    <m/>
    <n v="1610"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740"/>
    <n v="1320"/>
    <n v="2060"/>
    <e v="#DIV/0!"/>
    <m/>
    <m/>
    <m/>
    <n v="760"/>
    <m/>
    <n v="170"/>
    <m/>
    <m/>
    <n v="11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420"/>
    <n v="560"/>
    <n v="980"/>
    <e v="#DIV/0!"/>
    <m/>
    <m/>
    <m/>
    <n v="200"/>
    <m/>
    <n v="40"/>
    <m/>
    <m/>
    <n v="41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90"/>
    <n v="80"/>
    <n v="170"/>
    <e v="#DIV/0!"/>
    <m/>
    <m/>
    <m/>
    <n v="20"/>
    <m/>
    <n v="0"/>
    <m/>
    <m/>
    <n v="5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850"/>
    <n v="1240"/>
    <n v="2090"/>
    <e v="#DIV/0!"/>
    <m/>
    <m/>
    <m/>
    <n v="1080"/>
    <m/>
    <n v="150"/>
    <m/>
    <m/>
    <n v="242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40"/>
    <n v="1870"/>
    <n v="2910"/>
    <e v="#DIV/0!"/>
    <m/>
    <m/>
    <m/>
    <n v="1280"/>
    <m/>
    <n v="190"/>
    <m/>
    <m/>
    <n v="285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490"/>
    <n v="2630"/>
    <n v="4120"/>
    <e v="#DIV/0!"/>
    <m/>
    <m/>
    <m/>
    <n v="1670"/>
    <m/>
    <n v="240"/>
    <m/>
    <m/>
    <n v="2560"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1220"/>
    <n v="1990"/>
    <n v="3210"/>
    <e v="#DIV/0!"/>
    <m/>
    <m/>
    <m/>
    <n v="1850"/>
    <m/>
    <n v="370"/>
    <m/>
    <m/>
    <n v="2350"/>
    <x v="360"/>
    <m/>
    <m/>
    <m/>
    <m/>
    <m/>
    <m/>
  </r>
  <r>
    <m/>
    <x v="22"/>
    <x v="408"/>
    <m/>
    <n v="290"/>
    <m/>
    <m/>
    <m/>
    <m/>
    <m/>
    <m/>
    <m/>
    <m/>
    <m/>
    <m/>
    <m/>
    <m/>
    <m/>
    <m/>
    <m/>
    <m/>
    <n v="670"/>
    <n v="2000"/>
    <n v="2670"/>
    <e v="#DIV/0!"/>
    <m/>
    <m/>
    <m/>
    <n v="1620"/>
    <m/>
    <n v="260"/>
    <m/>
    <m/>
    <n v="2190"/>
    <x v="360"/>
    <m/>
    <m/>
    <m/>
    <m/>
    <m/>
    <m/>
  </r>
  <r>
    <m/>
    <x v="22"/>
    <x v="408"/>
    <m/>
    <n v="220"/>
    <m/>
    <m/>
    <m/>
    <m/>
    <m/>
    <m/>
    <m/>
    <m/>
    <m/>
    <m/>
    <m/>
    <m/>
    <m/>
    <m/>
    <m/>
    <m/>
    <n v="650"/>
    <n v="560"/>
    <n v="1210"/>
    <e v="#DIV/0!"/>
    <m/>
    <m/>
    <m/>
    <n v="190"/>
    <m/>
    <n v="80"/>
    <m/>
    <m/>
    <n v="490"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1590"/>
    <n v="2570"/>
    <n v="4160"/>
    <e v="#DIV/0!"/>
    <m/>
    <m/>
    <m/>
    <n v="1160"/>
    <m/>
    <n v="180"/>
    <m/>
    <m/>
    <n v="141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000"/>
    <n v="1270"/>
    <n v="2270"/>
    <e v="#DIV/0!"/>
    <m/>
    <m/>
    <m/>
    <n v="770"/>
    <m/>
    <n v="160"/>
    <m/>
    <m/>
    <n v="11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940"/>
    <n v="1960"/>
    <n v="2900"/>
    <e v="#DIV/0!"/>
    <m/>
    <m/>
    <m/>
    <n v="730"/>
    <m/>
    <n v="30"/>
    <m/>
    <m/>
    <n v="13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60"/>
    <n v="90"/>
    <n v="150"/>
    <e v="#DIV/0!"/>
    <m/>
    <m/>
    <m/>
    <n v="20"/>
    <m/>
    <n v="20"/>
    <m/>
    <m/>
    <n v="20"/>
    <x v="360"/>
    <m/>
    <m/>
    <m/>
    <m/>
    <m/>
    <m/>
  </r>
  <r>
    <m/>
    <x v="22"/>
    <x v="408"/>
    <m/>
    <n v="350"/>
    <m/>
    <m/>
    <m/>
    <m/>
    <m/>
    <m/>
    <m/>
    <m/>
    <m/>
    <m/>
    <m/>
    <m/>
    <m/>
    <m/>
    <m/>
    <m/>
    <n v="30"/>
    <n v="50"/>
    <n v="80"/>
    <e v="#DIV/0!"/>
    <m/>
    <m/>
    <m/>
    <n v="40"/>
    <m/>
    <n v="0"/>
    <m/>
    <m/>
    <n v="60"/>
    <x v="360"/>
    <m/>
    <m/>
    <m/>
    <m/>
    <m/>
    <m/>
  </r>
  <r>
    <m/>
    <x v="22"/>
    <x v="408"/>
    <m/>
    <n v="360"/>
    <m/>
    <m/>
    <m/>
    <m/>
    <m/>
    <m/>
    <m/>
    <m/>
    <m/>
    <m/>
    <m/>
    <m/>
    <m/>
    <m/>
    <m/>
    <m/>
    <n v="10"/>
    <n v="10"/>
    <n v="20"/>
    <e v="#DIV/0!"/>
    <m/>
    <m/>
    <m/>
    <n v="10"/>
    <m/>
    <n v="20"/>
    <m/>
    <m/>
    <n v="2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16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n v="720"/>
    <n v="940"/>
    <n v="1660"/>
    <e v="#DIV/0!"/>
    <m/>
    <m/>
    <m/>
    <n v="70"/>
    <m/>
    <n v="140"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n v="1630"/>
    <n v="2930"/>
    <n v="4560"/>
    <e v="#DIV/0!"/>
    <m/>
    <m/>
    <m/>
    <n v="480"/>
    <m/>
    <n v="350"/>
    <m/>
    <m/>
    <m/>
    <x v="360"/>
    <m/>
    <m/>
    <m/>
    <m/>
    <m/>
    <m/>
  </r>
  <r>
    <m/>
    <x v="22"/>
    <x v="408"/>
    <m/>
    <n v="280"/>
    <m/>
    <m/>
    <m/>
    <m/>
    <m/>
    <m/>
    <m/>
    <m/>
    <m/>
    <m/>
    <m/>
    <m/>
    <m/>
    <m/>
    <m/>
    <m/>
    <n v="460"/>
    <n v="610"/>
    <n v="1070"/>
    <e v="#DIV/0!"/>
    <m/>
    <m/>
    <m/>
    <n v="190"/>
    <m/>
    <n v="80"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330"/>
    <n v="640"/>
    <n v="970"/>
    <e v="#DIV/0!"/>
    <m/>
    <m/>
    <m/>
    <n v="360"/>
    <m/>
    <n v="120"/>
    <m/>
    <m/>
    <n v="5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250"/>
    <n v="280"/>
    <n v="530"/>
    <e v="#DIV/0!"/>
    <m/>
    <m/>
    <m/>
    <n v="30"/>
    <m/>
    <n v="60"/>
    <m/>
    <m/>
    <n v="13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m/>
    <m/>
    <n v="2280"/>
    <e v="#DIV/0!"/>
    <m/>
    <m/>
    <m/>
    <m/>
    <m/>
    <m/>
    <m/>
    <m/>
    <m/>
    <x v="360"/>
    <m/>
    <m/>
    <m/>
    <m/>
    <m/>
    <m/>
  </r>
  <r>
    <m/>
    <x v="22"/>
    <x v="408"/>
    <m/>
    <n v="260"/>
    <m/>
    <m/>
    <m/>
    <m/>
    <m/>
    <m/>
    <m/>
    <m/>
    <m/>
    <m/>
    <m/>
    <m/>
    <m/>
    <m/>
    <m/>
    <m/>
    <m/>
    <m/>
    <n v="1940"/>
    <e v="#DIV/0!"/>
    <m/>
    <m/>
    <m/>
    <m/>
    <m/>
    <m/>
    <m/>
    <m/>
    <m/>
    <x v="360"/>
    <m/>
    <m/>
    <m/>
    <m/>
    <m/>
    <m/>
  </r>
  <r>
    <m/>
    <x v="22"/>
    <x v="408"/>
    <m/>
    <n v="270"/>
    <m/>
    <m/>
    <m/>
    <m/>
    <m/>
    <m/>
    <m/>
    <m/>
    <m/>
    <m/>
    <m/>
    <m/>
    <m/>
    <m/>
    <m/>
    <m/>
    <m/>
    <m/>
    <n v="750"/>
    <e v="#DIV/0!"/>
    <m/>
    <m/>
    <m/>
    <m/>
    <m/>
    <m/>
    <m/>
    <m/>
    <m/>
    <x v="360"/>
    <m/>
    <m/>
    <m/>
    <m/>
    <m/>
    <m/>
  </r>
  <r>
    <m/>
    <x v="22"/>
    <x v="408"/>
    <m/>
    <n v="230"/>
    <m/>
    <m/>
    <m/>
    <m/>
    <m/>
    <m/>
    <m/>
    <m/>
    <m/>
    <m/>
    <m/>
    <m/>
    <m/>
    <m/>
    <m/>
    <m/>
    <n v="740"/>
    <n v="930"/>
    <n v="1670"/>
    <e v="#DIV/0!"/>
    <m/>
    <m/>
    <m/>
    <n v="1270"/>
    <m/>
    <n v="150"/>
    <m/>
    <m/>
    <n v="1940"/>
    <x v="360"/>
    <m/>
    <m/>
    <m/>
    <m/>
    <m/>
    <m/>
  </r>
  <r>
    <m/>
    <x v="22"/>
    <x v="408"/>
    <m/>
    <n v="240"/>
    <m/>
    <m/>
    <m/>
    <m/>
    <m/>
    <m/>
    <m/>
    <m/>
    <m/>
    <m/>
    <m/>
    <m/>
    <m/>
    <m/>
    <m/>
    <m/>
    <n v="1280"/>
    <n v="1500"/>
    <n v="2780"/>
    <e v="#DIV/0!"/>
    <m/>
    <m/>
    <m/>
    <n v="1670"/>
    <m/>
    <n v="210"/>
    <m/>
    <m/>
    <n v="2040"/>
    <x v="360"/>
    <m/>
    <m/>
    <m/>
    <m/>
    <m/>
    <m/>
  </r>
  <r>
    <m/>
    <x v="22"/>
    <x v="408"/>
    <m/>
    <n v="250"/>
    <m/>
    <m/>
    <m/>
    <m/>
    <m/>
    <m/>
    <m/>
    <m/>
    <m/>
    <m/>
    <m/>
    <m/>
    <m/>
    <m/>
    <m/>
    <m/>
    <n v="1000"/>
    <n v="1200"/>
    <n v="2200"/>
    <e v="#DIV/0!"/>
    <m/>
    <m/>
    <m/>
    <n v="1460"/>
    <m/>
    <n v="360"/>
    <m/>
    <m/>
    <n v="1920"/>
    <x v="360"/>
    <m/>
    <m/>
    <m/>
    <m/>
    <m/>
    <m/>
  </r>
  <r>
    <m/>
    <x v="22"/>
    <x v="408"/>
    <m/>
    <n v="370"/>
    <m/>
    <m/>
    <m/>
    <m/>
    <m/>
    <m/>
    <m/>
    <m/>
    <m/>
    <m/>
    <m/>
    <m/>
    <m/>
    <m/>
    <m/>
    <m/>
    <n v="1660"/>
    <n v="2310"/>
    <n v="3970"/>
    <e v="#DIV/0!"/>
    <m/>
    <m/>
    <m/>
    <n v="400"/>
    <m/>
    <n v="380"/>
    <m/>
    <m/>
    <n v="790"/>
    <x v="360"/>
    <m/>
    <m/>
    <m/>
    <m/>
    <m/>
    <m/>
  </r>
  <r>
    <m/>
    <x v="22"/>
    <x v="408"/>
    <m/>
    <n v="380"/>
    <m/>
    <m/>
    <m/>
    <m/>
    <m/>
    <m/>
    <m/>
    <m/>
    <m/>
    <m/>
    <m/>
    <m/>
    <m/>
    <m/>
    <m/>
    <m/>
    <n v="780"/>
    <n v="1050"/>
    <n v="1830"/>
    <e v="#DIV/0!"/>
    <m/>
    <m/>
    <m/>
    <n v="170"/>
    <m/>
    <n v="150"/>
    <m/>
    <m/>
    <n v="380"/>
    <x v="360"/>
    <m/>
    <m/>
    <m/>
    <m/>
    <m/>
    <m/>
  </r>
  <r>
    <m/>
    <x v="22"/>
    <x v="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61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16"/>
    <n v="30.342980604964325"/>
    <n v="7275"/>
    <n v="2755"/>
    <n v="6198"/>
    <n v="0.44449822523394644"/>
    <n v="391"/>
    <n v="1115"/>
    <n v="0.3506726457399103"/>
    <n v="1374"/>
    <n v="1727"/>
    <n v="0.79559930515344524"/>
    <n v="3297"/>
    <n v="1520"/>
    <n v="545"/>
    <n v="346"/>
    <n v="1132"/>
  </r>
  <r>
    <x v="1"/>
    <n v="14"/>
    <n v="30.634169737971423"/>
    <n v="7514"/>
    <n v="2817"/>
    <n v="6520"/>
    <n v="0.43205521472392638"/>
    <n v="474"/>
    <n v="1344"/>
    <n v="0.35267857142857145"/>
    <n v="1406"/>
    <n v="1786"/>
    <n v="0.78723404255319152"/>
    <n v="3334"/>
    <n v="1720"/>
    <n v="558"/>
    <n v="288"/>
    <n v="1155"/>
  </r>
  <r>
    <x v="2"/>
    <n v="13"/>
    <n v="30.409862489296327"/>
    <n v="7860"/>
    <n v="2967"/>
    <n v="6725"/>
    <n v="0.44118959107806693"/>
    <n v="606"/>
    <n v="1582"/>
    <n v="0.38305941845764857"/>
    <n v="1320"/>
    <n v="1620"/>
    <n v="0.81481481481481477"/>
    <n v="3218"/>
    <n v="1800"/>
    <n v="579"/>
    <n v="255"/>
    <n v="1114"/>
  </r>
  <r>
    <x v="3"/>
    <n v="22"/>
    <n v="30.01423469644384"/>
    <n v="7542"/>
    <n v="2881"/>
    <n v="6513"/>
    <n v="0.442346077076616"/>
    <n v="406"/>
    <n v="1115"/>
    <n v="0.36412556053811657"/>
    <n v="1374"/>
    <n v="1732"/>
    <n v="0.79330254041570436"/>
    <n v="3493"/>
    <n v="1695"/>
    <n v="608"/>
    <n v="391"/>
    <n v="1253"/>
  </r>
  <r>
    <x v="4"/>
    <n v="19"/>
    <n v="27.831556181470678"/>
    <n v="7977"/>
    <n v="2978"/>
    <n v="6599"/>
    <n v="0.45128049704500683"/>
    <n v="441"/>
    <n v="1240"/>
    <n v="0.35564516129032259"/>
    <n v="1580"/>
    <n v="2060"/>
    <n v="0.76699029126213591"/>
    <n v="3358"/>
    <n v="1665"/>
    <n v="629"/>
    <n v="260"/>
    <n v="1139"/>
  </r>
  <r>
    <x v="5"/>
    <n v="19"/>
    <n v="26.242135367016207"/>
    <n v="7842"/>
    <n v="2822"/>
    <n v="6206"/>
    <n v="0.4547212375120851"/>
    <n v="320"/>
    <n v="884"/>
    <n v="0.36199095022624433"/>
    <n v="1878"/>
    <n v="2587"/>
    <n v="0.72593737920371082"/>
    <n v="3394"/>
    <n v="1468"/>
    <n v="555"/>
    <n v="271"/>
    <n v="1397"/>
  </r>
  <r>
    <x v="6"/>
    <n v="15"/>
    <n v="26.032241939515121"/>
    <n v="7994"/>
    <n v="2903"/>
    <n v="6356"/>
    <n v="0.4567337948395217"/>
    <n v="474"/>
    <n v="1370"/>
    <n v="0.34598540145985401"/>
    <n v="1714"/>
    <n v="2396"/>
    <n v="0.71535893155258767"/>
    <n v="3548"/>
    <n v="1532"/>
    <n v="543"/>
    <n v="260"/>
    <n v="1333"/>
  </r>
  <r>
    <x v="7"/>
    <n v="15"/>
    <n v="26.316215672467557"/>
    <n v="7948"/>
    <n v="2967"/>
    <n v="6757"/>
    <n v="0.43910019239307385"/>
    <n v="490"/>
    <n v="1454"/>
    <n v="0.33700137551581844"/>
    <n v="1524"/>
    <n v="2095"/>
    <n v="0.72744630071599048"/>
    <n v="3486"/>
    <n v="1530"/>
    <n v="521"/>
    <n v="213"/>
    <n v="1132"/>
  </r>
  <r>
    <x v="8"/>
    <n v="23"/>
    <n v="26.430605341545917"/>
    <n v="8627"/>
    <n v="3157"/>
    <n v="7091"/>
    <n v="0.44521224086870681"/>
    <n v="823"/>
    <n v="2284"/>
    <n v="0.36033274956217165"/>
    <n v="1490"/>
    <n v="1900"/>
    <n v="0.78421052631578947"/>
    <n v="3456"/>
    <n v="1738"/>
    <n v="610"/>
    <n v="204"/>
    <n v="1140"/>
  </r>
  <r>
    <x v="9"/>
    <n v="20"/>
    <n v="25.966599597585514"/>
    <n v="8373"/>
    <n v="3127"/>
    <n v="6876"/>
    <n v="0.45477021524141942"/>
    <n v="743"/>
    <n v="2145"/>
    <n v="0.34638694638694639"/>
    <n v="1376"/>
    <n v="1759"/>
    <n v="0.78226264923251843"/>
    <n v="3313"/>
    <n v="1772"/>
    <n v="586"/>
    <n v="305"/>
    <n v="1101"/>
  </r>
  <r>
    <x v="10"/>
    <n v="20"/>
    <n v="25.849039433771487"/>
    <n v="8734"/>
    <n v="3140"/>
    <n v="6867"/>
    <n v="0.45725935634192516"/>
    <n v="765"/>
    <n v="2081"/>
    <n v="0.36761172513214802"/>
    <n v="1689"/>
    <n v="2087"/>
    <n v="0.80929563967417351"/>
    <n v="3317"/>
    <n v="1757"/>
    <n v="625"/>
    <n v="475"/>
    <n v="1094"/>
  </r>
  <r>
    <x v="11"/>
    <n v="17"/>
    <n v="26.814605684170903"/>
    <n v="6458"/>
    <n v="2365"/>
    <n v="5335"/>
    <n v="0.44329896907216493"/>
    <n v="517"/>
    <n v="1538"/>
    <n v="0.33615084525357608"/>
    <n v="1211"/>
    <n v="1634"/>
    <n v="0.74112607099143202"/>
    <n v="2755"/>
    <n v="1328"/>
    <n v="622"/>
    <n v="276"/>
    <n v="1009"/>
  </r>
  <r>
    <x v="12"/>
    <n v="19"/>
    <n v="30.845775682935482"/>
    <n v="8196"/>
    <n v="2996"/>
    <n v="6689"/>
    <n v="0.44789953655254894"/>
    <n v="891"/>
    <n v="2371"/>
    <n v="0.37579080556727118"/>
    <n v="1313"/>
    <n v="1729"/>
    <n v="0.75939849624060152"/>
    <n v="3326"/>
    <n v="1579"/>
    <n v="672"/>
    <n v="294"/>
    <n v="948"/>
  </r>
  <r>
    <x v="13"/>
    <n v="18"/>
    <n v="28.824770827037373"/>
    <n v="8084"/>
    <n v="3027"/>
    <n v="6739"/>
    <n v="0.44917643567294852"/>
    <n v="759"/>
    <n v="2038"/>
    <n v="0.37242394504416093"/>
    <n v="1271"/>
    <n v="1670"/>
    <n v="0.76107784431137726"/>
    <n v="3307"/>
    <n v="1641"/>
    <n v="631"/>
    <n v="367"/>
    <n v="1017"/>
  </r>
  <r>
    <x v="14"/>
    <n v="20"/>
    <n v="27.398539410727775"/>
    <n v="7535"/>
    <n v="2882"/>
    <n v="6726"/>
    <n v="0.42848647041332144"/>
    <n v="560"/>
    <n v="1614"/>
    <n v="0.34696406443618338"/>
    <n v="1211"/>
    <n v="1575"/>
    <n v="0.76888888888888884"/>
    <n v="3310"/>
    <n v="1746"/>
    <n v="575"/>
    <n v="382"/>
    <n v="1129"/>
  </r>
  <r>
    <x v="15"/>
    <n v="16"/>
    <n v="27.66890527166229"/>
    <n v="8065"/>
    <n v="3022"/>
    <n v="6886"/>
    <n v="0.43886145803078708"/>
    <n v="610"/>
    <n v="1762"/>
    <n v="0.34619750283768447"/>
    <n v="1411"/>
    <n v="1753"/>
    <n v="0.80490587564175697"/>
    <n v="3638"/>
    <n v="1682"/>
    <n v="467"/>
    <n v="466"/>
    <n v="1038"/>
  </r>
  <r>
    <x v="16"/>
    <n v="16"/>
    <n v="27.783055457613457"/>
    <n v="8556"/>
    <n v="3244"/>
    <n v="7256"/>
    <n v="0.44707828004410144"/>
    <n v="704"/>
    <n v="2022"/>
    <n v="0.34817012858555885"/>
    <n v="1364"/>
    <n v="1731"/>
    <n v="0.78798382437897174"/>
    <n v="3706"/>
    <n v="1786"/>
    <n v="581"/>
    <n v="455"/>
    <n v="1081"/>
  </r>
  <r>
    <x v="17"/>
    <n v="21"/>
    <n v="26.76012303968534"/>
    <n v="8566"/>
    <n v="3334"/>
    <n v="7193"/>
    <n v="0.46350618657027665"/>
    <n v="673"/>
    <n v="1914"/>
    <n v="0.35161964472309298"/>
    <n v="1225"/>
    <n v="1557"/>
    <n v="0.78676942838792552"/>
    <n v="3611"/>
    <n v="1912"/>
    <n v="552"/>
    <n v="421"/>
    <n v="1165"/>
  </r>
  <r>
    <x v="18"/>
    <n v="19"/>
    <n v="26.265102403763411"/>
    <n v="7706"/>
    <n v="2839"/>
    <n v="6225"/>
    <n v="0.45606425702811243"/>
    <n v="847"/>
    <n v="2163"/>
    <n v="0.39158576051779936"/>
    <n v="1181"/>
    <n v="1506"/>
    <n v="0.78419654714475429"/>
    <n v="3250"/>
    <n v="1541"/>
    <n v="507"/>
    <n v="365"/>
    <n v="876"/>
  </r>
  <r>
    <x v="19"/>
    <n v="23"/>
    <n v="26.583569261880687"/>
    <n v="8731"/>
    <n v="3088"/>
    <n v="7069"/>
    <n v="0.43683689347856841"/>
    <n v="1082"/>
    <n v="3029"/>
    <n v="0.35721360184879497"/>
    <n v="1473"/>
    <n v="1980"/>
    <n v="0.7439393939393939"/>
    <n v="3782"/>
    <n v="1793"/>
    <n v="570"/>
    <n v="399"/>
    <n v="1017"/>
  </r>
  <r>
    <x v="20"/>
    <n v="17"/>
    <n v="25.138655041090399"/>
    <n v="9514"/>
    <n v="3444"/>
    <n v="7328"/>
    <n v="0.46997816593886466"/>
    <n v="1037"/>
    <n v="2930"/>
    <n v="0.35392491467576792"/>
    <n v="1589"/>
    <n v="2087"/>
    <n v="0.76137997125059897"/>
    <n v="3821"/>
    <n v="1880"/>
    <n v="527"/>
    <n v="340"/>
    <n v="988"/>
  </r>
  <r>
    <x v="21"/>
    <n v="26"/>
    <n v="26.835419940189567"/>
    <n v="9249"/>
    <n v="3385"/>
    <n v="7272"/>
    <n v="0.46548404840484048"/>
    <n v="1083"/>
    <n v="2936"/>
    <n v="0.3688692098092643"/>
    <n v="1396"/>
    <n v="1789"/>
    <n v="0.78032420346562326"/>
    <n v="3704"/>
    <n v="1998"/>
    <n v="612"/>
    <n v="336"/>
    <n v="1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x v="0"/>
    <x v="0"/>
    <x v="0"/>
    <n v="27"/>
    <n v="270"/>
    <n v="63"/>
    <n v="21270"/>
    <n v="1117"/>
    <n v="17.730158730158731"/>
    <n v="304"/>
    <n v="580"/>
    <n v="0.52413793103448281"/>
    <n v="1"/>
    <n v="10"/>
    <n v="8"/>
    <n v="80"/>
    <n v="0.125"/>
    <n v="150"/>
    <n v="225"/>
    <n v="0.66666666666666663"/>
    <n v="196"/>
    <n v="527"/>
    <n v="723"/>
    <n v="1960"/>
    <n v="5270"/>
    <n v="7230"/>
    <n v="11.476190476190476"/>
    <n v="52"/>
    <n v="0.82539682539682535"/>
    <n v="66"/>
    <n v="660"/>
    <n v="1.0476190476190477"/>
    <n v="1360"/>
    <n v="136"/>
    <n v="2.1587301587301586"/>
    <n v="630"/>
    <n v="14.682539682539684"/>
    <n v="63"/>
    <n v="1"/>
    <n v="205"/>
    <n v="3.253968253968254"/>
    <n v="759"/>
    <n v="12.047619047619047"/>
  </r>
  <r>
    <x v="1"/>
    <x v="0"/>
    <x v="1"/>
    <n v="30"/>
    <n v="300"/>
    <n v="77"/>
    <n v="30130"/>
    <n v="966"/>
    <n v="12.545454545454545"/>
    <n v="524"/>
    <n v="1219"/>
    <n v="0.42986054142739949"/>
    <n v="41"/>
    <n v="410"/>
    <n v="135"/>
    <n v="1350"/>
    <n v="0.3037037037037037"/>
    <n v="275"/>
    <n v="351"/>
    <n v="0.7834757834757835"/>
    <n v="49"/>
    <n v="298"/>
    <n v="347"/>
    <n v="490"/>
    <n v="2980"/>
    <n v="3470"/>
    <n v="4.5064935064935066"/>
    <n v="269"/>
    <n v="3.4935064935064934"/>
    <n v="106"/>
    <n v="1060"/>
    <n v="1.3766233766233766"/>
    <n v="280"/>
    <n v="28"/>
    <n v="0.36363636363636365"/>
    <n v="2180"/>
    <n v="6.2467532467532472"/>
    <n v="218"/>
    <n v="2.831168831168831"/>
    <n v="159"/>
    <n v="2.0649350649350651"/>
    <n v="1364"/>
    <n v="17.714285714285715"/>
  </r>
  <r>
    <x v="2"/>
    <x v="0"/>
    <x v="2"/>
    <n v="30"/>
    <n v="300"/>
    <n v="78"/>
    <n v="28580"/>
    <n v="932"/>
    <n v="11.948717948717949"/>
    <n v="542"/>
    <n v="1208"/>
    <n v="0.44867549668874174"/>
    <n v="96"/>
    <n v="960"/>
    <n v="252"/>
    <n v="2520"/>
    <n v="0.38095238095238093"/>
    <n v="279"/>
    <n v="307"/>
    <n v="0.90879478827361559"/>
    <n v="20"/>
    <n v="263"/>
    <n v="283"/>
    <n v="200"/>
    <n v="2630"/>
    <n v="2830"/>
    <n v="3.6282051282051282"/>
    <n v="173"/>
    <n v="2.2179487179487181"/>
    <n v="52"/>
    <n v="520"/>
    <n v="0.66666666666666663"/>
    <n v="100"/>
    <n v="10"/>
    <n v="0.12820512820512819"/>
    <n v="1610"/>
    <n v="4.4230769230769234"/>
    <n v="161"/>
    <n v="2.0641025641025643"/>
    <n v="190"/>
    <n v="2.4358974358974357"/>
    <n v="1459"/>
    <n v="18.705128205128204"/>
  </r>
  <r>
    <x v="3"/>
    <x v="0"/>
    <x v="3"/>
    <n v="28"/>
    <n v="280"/>
    <n v="77"/>
    <n v="21280"/>
    <n v="783"/>
    <n v="10.168831168831169"/>
    <n v="314"/>
    <n v="614"/>
    <n v="511"/>
    <n v="1"/>
    <n v="10"/>
    <n v="3"/>
    <n v="30"/>
    <n v="0.33333333333333331"/>
    <n v="171"/>
    <n v="210"/>
    <n v="0.81428571428571428"/>
    <n v="172"/>
    <n v="343"/>
    <n v="515"/>
    <n v="1720"/>
    <n v="3430"/>
    <n v="5150"/>
    <n v="6.6883116883116882"/>
    <n v="63"/>
    <n v="0.81818181818181823"/>
    <n v="61"/>
    <n v="610"/>
    <n v="0.79220779220779225"/>
    <n v="690"/>
    <n v="69"/>
    <n v="0.89610389610389607"/>
    <n v="990"/>
    <n v="8.3766233766233764"/>
    <n v="99"/>
    <n v="1.2857142857142858"/>
    <n v="287"/>
    <n v="3.7272727272727271"/>
    <n v="800"/>
    <n v="10.38961038961039"/>
  </r>
  <r>
    <x v="4"/>
    <x v="0"/>
    <x v="4"/>
    <n v="36"/>
    <n v="360"/>
    <n v="29"/>
    <n v="7860"/>
    <n v="246"/>
    <n v="8.4827586206896548"/>
    <n v="74"/>
    <n v="180"/>
    <n v="411"/>
    <n v="13"/>
    <n v="130"/>
    <n v="42"/>
    <n v="420"/>
    <n v="0.30952380952380953"/>
    <n v="9"/>
    <n v="17"/>
    <n v="0.52941176470588236"/>
    <n v="21"/>
    <n v="99"/>
    <n v="120"/>
    <n v="210"/>
    <n v="990"/>
    <n v="1200"/>
    <n v="4.1379310344827589"/>
    <n v="163"/>
    <n v="5.6206896551724137"/>
    <n v="21"/>
    <n v="210"/>
    <n v="0.72413793103448276"/>
    <n v="0"/>
    <n v="0"/>
    <n v="0"/>
    <n v="580"/>
    <n v="4.862068965517242"/>
    <n v="58"/>
    <n v="2"/>
    <n v="56"/>
    <n v="1.9310344827586208"/>
    <n v="170"/>
    <n v="5.8620689655172411"/>
  </r>
  <r>
    <x v="5"/>
    <x v="0"/>
    <x v="5"/>
    <n v="34"/>
    <n v="340"/>
    <n v="75"/>
    <n v="22120"/>
    <n v="626"/>
    <n v="8.3466666666666658"/>
    <n v="331"/>
    <n v="752"/>
    <n v="0.44015957446808512"/>
    <n v="82"/>
    <n v="820"/>
    <n v="211"/>
    <n v="2110"/>
    <n v="0.38862559241706163"/>
    <n v="155"/>
    <n v="182"/>
    <n v="0.85164835164835162"/>
    <n v="61"/>
    <n v="246"/>
    <n v="307"/>
    <n v="610"/>
    <n v="2460"/>
    <n v="3070"/>
    <n v="4.0933333333333337"/>
    <n v="89"/>
    <n v="1.1866666666666668"/>
    <n v="41"/>
    <n v="410"/>
    <n v="0.54666666666666663"/>
    <n v="130"/>
    <n v="13"/>
    <n v="0.17333333333333334"/>
    <n v="960"/>
    <n v="4.8133333333333335"/>
    <n v="96"/>
    <n v="1.28"/>
    <n v="179"/>
    <n v="2.3866666666666667"/>
    <n v="899"/>
    <n v="11.986666666666666"/>
  </r>
  <r>
    <x v="6"/>
    <x v="0"/>
    <x v="6"/>
    <n v="32"/>
    <n v="320"/>
    <n v="65"/>
    <n v="21080"/>
    <n v="519"/>
    <n v="7.9846153846153847"/>
    <n v="246"/>
    <n v="598"/>
    <n v="411"/>
    <n v="51"/>
    <n v="510"/>
    <n v="163"/>
    <n v="1630"/>
    <n v="0.31288343558282211"/>
    <n v="102"/>
    <n v="128"/>
    <n v="0.796875"/>
    <n v="90"/>
    <n v="273"/>
    <n v="363"/>
    <n v="900"/>
    <n v="2730"/>
    <n v="3630"/>
    <n v="5.5846153846153843"/>
    <n v="127"/>
    <n v="1.9538461538461538"/>
    <n v="39"/>
    <n v="390"/>
    <n v="0.6"/>
    <n v="290"/>
    <n v="29"/>
    <n v="0.44615384615384618"/>
    <n v="970"/>
    <n v="6.6307692307692303"/>
    <n v="97"/>
    <n v="1.4923076923076923"/>
    <n v="209"/>
    <n v="3.2153846153846155"/>
    <n v="645"/>
    <n v="9.9230769230769234"/>
  </r>
  <r>
    <x v="7"/>
    <x v="0"/>
    <x v="7"/>
    <n v="30"/>
    <n v="300"/>
    <n v="61"/>
    <n v="14950"/>
    <n v="469"/>
    <n v="7.6885245901639347"/>
    <n v="155"/>
    <n v="373"/>
    <n v="416"/>
    <n v="67"/>
    <n v="670"/>
    <n v="175"/>
    <n v="1750"/>
    <n v="0.38285714285714284"/>
    <n v="56"/>
    <n v="70"/>
    <n v="0.8"/>
    <n v="32"/>
    <n v="127"/>
    <n v="159"/>
    <n v="320"/>
    <n v="1270"/>
    <n v="1590"/>
    <n v="2.6065573770491803"/>
    <n v="273"/>
    <n v="4.4754098360655741"/>
    <n v="70"/>
    <n v="700"/>
    <n v="1.1475409836065573"/>
    <n v="100"/>
    <n v="10"/>
    <n v="0.16393442622950818"/>
    <n v="1120"/>
    <n v="3.918032786885246"/>
    <n v="112"/>
    <n v="1.8360655737704918"/>
    <n v="132"/>
    <n v="2.1639344262295084"/>
    <n v="433"/>
    <n v="7.0983606557377046"/>
  </r>
  <r>
    <x v="8"/>
    <x v="0"/>
    <x v="8"/>
    <n v="33"/>
    <n v="330"/>
    <n v="51"/>
    <n v="13060"/>
    <n v="269"/>
    <n v="5.2745098039215685"/>
    <n v="93"/>
    <n v="222"/>
    <n v="419"/>
    <n v="20"/>
    <n v="200"/>
    <n v="64"/>
    <n v="640"/>
    <n v="0.3125"/>
    <n v="39"/>
    <n v="46"/>
    <n v="0.84782608695652173"/>
    <n v="14"/>
    <n v="124"/>
    <n v="138"/>
    <n v="140"/>
    <n v="1240"/>
    <n v="1380"/>
    <n v="2.7058823529411766"/>
    <n v="236"/>
    <n v="4.6274509803921573"/>
    <n v="37"/>
    <n v="370"/>
    <n v="0.72549019607843135"/>
    <n v="70"/>
    <n v="7"/>
    <n v="0.13725490196078433"/>
    <n v="980"/>
    <n v="3.5686274509803924"/>
    <n v="98"/>
    <n v="1.9215686274509804"/>
    <n v="160"/>
    <n v="3.1372549019607843"/>
    <n v="245"/>
    <n v="4.8039215686274508"/>
  </r>
  <r>
    <x v="9"/>
    <x v="0"/>
    <x v="9"/>
    <n v="27"/>
    <n v="270"/>
    <n v="30"/>
    <n v="5480"/>
    <n v="123"/>
    <n v="4.0999999999999996"/>
    <n v="67"/>
    <n v="121"/>
    <n v="0.55371900826446285"/>
    <n v="0"/>
    <n v="0"/>
    <n v="0"/>
    <n v="0"/>
    <e v="#DIV/0!"/>
    <n v="51"/>
    <n v="70"/>
    <n v="0.72857142857142854"/>
    <n v="37"/>
    <n v="62"/>
    <n v="99"/>
    <n v="370"/>
    <n v="620"/>
    <n v="990"/>
    <n v="3.3"/>
    <n v="20"/>
    <n v="0.66666666666666663"/>
    <n v="15"/>
    <n v="150"/>
    <n v="0.5"/>
    <n v="190"/>
    <n v="19"/>
    <n v="0.6333333333333333"/>
    <n v="410"/>
    <n v="4.4333333333333336"/>
    <n v="41"/>
    <n v="1.3666666666666667"/>
    <n v="101"/>
    <n v="3.3666666666666667"/>
    <n v="185"/>
    <n v="6.166666666666667"/>
  </r>
  <r>
    <x v="10"/>
    <x v="0"/>
    <x v="10"/>
    <n v="27"/>
    <n v="270"/>
    <n v="28"/>
    <n v="4210"/>
    <n v="62"/>
    <n v="2.2142857142857144"/>
    <n v="40"/>
    <n v="131"/>
    <n v="305"/>
    <n v="16"/>
    <n v="160"/>
    <n v="47"/>
    <n v="470"/>
    <n v="0.34042553191489361"/>
    <n v="24"/>
    <n v="28"/>
    <n v="0.8571428571428571"/>
    <n v="9"/>
    <n v="43"/>
    <n v="52"/>
    <n v="90"/>
    <n v="430"/>
    <n v="520"/>
    <n v="1.8571428571428572"/>
    <n v="29"/>
    <n v="1.0357142857142858"/>
    <n v="22"/>
    <n v="220"/>
    <n v="0.7857142857142857"/>
    <n v="10"/>
    <n v="1"/>
    <n v="3.5714285714285712E-2"/>
    <n v="210"/>
    <n v="2.6785714285714288"/>
    <n v="21"/>
    <n v="0.75"/>
    <n v="46"/>
    <n v="1.6428571428571428"/>
    <n v="120"/>
    <n v="4.2857142857142856"/>
  </r>
  <r>
    <x v="11"/>
    <x v="0"/>
    <x v="11"/>
    <n v="33"/>
    <n v="330"/>
    <n v="18"/>
    <n v="1120"/>
    <n v="27"/>
    <n v="1.5"/>
    <n v="12"/>
    <n v="20"/>
    <n v="6"/>
    <n v="0"/>
    <n v="0"/>
    <n v="0"/>
    <n v="0"/>
    <e v="#DIV/0!"/>
    <n v="15"/>
    <n v="25"/>
    <n v="0.6"/>
    <n v="16"/>
    <n v="19"/>
    <n v="35"/>
    <n v="160"/>
    <n v="190"/>
    <n v="350"/>
    <n v="1.9444444444444444"/>
    <n v="2"/>
    <n v="0.1111111111111111"/>
    <n v="2"/>
    <n v="20"/>
    <n v="0.1111111111111111"/>
    <n v="20"/>
    <n v="2"/>
    <n v="0.1111111111111111"/>
    <n v="110"/>
    <n v="2.1666666666666665"/>
    <n v="11"/>
    <n v="0.61111111111111116"/>
    <n v="24"/>
    <n v="1.3333333333333333"/>
    <n v="39"/>
    <n v="2.1666666666666665"/>
  </r>
  <r>
    <x v="12"/>
    <x v="0"/>
    <x v="12"/>
    <n v="29"/>
    <n v="290"/>
    <n v="15"/>
    <n v="660"/>
    <n v="14"/>
    <n v="0.93333333333333335"/>
    <n v="8"/>
    <n v="19"/>
    <n v="0.42105263157894735"/>
    <n v="0"/>
    <n v="0"/>
    <n v="3"/>
    <n v="30"/>
    <n v="0"/>
    <n v="4"/>
    <n v="6"/>
    <n v="0.66666666666666663"/>
    <n v="3"/>
    <n v="9"/>
    <n v="12"/>
    <n v="30"/>
    <n v="90"/>
    <n v="120"/>
    <n v="0.8"/>
    <n v="7"/>
    <n v="0.46666666666666667"/>
    <n v="1"/>
    <n v="10"/>
    <n v="6.6666666666666666E-2"/>
    <n v="0"/>
    <n v="0"/>
    <n v="0"/>
    <n v="80"/>
    <n v="0.8666666666666667"/>
    <n v="8"/>
    <n v="0.53333333333333333"/>
    <n v="5"/>
    <n v="0.33333333333333331"/>
    <n v="20"/>
    <n v="1.3333333333333333"/>
  </r>
  <r>
    <x v="13"/>
    <x v="0"/>
    <x v="13"/>
    <n v="23"/>
    <n v="230"/>
    <n v="26"/>
    <n v="1680"/>
    <n v="24"/>
    <n v="0.92307692307692313"/>
    <n v="17"/>
    <n v="54"/>
    <n v="0.31481481481481483"/>
    <n v="3"/>
    <n v="30"/>
    <n v="11"/>
    <n v="110"/>
    <n v="0.27272727272727271"/>
    <n v="22"/>
    <n v="27"/>
    <n v="0.81481481481481477"/>
    <n v="8"/>
    <n v="17"/>
    <n v="25"/>
    <n v="80"/>
    <n v="170"/>
    <n v="250"/>
    <n v="0.96153846153846156"/>
    <n v="5"/>
    <n v="0.19230769230769232"/>
    <n v="4"/>
    <n v="40"/>
    <n v="0.15384615384615385"/>
    <n v="20"/>
    <n v="2"/>
    <n v="7.6923076923076927E-2"/>
    <n v="170"/>
    <n v="1.1923076923076923"/>
    <n v="17"/>
    <n v="0.65384615384615385"/>
    <n v="12"/>
    <n v="0.46153846153846156"/>
    <n v="59"/>
    <n v="2.2692307692307692"/>
  </r>
  <r>
    <x v="14"/>
    <x v="0"/>
    <x v="14"/>
    <n v="32"/>
    <n v="320"/>
    <n v="25"/>
    <n v="2990"/>
    <n v="21"/>
    <n v="0.84"/>
    <n v="18"/>
    <n v="54"/>
    <n v="0.33333333333333331"/>
    <n v="0"/>
    <n v="0"/>
    <n v="0"/>
    <n v="0"/>
    <e v="#DIV/0!"/>
    <n v="13"/>
    <n v="17"/>
    <n v="0.76470588235294112"/>
    <n v="26"/>
    <n v="40"/>
    <n v="66"/>
    <n v="260"/>
    <n v="400"/>
    <n v="660"/>
    <n v="2.64"/>
    <n v="7"/>
    <n v="0.28000000000000003"/>
    <n v="3"/>
    <n v="30"/>
    <n v="0.12"/>
    <n v="90"/>
    <n v="9"/>
    <n v="0.36"/>
    <n v="220"/>
    <n v="3.12"/>
    <n v="22"/>
    <n v="0.88"/>
    <n v="51"/>
    <n v="2.04"/>
    <n v="49"/>
    <n v="1.96"/>
  </r>
  <r>
    <x v="15"/>
    <x v="0"/>
    <x v="15"/>
    <n v="26"/>
    <n v="260"/>
    <n v="45"/>
    <n v="2550"/>
    <n v="-6"/>
    <n v="-0.13333333333333333"/>
    <n v="10"/>
    <n v="53"/>
    <n v="0.18867924528301888"/>
    <n v="0"/>
    <n v="0"/>
    <n v="1"/>
    <n v="10"/>
    <n v="0"/>
    <n v="9"/>
    <n v="18"/>
    <n v="0.5"/>
    <n v="19"/>
    <n v="34"/>
    <n v="53"/>
    <n v="190"/>
    <n v="340"/>
    <n v="530"/>
    <n v="1.1777777777777778"/>
    <n v="5"/>
    <n v="0.1111111111111111"/>
    <n v="5"/>
    <n v="50"/>
    <n v="0.1111111111111111"/>
    <n v="110"/>
    <n v="11"/>
    <n v="0.24444444444444444"/>
    <n v="100"/>
    <n v="1.5333333333333332"/>
    <n v="10"/>
    <n v="0.22222222222222221"/>
    <n v="47"/>
    <n v="1.0444444444444445"/>
    <n v="29"/>
    <n v="0.64444444444444449"/>
  </r>
  <r>
    <x v="0"/>
    <x v="1"/>
    <x v="16"/>
    <n v="28"/>
    <n v="280"/>
    <n v="29"/>
    <n v="10070"/>
    <n v="415"/>
    <n v="14.310344827586206"/>
    <n v="130"/>
    <n v="290"/>
    <n v="0.44827586206896552"/>
    <n v="0"/>
    <n v="0"/>
    <n v="1"/>
    <n v="10"/>
    <n v="0"/>
    <n v="62"/>
    <n v="99"/>
    <n v="0.6262626262626263"/>
    <n v="89"/>
    <n v="233"/>
    <n v="322"/>
    <n v="890"/>
    <n v="2330"/>
    <n v="3220"/>
    <n v="11.103448275862069"/>
    <n v="33"/>
    <n v="1.1379310344827587"/>
    <n v="34"/>
    <n v="340"/>
    <n v="1.1724137931034482"/>
    <n v="500"/>
    <n v="50"/>
    <n v="1.7241379310344827"/>
    <n v="420"/>
    <n v="14"/>
    <n v="42"/>
    <n v="1.4482758620689655"/>
    <n v="107"/>
    <n v="3.6896551724137931"/>
    <n v="322"/>
    <n v="11.103448275862069"/>
  </r>
  <r>
    <x v="3"/>
    <x v="1"/>
    <x v="17"/>
    <n v="29"/>
    <n v="290"/>
    <n v="82"/>
    <n v="27690"/>
    <n v="1109"/>
    <n v="13.524390243902438"/>
    <n v="463"/>
    <n v="938"/>
    <n v="494"/>
    <n v="1"/>
    <n v="10"/>
    <n v="6"/>
    <n v="60"/>
    <n v="0.16666666666666666"/>
    <n v="216"/>
    <n v="265"/>
    <n v="0.81509433962264155"/>
    <n v="214"/>
    <n v="533"/>
    <n v="747"/>
    <n v="2140"/>
    <n v="5330"/>
    <n v="7470"/>
    <n v="9.1097560975609753"/>
    <n v="87"/>
    <n v="1.0609756097560976"/>
    <n v="71"/>
    <n v="710"/>
    <n v="0.86585365853658536"/>
    <n v="790"/>
    <n v="79"/>
    <n v="0.96341463414634143"/>
    <n v="1530"/>
    <n v="10.939024390243901"/>
    <n v="153"/>
    <n v="1.8658536585365855"/>
    <n v="341"/>
    <n v="4.1585365853658534"/>
    <n v="1143"/>
    <n v="13.939024390243903"/>
  </r>
  <r>
    <x v="1"/>
    <x v="1"/>
    <x v="18"/>
    <n v="31"/>
    <n v="310"/>
    <n v="81"/>
    <n v="33280"/>
    <n v="1002"/>
    <n v="12.37037037037037"/>
    <n v="573"/>
    <n v="1419"/>
    <n v="0.40380549682875266"/>
    <n v="145"/>
    <n v="1450"/>
    <n v="403"/>
    <n v="4030"/>
    <n v="0.35980148883374691"/>
    <n v="284"/>
    <n v="346"/>
    <n v="0.82080924855491333"/>
    <n v="59"/>
    <n v="239"/>
    <n v="298"/>
    <n v="590"/>
    <n v="2390"/>
    <n v="2980"/>
    <n v="3.6790123456790123"/>
    <n v="313"/>
    <n v="3.8641975308641974"/>
    <n v="94"/>
    <n v="940"/>
    <n v="1.1604938271604939"/>
    <n v="140"/>
    <n v="14"/>
    <n v="0.1728395061728395"/>
    <n v="2230"/>
    <n v="5.0123456790123457"/>
    <n v="223"/>
    <n v="2.7530864197530862"/>
    <n v="161"/>
    <n v="1.9876543209876543"/>
    <n v="1575"/>
    <n v="19.444444444444443"/>
  </r>
  <r>
    <x v="4"/>
    <x v="1"/>
    <x v="19"/>
    <n v="37"/>
    <n v="370"/>
    <n v="82"/>
    <n v="23670"/>
    <n v="1008"/>
    <n v="12.292682926829269"/>
    <n v="260"/>
    <n v="592"/>
    <n v="439"/>
    <n v="79"/>
    <n v="790"/>
    <n v="195"/>
    <n v="1950"/>
    <n v="0.40512820512820513"/>
    <n v="87"/>
    <n v="110"/>
    <n v="0.79090909090909089"/>
    <n v="56"/>
    <n v="253"/>
    <n v="309"/>
    <n v="560"/>
    <n v="2530"/>
    <n v="3090"/>
    <n v="3.7682926829268291"/>
    <n v="605"/>
    <n v="7.3780487804878048"/>
    <n v="74"/>
    <n v="740"/>
    <n v="0.90243902439024393"/>
    <n v="10"/>
    <n v="1"/>
    <n v="1.2195121951219513E-2"/>
    <n v="1500"/>
    <n v="4.6829268292682924"/>
    <n v="150"/>
    <n v="1.8292682926829269"/>
    <n v="162"/>
    <n v="1.975609756097561"/>
    <n v="686"/>
    <n v="8.3658536585365848"/>
  </r>
  <r>
    <x v="2"/>
    <x v="1"/>
    <x v="20"/>
    <n v="31"/>
    <n v="310"/>
    <n v="77"/>
    <n v="29150"/>
    <n v="944"/>
    <n v="12.25974025974026"/>
    <n v="568"/>
    <n v="1301"/>
    <n v="0.43658724058416604"/>
    <n v="136"/>
    <n v="1360"/>
    <n v="346"/>
    <n v="3460"/>
    <n v="0.39306358381502893"/>
    <n v="295"/>
    <n v="339"/>
    <n v="0.87020648967551617"/>
    <n v="37"/>
    <n v="215"/>
    <n v="252"/>
    <n v="370"/>
    <n v="2150"/>
    <n v="2520"/>
    <n v="3.2727272727272729"/>
    <n v="190"/>
    <n v="2.4675324675324677"/>
    <n v="54"/>
    <n v="540"/>
    <n v="0.70129870129870131"/>
    <n v="100"/>
    <n v="10"/>
    <n v="0.12987012987012986"/>
    <n v="1700"/>
    <n v="4.1038961038961039"/>
    <n v="170"/>
    <n v="2.2077922077922079"/>
    <n v="182"/>
    <n v="2.3636363636363638"/>
    <n v="1567"/>
    <n v="20.350649350649352"/>
  </r>
  <r>
    <x v="16"/>
    <x v="1"/>
    <x v="21"/>
    <n v="31"/>
    <n v="310"/>
    <n v="56"/>
    <n v="17260"/>
    <n v="627"/>
    <n v="11.196428571428571"/>
    <n v="189"/>
    <n v="452"/>
    <n v="418"/>
    <n v="0"/>
    <n v="0"/>
    <n v="0"/>
    <n v="0"/>
    <e v="#DIV/0!"/>
    <n v="116"/>
    <n v="146"/>
    <n v="0.79452054794520544"/>
    <n v="149"/>
    <n v="311"/>
    <n v="460"/>
    <n v="1490"/>
    <n v="3110"/>
    <n v="4600"/>
    <n v="8.2142857142857135"/>
    <n v="60"/>
    <n v="1.0714285714285714"/>
    <n v="37"/>
    <n v="370"/>
    <n v="0.6607142857142857"/>
    <n v="480"/>
    <n v="48"/>
    <n v="0.8571428571428571"/>
    <n v="470"/>
    <n v="9.7321428571428559"/>
    <n v="47"/>
    <n v="0.8392857142857143"/>
    <n v="132"/>
    <n v="2.3571428571428572"/>
    <n v="494"/>
    <n v="8.8214285714285712"/>
  </r>
  <r>
    <x v="7"/>
    <x v="1"/>
    <x v="22"/>
    <n v="31"/>
    <n v="310"/>
    <n v="63"/>
    <n v="10580"/>
    <n v="362"/>
    <n v="5.746031746031746"/>
    <n v="113"/>
    <n v="303"/>
    <n v="373"/>
    <n v="53"/>
    <n v="530"/>
    <n v="164"/>
    <n v="1640"/>
    <n v="0.32317073170731708"/>
    <n v="47"/>
    <n v="58"/>
    <n v="0.81034482758620685"/>
    <n v="15"/>
    <n v="112"/>
    <n v="127"/>
    <n v="150"/>
    <n v="1120"/>
    <n v="1270"/>
    <n v="2.0158730158730158"/>
    <n v="203"/>
    <n v="3.2222222222222223"/>
    <n v="68"/>
    <n v="680"/>
    <n v="1.0793650793650793"/>
    <n v="140"/>
    <n v="14"/>
    <n v="0.22222222222222221"/>
    <n v="750"/>
    <n v="3.3174603174603172"/>
    <n v="75"/>
    <n v="1.1904761904761905"/>
    <n v="100"/>
    <n v="1.5873015873015872"/>
    <n v="326"/>
    <n v="5.1746031746031749"/>
  </r>
  <r>
    <x v="9"/>
    <x v="1"/>
    <x v="23"/>
    <n v="28"/>
    <n v="280"/>
    <n v="77"/>
    <n v="15640"/>
    <n v="440"/>
    <n v="5.7142857142857144"/>
    <n v="237"/>
    <n v="450"/>
    <n v="0.52666666666666662"/>
    <n v="0"/>
    <n v="0"/>
    <n v="2"/>
    <n v="20"/>
    <n v="0"/>
    <n v="122"/>
    <n v="172"/>
    <n v="0.70930232558139539"/>
    <n v="125"/>
    <n v="224"/>
    <n v="349"/>
    <n v="1250"/>
    <n v="2240"/>
    <n v="3490"/>
    <n v="4.5324675324675328"/>
    <n v="37"/>
    <n v="0.48051948051948051"/>
    <n v="30"/>
    <n v="300"/>
    <n v="0.38961038961038963"/>
    <n v="360"/>
    <n v="36"/>
    <n v="0.46753246753246752"/>
    <n v="950"/>
    <n v="5.3896103896103895"/>
    <n v="95"/>
    <n v="1.2337662337662338"/>
    <n v="250"/>
    <n v="3.2467532467532467"/>
    <n v="596"/>
    <n v="7.7402597402597406"/>
  </r>
  <r>
    <x v="17"/>
    <x v="1"/>
    <x v="24"/>
    <n v="28"/>
    <n v="280"/>
    <n v="82"/>
    <n v="15960"/>
    <n v="311"/>
    <n v="3.7926829268292681"/>
    <n v="149"/>
    <n v="373"/>
    <n v="0.39946380697050937"/>
    <n v="39"/>
    <n v="390"/>
    <n v="141"/>
    <n v="1410"/>
    <n v="0.27659574468085107"/>
    <n v="74"/>
    <n v="107"/>
    <n v="0.69158878504672894"/>
    <n v="57"/>
    <n v="192"/>
    <n v="249"/>
    <n v="570"/>
    <n v="1920"/>
    <n v="2490"/>
    <n v="3.0365853658536586"/>
    <n v="76"/>
    <n v="0.92682926829268297"/>
    <n v="48"/>
    <n v="480"/>
    <n v="0.58536585365853655"/>
    <n v="150"/>
    <n v="15"/>
    <n v="0.18292682926829268"/>
    <n v="970"/>
    <n v="3.8048780487804876"/>
    <n v="97"/>
    <n v="1.1829268292682926"/>
    <n v="134"/>
    <n v="1.6341463414634145"/>
    <n v="411"/>
    <n v="5.0121951219512191"/>
  </r>
  <r>
    <x v="18"/>
    <x v="1"/>
    <x v="25"/>
    <n v="29"/>
    <n v="290"/>
    <n v="39"/>
    <n v="6100"/>
    <n v="113"/>
    <n v="2.8974358974358974"/>
    <n v="59"/>
    <n v="175"/>
    <n v="0.33714285714285713"/>
    <n v="14"/>
    <n v="140"/>
    <n v="58"/>
    <n v="580"/>
    <n v="0.2413793103448276"/>
    <n v="39"/>
    <n v="49"/>
    <n v="0.79591836734693877"/>
    <n v="9"/>
    <n v="40"/>
    <n v="49"/>
    <n v="90"/>
    <n v="400"/>
    <n v="490"/>
    <n v="1.2564102564102564"/>
    <n v="100"/>
    <n v="2.5641025641025643"/>
    <n v="24"/>
    <n v="240"/>
    <n v="0.61538461538461542"/>
    <n v="30"/>
    <n v="3"/>
    <n v="7.6923076923076927E-2"/>
    <n v="530"/>
    <n v="1.9487179487179487"/>
    <n v="53"/>
    <n v="1.358974358974359"/>
    <n v="55"/>
    <n v="1.4102564102564104"/>
    <n v="171"/>
    <n v="4.384615384615385"/>
  </r>
  <r>
    <x v="13"/>
    <x v="1"/>
    <x v="26"/>
    <n v="24"/>
    <n v="240"/>
    <n v="23"/>
    <n v="1780"/>
    <n v="36"/>
    <n v="1.5652173913043479"/>
    <n v="28"/>
    <n v="84"/>
    <n v="0.33333333333333331"/>
    <n v="6"/>
    <n v="60"/>
    <n v="26"/>
    <n v="260"/>
    <n v="0.23076923076923078"/>
    <n v="31"/>
    <n v="41"/>
    <n v="0.75609756097560976"/>
    <n v="2"/>
    <n v="14"/>
    <n v="16"/>
    <n v="20"/>
    <n v="140"/>
    <n v="160"/>
    <n v="0.69565217391304346"/>
    <n v="5"/>
    <n v="0.21739130434782608"/>
    <n v="6"/>
    <n v="60"/>
    <n v="0.2608695652173913"/>
    <n v="0"/>
    <n v="0"/>
    <n v="0"/>
    <n v="110"/>
    <n v="0.95652173913043481"/>
    <n v="11"/>
    <n v="0.47826086956521741"/>
    <n v="7"/>
    <n v="0.30434782608695654"/>
    <n v="93"/>
    <n v="4.0434782608695654"/>
  </r>
  <r>
    <x v="15"/>
    <x v="1"/>
    <x v="27"/>
    <n v="27"/>
    <n v="270"/>
    <n v="49"/>
    <n v="4300"/>
    <n v="32"/>
    <n v="0.65306122448979587"/>
    <n v="41"/>
    <n v="113"/>
    <n v="0.36283185840707965"/>
    <n v="0"/>
    <n v="0"/>
    <n v="0"/>
    <n v="0"/>
    <e v="#DIV/0!"/>
    <n v="16"/>
    <n v="21"/>
    <n v="0.76190476190476186"/>
    <n v="48"/>
    <n v="56"/>
    <n v="104"/>
    <n v="480"/>
    <n v="560"/>
    <n v="1040"/>
    <n v="2.1224489795918369"/>
    <n v="8"/>
    <n v="0.16326530612244897"/>
    <n v="11"/>
    <n v="110"/>
    <n v="0.22448979591836735"/>
    <n v="100"/>
    <n v="10"/>
    <n v="0.20408163265306123"/>
    <n v="270"/>
    <n v="2.5510204081632653"/>
    <n v="27"/>
    <n v="0.55102040816326525"/>
    <n v="95"/>
    <n v="1.9387755102040816"/>
    <n v="98"/>
    <n v="2"/>
  </r>
  <r>
    <x v="19"/>
    <x v="1"/>
    <x v="28"/>
    <n v="34"/>
    <n v="340"/>
    <n v="2"/>
    <n v="110"/>
    <n v="1"/>
    <n v="0.5"/>
    <n v="1"/>
    <n v="4"/>
    <n v="0.25"/>
    <n v="1"/>
    <n v="10"/>
    <n v="2"/>
    <n v="20"/>
    <n v="0.5"/>
    <n v="0"/>
    <n v="0"/>
    <e v="#DIV/0!"/>
    <n v="0"/>
    <n v="2"/>
    <n v="2"/>
    <n v="0"/>
    <n v="20"/>
    <n v="20"/>
    <n v="1"/>
    <n v="0"/>
    <n v="0"/>
    <n v="0"/>
    <n v="0"/>
    <n v="0"/>
    <n v="0"/>
    <n v="0"/>
    <n v="0"/>
    <n v="0"/>
    <n v="1"/>
    <n v="0"/>
    <n v="0"/>
    <n v="1"/>
    <n v="0.5"/>
    <n v="3"/>
    <n v="1.5"/>
  </r>
  <r>
    <x v="11"/>
    <x v="1"/>
    <x v="29"/>
    <n v="34"/>
    <n v="340"/>
    <n v="32"/>
    <n v="2480"/>
    <n v="-24"/>
    <n v="-0.75"/>
    <n v="6"/>
    <n v="26"/>
    <n v="231"/>
    <n v="0"/>
    <n v="0"/>
    <n v="0"/>
    <n v="0"/>
    <e v="#DIV/0!"/>
    <n v="17"/>
    <n v="33"/>
    <n v="0.51515151515151514"/>
    <n v="16"/>
    <n v="34"/>
    <n v="50"/>
    <n v="160"/>
    <n v="340"/>
    <n v="500"/>
    <n v="1.5625"/>
    <n v="3"/>
    <n v="9.375E-2"/>
    <n v="7"/>
    <n v="70"/>
    <n v="0.21875"/>
    <n v="80"/>
    <n v="8"/>
    <n v="0.25"/>
    <n v="120"/>
    <n v="2.03125"/>
    <n v="12"/>
    <n v="0.375"/>
    <n v="73"/>
    <n v="2.28125"/>
    <n v="29"/>
    <n v="0.90625"/>
  </r>
  <r>
    <x v="2"/>
    <x v="2"/>
    <x v="30"/>
    <n v="32"/>
    <n v="320"/>
    <n v="82"/>
    <n v="31100"/>
    <n v="1143"/>
    <n v="13.939024390243903"/>
    <n v="652"/>
    <n v="1465"/>
    <n v="0.44505119453924913"/>
    <n v="178"/>
    <n v="1780"/>
    <n v="450"/>
    <n v="4500"/>
    <n v="0.39555555555555555"/>
    <n v="363"/>
    <n v="395"/>
    <n v="0.91898734177215191"/>
    <n v="26"/>
    <n v="205"/>
    <n v="231"/>
    <n v="260"/>
    <n v="2050"/>
    <n v="2310"/>
    <n v="2.8170731707317072"/>
    <n v="220"/>
    <n v="2.6829268292682928"/>
    <n v="54"/>
    <n v="540"/>
    <n v="0.65853658536585369"/>
    <n v="70"/>
    <n v="7"/>
    <n v="8.5365853658536592E-2"/>
    <n v="1780"/>
    <n v="3.5609756097560972"/>
    <n v="178"/>
    <n v="2.1707317073170733"/>
    <n v="191"/>
    <n v="2.3292682926829267"/>
    <n v="1845"/>
    <n v="22.5"/>
  </r>
  <r>
    <x v="3"/>
    <x v="2"/>
    <x v="31"/>
    <n v="30"/>
    <n v="300"/>
    <n v="81"/>
    <n v="25750"/>
    <n v="1052"/>
    <n v="12.987654320987655"/>
    <n v="497"/>
    <n v="1028"/>
    <n v="483"/>
    <n v="2"/>
    <n v="20"/>
    <n v="3"/>
    <n v="30"/>
    <n v="0.66666666666666663"/>
    <n v="138"/>
    <n v="184"/>
    <n v="0.75"/>
    <n v="160"/>
    <n v="477"/>
    <n v="637"/>
    <n v="1600"/>
    <n v="4770"/>
    <n v="6370"/>
    <n v="7.8641975308641978"/>
    <n v="162"/>
    <n v="2"/>
    <n v="81"/>
    <n v="810"/>
    <n v="1"/>
    <n v="970"/>
    <n v="97"/>
    <n v="1.1975308641975309"/>
    <n v="1380"/>
    <n v="10.061728395061728"/>
    <n v="138"/>
    <n v="1.7037037037037037"/>
    <n v="344"/>
    <n v="4.2469135802469138"/>
    <n v="1134"/>
    <n v="14"/>
  </r>
  <r>
    <x v="1"/>
    <x v="2"/>
    <x v="32"/>
    <n v="32"/>
    <n v="320"/>
    <n v="74"/>
    <n v="28580"/>
    <n v="932"/>
    <n v="12.594594594594595"/>
    <n v="454"/>
    <n v="1127"/>
    <n v="0.4028393966282165"/>
    <n v="134"/>
    <n v="1340"/>
    <n v="360"/>
    <n v="3600"/>
    <n v="0.37222222222222223"/>
    <n v="173"/>
    <n v="218"/>
    <n v="0.79357798165137616"/>
    <n v="45"/>
    <n v="240"/>
    <n v="285"/>
    <n v="450"/>
    <n v="2400"/>
    <n v="2850"/>
    <n v="3.8513513513513513"/>
    <n v="332"/>
    <n v="4.4864864864864868"/>
    <n v="102"/>
    <n v="1020"/>
    <n v="1.3783783783783783"/>
    <n v="220"/>
    <n v="22"/>
    <n v="0.29729729729729731"/>
    <n v="1720"/>
    <n v="5.5270270270270272"/>
    <n v="172"/>
    <n v="2.3243243243243241"/>
    <n v="134"/>
    <n v="1.8108108108108107"/>
    <n v="1215"/>
    <n v="16.418918918918919"/>
  </r>
  <r>
    <x v="16"/>
    <x v="2"/>
    <x v="33"/>
    <n v="32"/>
    <n v="320"/>
    <n v="79"/>
    <n v="20260"/>
    <n v="783"/>
    <n v="9.9113924050632907"/>
    <n v="186"/>
    <n v="414"/>
    <n v="449"/>
    <n v="0"/>
    <n v="0"/>
    <n v="0"/>
    <n v="0"/>
    <e v="#DIV/0!"/>
    <n v="149"/>
    <n v="194"/>
    <n v="0.76804123711340211"/>
    <n v="214"/>
    <n v="385"/>
    <n v="599"/>
    <n v="2140"/>
    <n v="3850"/>
    <n v="5990"/>
    <n v="7.5822784810126587"/>
    <n v="68"/>
    <n v="0.86075949367088611"/>
    <n v="69"/>
    <n v="690"/>
    <n v="0.87341772151898733"/>
    <n v="360"/>
    <n v="36"/>
    <n v="0.45569620253164556"/>
    <n v="630"/>
    <n v="8.9113924050632924"/>
    <n v="63"/>
    <n v="0.79746835443037978"/>
    <n v="174"/>
    <n v="2.2025316455696204"/>
    <n v="521"/>
    <n v="6.5949367088607591"/>
  </r>
  <r>
    <x v="18"/>
    <x v="2"/>
    <x v="34"/>
    <n v="30"/>
    <n v="300"/>
    <n v="82"/>
    <n v="22430"/>
    <n v="701"/>
    <n v="8.5487804878048781"/>
    <n v="262"/>
    <n v="628"/>
    <n v="0.41719745222929938"/>
    <n v="131"/>
    <n v="1310"/>
    <n v="337"/>
    <n v="3370"/>
    <n v="0.38872403560830859"/>
    <n v="89"/>
    <n v="105"/>
    <n v="0.84761904761904761"/>
    <n v="24"/>
    <n v="162"/>
    <n v="186"/>
    <n v="240"/>
    <n v="1620"/>
    <n v="1860"/>
    <n v="2.2682926829268291"/>
    <n v="444"/>
    <n v="5.4146341463414638"/>
    <n v="71"/>
    <n v="710"/>
    <n v="0.86585365853658536"/>
    <n v="90"/>
    <n v="9"/>
    <n v="0.10975609756097561"/>
    <n v="1490"/>
    <n v="3.24390243902439"/>
    <n v="149"/>
    <n v="1.8170731707317074"/>
    <n v="222"/>
    <n v="2.7073170731707319"/>
    <n v="744"/>
    <n v="9.0731707317073162"/>
  </r>
  <r>
    <x v="7"/>
    <x v="2"/>
    <x v="35"/>
    <n v="32"/>
    <n v="320"/>
    <n v="66"/>
    <n v="14670"/>
    <n v="542"/>
    <n v="8.2121212121212128"/>
    <n v="165"/>
    <n v="414"/>
    <n v="399"/>
    <n v="101"/>
    <n v="1010"/>
    <n v="267"/>
    <n v="2670"/>
    <n v="0.37827715355805241"/>
    <n v="41"/>
    <n v="53"/>
    <n v="0.77358490566037741"/>
    <n v="25"/>
    <n v="152"/>
    <n v="177"/>
    <n v="250"/>
    <n v="1520"/>
    <n v="1770"/>
    <n v="2.6818181818181817"/>
    <n v="306"/>
    <n v="4.6363636363636367"/>
    <n v="78"/>
    <n v="780"/>
    <n v="1.1818181818181819"/>
    <n v="110"/>
    <n v="11"/>
    <n v="0.16666666666666666"/>
    <n v="950"/>
    <n v="4.0303030303030303"/>
    <n v="95"/>
    <n v="1.4393939393939394"/>
    <n v="146"/>
    <n v="2.2121212121212119"/>
    <n v="472"/>
    <n v="7.1515151515151514"/>
  </r>
  <r>
    <x v="9"/>
    <x v="2"/>
    <x v="36"/>
    <n v="29"/>
    <n v="290"/>
    <n v="74"/>
    <n v="18460"/>
    <n v="580"/>
    <n v="7.8378378378378377"/>
    <n v="225"/>
    <n v="443"/>
    <n v="0.50790067720090293"/>
    <n v="0"/>
    <n v="0"/>
    <n v="0"/>
    <n v="0"/>
    <e v="#DIV/0!"/>
    <n v="123"/>
    <n v="150"/>
    <n v="0.82"/>
    <n v="165"/>
    <n v="311"/>
    <n v="476"/>
    <n v="1650"/>
    <n v="3110"/>
    <n v="4760"/>
    <n v="6.4324324324324325"/>
    <n v="62"/>
    <n v="0.83783783783783783"/>
    <n v="12"/>
    <n v="120"/>
    <n v="0.16216216216216217"/>
    <n v="230"/>
    <n v="23"/>
    <n v="0.3108108108108108"/>
    <n v="900"/>
    <n v="6.9054054054054053"/>
    <n v="90"/>
    <n v="1.2162162162162162"/>
    <n v="231"/>
    <n v="3.1216216216216215"/>
    <n v="573"/>
    <n v="7.743243243243243"/>
  </r>
  <r>
    <x v="17"/>
    <x v="2"/>
    <x v="37"/>
    <n v="29"/>
    <n v="290"/>
    <n v="82"/>
    <n v="17290"/>
    <n v="490"/>
    <n v="5.975609756097561"/>
    <n v="248"/>
    <n v="537"/>
    <n v="0.46182495344506519"/>
    <n v="52"/>
    <n v="520"/>
    <n v="140"/>
    <n v="1400"/>
    <n v="0.37142857142857144"/>
    <n v="139"/>
    <n v="190"/>
    <n v="0.73157894736842111"/>
    <n v="64"/>
    <n v="190"/>
    <n v="254"/>
    <n v="640"/>
    <n v="1900"/>
    <n v="2540"/>
    <n v="3.0975609756097562"/>
    <n v="87"/>
    <n v="1.0609756097560976"/>
    <n v="73"/>
    <n v="730"/>
    <n v="0.8902439024390244"/>
    <n v="200"/>
    <n v="20"/>
    <n v="0.24390243902439024"/>
    <n v="1140"/>
    <n v="4.2317073170731714"/>
    <n v="114"/>
    <n v="1.3902439024390243"/>
    <n v="177"/>
    <n v="2.1585365853658538"/>
    <n v="687"/>
    <n v="8.3780487804878057"/>
  </r>
  <r>
    <x v="20"/>
    <x v="2"/>
    <x v="38"/>
    <n v="28"/>
    <n v="280"/>
    <n v="38"/>
    <n v="4060"/>
    <n v="122"/>
    <n v="3.2105263157894739"/>
    <n v="84"/>
    <n v="190"/>
    <n v="0.44210526315789472"/>
    <n v="0"/>
    <n v="0"/>
    <n v="1"/>
    <n v="10"/>
    <n v="0"/>
    <n v="42"/>
    <n v="51"/>
    <n v="0.82352941176470584"/>
    <n v="32"/>
    <n v="38"/>
    <n v="70"/>
    <n v="320"/>
    <n v="380"/>
    <n v="700"/>
    <n v="1.8421052631578947"/>
    <n v="26"/>
    <n v="0.68421052631578949"/>
    <n v="6"/>
    <n v="60"/>
    <n v="0.15789473684210525"/>
    <n v="30"/>
    <n v="3"/>
    <n v="7.8947368421052627E-2"/>
    <n v="320"/>
    <n v="2.0789473684210527"/>
    <n v="32"/>
    <n v="0.84210526315789469"/>
    <n v="46"/>
    <n v="1.2105263157894737"/>
    <n v="210"/>
    <n v="5.5263157894736841"/>
  </r>
  <r>
    <x v="21"/>
    <x v="2"/>
    <x v="39"/>
    <n v="26"/>
    <n v="260"/>
    <n v="75"/>
    <n v="10400"/>
    <n v="215"/>
    <n v="2.8666666666666667"/>
    <n v="146"/>
    <n v="343"/>
    <n v="0.42565597667638483"/>
    <n v="0"/>
    <n v="0"/>
    <n v="0"/>
    <n v="0"/>
    <e v="#DIV/0!"/>
    <n v="36"/>
    <n v="46"/>
    <n v="0.78260869565217395"/>
    <n v="65"/>
    <n v="154"/>
    <n v="219"/>
    <n v="650"/>
    <n v="1540"/>
    <n v="2190"/>
    <n v="2.92"/>
    <n v="42"/>
    <n v="0.56000000000000005"/>
    <n v="16"/>
    <n v="160"/>
    <n v="0.21333333333333335"/>
    <n v="160"/>
    <n v="16"/>
    <n v="0.21333333333333335"/>
    <n v="490"/>
    <n v="3.3466666666666667"/>
    <n v="49"/>
    <n v="0.65333333333333332"/>
    <n v="150"/>
    <n v="2"/>
    <n v="328"/>
    <n v="4.3733333333333331"/>
  </r>
  <r>
    <x v="15"/>
    <x v="2"/>
    <x v="40"/>
    <n v="28"/>
    <n v="280"/>
    <n v="32"/>
    <n v="2870"/>
    <n v="56"/>
    <n v="1.75"/>
    <n v="25"/>
    <n v="65"/>
    <n v="0.38461538461538464"/>
    <n v="0"/>
    <n v="0"/>
    <n v="1"/>
    <n v="10"/>
    <n v="0"/>
    <n v="10"/>
    <n v="13"/>
    <n v="0.76923076923076927"/>
    <n v="18"/>
    <n v="44"/>
    <n v="62"/>
    <n v="180"/>
    <n v="440"/>
    <n v="620"/>
    <n v="1.9375"/>
    <n v="14"/>
    <n v="0.4375"/>
    <n v="8"/>
    <n v="80"/>
    <n v="0.25"/>
    <n v="90"/>
    <n v="9"/>
    <n v="0.28125"/>
    <n v="100"/>
    <n v="2.46875"/>
    <n v="10"/>
    <n v="0.3125"/>
    <n v="44"/>
    <n v="1.375"/>
    <n v="60"/>
    <n v="1.875"/>
  </r>
  <r>
    <x v="22"/>
    <x v="2"/>
    <x v="41"/>
    <n v="23"/>
    <n v="230"/>
    <n v="21"/>
    <n v="1670"/>
    <n v="26"/>
    <n v="1.2380952380952381"/>
    <n v="9"/>
    <n v="33"/>
    <n v="273"/>
    <n v="6"/>
    <n v="60"/>
    <n v="16"/>
    <n v="160"/>
    <n v="0.375"/>
    <n v="4"/>
    <n v="6"/>
    <n v="0.66666666666666663"/>
    <n v="3"/>
    <n v="15"/>
    <n v="18"/>
    <n v="30"/>
    <n v="150"/>
    <n v="180"/>
    <n v="0.8571428571428571"/>
    <n v="34"/>
    <n v="1.6190476190476191"/>
    <n v="7"/>
    <n v="70"/>
    <n v="0.33333333333333331"/>
    <n v="20"/>
    <n v="2"/>
    <n v="9.5238095238095233E-2"/>
    <n v="170"/>
    <n v="1.2857142857142856"/>
    <n v="17"/>
    <n v="0.80952380952380953"/>
    <n v="20"/>
    <n v="0.95238095238095233"/>
    <n v="28"/>
    <n v="1.3333333333333333"/>
  </r>
  <r>
    <x v="13"/>
    <x v="2"/>
    <x v="42"/>
    <n v="25"/>
    <n v="250"/>
    <n v="12"/>
    <n v="990"/>
    <n v="10"/>
    <n v="0.83333333333333337"/>
    <n v="14"/>
    <n v="38"/>
    <n v="0.36842105263157893"/>
    <n v="2"/>
    <n v="20"/>
    <n v="7"/>
    <n v="70"/>
    <n v="0.2857142857142857"/>
    <n v="13"/>
    <n v="15"/>
    <n v="0.8666666666666667"/>
    <n v="1"/>
    <n v="3"/>
    <n v="4"/>
    <n v="10"/>
    <n v="30"/>
    <n v="40"/>
    <n v="0.33333333333333331"/>
    <n v="3"/>
    <n v="0.25"/>
    <n v="2"/>
    <n v="20"/>
    <n v="0.16666666666666666"/>
    <n v="0"/>
    <n v="0"/>
    <n v="0"/>
    <n v="70"/>
    <n v="0.5"/>
    <n v="7"/>
    <n v="0.58333333333333337"/>
    <n v="9"/>
    <n v="0.75"/>
    <n v="43"/>
    <n v="3.5833333333333335"/>
  </r>
  <r>
    <x v="23"/>
    <x v="3"/>
    <x v="43"/>
    <n v="27"/>
    <n v="270"/>
    <n v="47"/>
    <n v="18390"/>
    <n v="848"/>
    <n v="18.042553191489361"/>
    <n v="336"/>
    <n v="780"/>
    <n v="0.43076923076923079"/>
    <n v="50"/>
    <n v="500"/>
    <n v="156"/>
    <n v="1560"/>
    <n v="0.32051282051282054"/>
    <n v="209"/>
    <n v="251"/>
    <n v="0.83266932270916338"/>
    <n v="39"/>
    <n v="107"/>
    <n v="146"/>
    <n v="390"/>
    <n v="1070"/>
    <n v="1460"/>
    <n v="3.1063829787234041"/>
    <n v="438"/>
    <n v="9.3191489361702136"/>
    <n v="65"/>
    <n v="650"/>
    <n v="1.3829787234042554"/>
    <n v="40"/>
    <n v="4"/>
    <n v="8.5106382978723402E-2"/>
    <n v="1520"/>
    <n v="4.5744680851063828"/>
    <n v="152"/>
    <n v="3.2340425531914891"/>
    <n v="98"/>
    <n v="2.0851063829787235"/>
    <n v="931"/>
    <n v="19.808510638297872"/>
  </r>
  <r>
    <x v="24"/>
    <x v="3"/>
    <x v="44"/>
    <n v="28"/>
    <n v="280"/>
    <n v="47"/>
    <n v="15780"/>
    <n v="619"/>
    <n v="13.170212765957446"/>
    <n v="273"/>
    <n v="613"/>
    <n v="445"/>
    <n v="60"/>
    <n v="600"/>
    <n v="161"/>
    <n v="1610"/>
    <n v="0.37267080745341613"/>
    <n v="163"/>
    <n v="199"/>
    <n v="0.81909547738693467"/>
    <n v="98"/>
    <n v="245"/>
    <n v="343"/>
    <n v="980"/>
    <n v="2450"/>
    <n v="3430"/>
    <n v="7.2978723404255321"/>
    <n v="83"/>
    <n v="1.7659574468085106"/>
    <n v="52"/>
    <n v="520"/>
    <n v="1.1063829787234043"/>
    <n v="180"/>
    <n v="18"/>
    <n v="0.38297872340425532"/>
    <n v="1190"/>
    <n v="8.787234042553191"/>
    <n v="119"/>
    <n v="2.5319148936170213"/>
    <n v="151"/>
    <n v="3.2127659574468086"/>
    <n v="769"/>
    <n v="16.361702127659573"/>
  </r>
  <r>
    <x v="3"/>
    <x v="3"/>
    <x v="45"/>
    <n v="31"/>
    <n v="310"/>
    <n v="80"/>
    <n v="25490"/>
    <n v="949"/>
    <n v="11.862500000000001"/>
    <n v="392"/>
    <n v="829"/>
    <n v="473"/>
    <n v="0"/>
    <n v="0"/>
    <n v="3"/>
    <n v="30"/>
    <n v="0"/>
    <n v="106"/>
    <n v="127"/>
    <n v="0.83464566929133854"/>
    <n v="145"/>
    <n v="517"/>
    <n v="662"/>
    <n v="1450"/>
    <n v="5170"/>
    <n v="6620"/>
    <n v="8.2750000000000004"/>
    <n v="149"/>
    <n v="1.8625"/>
    <n v="56"/>
    <n v="560"/>
    <n v="0.7"/>
    <n v="800"/>
    <n v="80"/>
    <n v="1"/>
    <n v="1320"/>
    <n v="9.9749999999999996"/>
    <n v="132"/>
    <n v="1.65"/>
    <n v="298"/>
    <n v="3.7250000000000001"/>
    <n v="890"/>
    <n v="11.125"/>
  </r>
  <r>
    <x v="25"/>
    <x v="3"/>
    <x v="46"/>
    <n v="26"/>
    <n v="260"/>
    <n v="27"/>
    <n v="6730"/>
    <n v="293"/>
    <n v="10.851851851851851"/>
    <n v="108"/>
    <n v="192"/>
    <n v="0.5625"/>
    <n v="0"/>
    <n v="0"/>
    <n v="0"/>
    <n v="0"/>
    <e v="#DIV/0!"/>
    <n v="31"/>
    <n v="59"/>
    <n v="0.52542372881355937"/>
    <n v="77"/>
    <n v="130"/>
    <n v="207"/>
    <n v="770"/>
    <n v="1300"/>
    <n v="2070"/>
    <n v="7.666666666666667"/>
    <n v="16"/>
    <n v="0.59259259259259256"/>
    <n v="33"/>
    <n v="330"/>
    <n v="1.2222222222222223"/>
    <n v="250"/>
    <n v="25"/>
    <n v="0.92592592592592593"/>
    <n v="410"/>
    <n v="9.8148148148148149"/>
    <n v="41"/>
    <n v="1.5185185185185186"/>
    <n v="82"/>
    <n v="3.0370370370370372"/>
    <n v="247"/>
    <n v="9.1481481481481488"/>
  </r>
  <r>
    <x v="26"/>
    <x v="3"/>
    <x v="47"/>
    <n v="27"/>
    <n v="270"/>
    <n v="24"/>
    <n v="7460"/>
    <n v="260"/>
    <n v="10.833333333333334"/>
    <n v="137"/>
    <n v="303"/>
    <n v="452"/>
    <n v="26"/>
    <n v="260"/>
    <n v="64"/>
    <n v="640"/>
    <n v="0.40625"/>
    <n v="78"/>
    <n v="96"/>
    <n v="0.8125"/>
    <n v="26"/>
    <n v="89"/>
    <n v="115"/>
    <n v="260"/>
    <n v="890"/>
    <n v="1150"/>
    <n v="4.791666666666667"/>
    <n v="34"/>
    <n v="1.4166666666666667"/>
    <n v="24"/>
    <n v="240"/>
    <n v="1"/>
    <n v="50"/>
    <n v="5"/>
    <n v="0.20833333333333334"/>
    <n v="430"/>
    <n v="6"/>
    <n v="43"/>
    <n v="1.7916666666666667"/>
    <n v="69"/>
    <n v="2.875"/>
    <n v="378"/>
    <n v="15.75"/>
  </r>
  <r>
    <x v="2"/>
    <x v="3"/>
    <x v="48"/>
    <n v="33"/>
    <n v="330"/>
    <n v="50"/>
    <n v="17970"/>
    <n v="521"/>
    <n v="10.42"/>
    <n v="340"/>
    <n v="781"/>
    <n v="0.4353393085787452"/>
    <n v="87"/>
    <n v="870"/>
    <n v="202"/>
    <n v="2020"/>
    <n v="0.43069306930693069"/>
    <n v="157"/>
    <n v="172"/>
    <n v="0.91279069767441856"/>
    <n v="20"/>
    <n v="101"/>
    <n v="121"/>
    <n v="200"/>
    <n v="1010"/>
    <n v="1210"/>
    <n v="2.42"/>
    <n v="99"/>
    <n v="1.98"/>
    <n v="38"/>
    <n v="380"/>
    <n v="0.76"/>
    <n v="20"/>
    <n v="2"/>
    <n v="0.04"/>
    <n v="1020"/>
    <n v="3.2199999999999998"/>
    <n v="102"/>
    <n v="2.04"/>
    <n v="105"/>
    <n v="2.1"/>
    <n v="924"/>
    <n v="18.48"/>
  </r>
  <r>
    <x v="7"/>
    <x v="3"/>
    <x v="49"/>
    <n v="33"/>
    <n v="330"/>
    <n v="35"/>
    <n v="8280"/>
    <n v="333"/>
    <n v="9.5142857142857142"/>
    <n v="115"/>
    <n v="260"/>
    <n v="442"/>
    <n v="59"/>
    <n v="590"/>
    <n v="138"/>
    <n v="1380"/>
    <n v="0.42753623188405798"/>
    <n v="16"/>
    <n v="21"/>
    <n v="0.76190476190476186"/>
    <n v="10"/>
    <n v="86"/>
    <n v="96"/>
    <n v="100"/>
    <n v="860"/>
    <n v="960"/>
    <n v="2.7428571428571429"/>
    <n v="170"/>
    <n v="4.8571428571428568"/>
    <n v="47"/>
    <n v="470"/>
    <n v="1.3428571428571427"/>
    <n v="80"/>
    <n v="8"/>
    <n v="0.22857142857142856"/>
    <n v="690"/>
    <n v="4.3142857142857141"/>
    <n v="69"/>
    <n v="1.9714285714285715"/>
    <n v="74"/>
    <n v="2.1142857142857143"/>
    <n v="305"/>
    <n v="8.7142857142857135"/>
  </r>
  <r>
    <x v="27"/>
    <x v="3"/>
    <x v="50"/>
    <n v="38"/>
    <n v="380"/>
    <n v="65"/>
    <n v="14970"/>
    <n v="578"/>
    <n v="8.8923076923076927"/>
    <n v="141"/>
    <n v="295"/>
    <n v="0.47796610169491527"/>
    <n v="0"/>
    <n v="0"/>
    <n v="0"/>
    <n v="0"/>
    <e v="#DIV/0!"/>
    <n v="81"/>
    <n v="119"/>
    <n v="0.68067226890756305"/>
    <n v="145"/>
    <n v="292"/>
    <n v="437"/>
    <n v="1450"/>
    <n v="2920"/>
    <n v="4370"/>
    <n v="6.7230769230769232"/>
    <n v="25"/>
    <n v="0.38461538461538464"/>
    <n v="17"/>
    <n v="170"/>
    <n v="0.26153846153846155"/>
    <n v="1230"/>
    <n v="123"/>
    <n v="1.8923076923076922"/>
    <n v="540"/>
    <n v="8.8769230769230774"/>
    <n v="54"/>
    <n v="0.83076923076923082"/>
    <n v="141"/>
    <n v="2.1692307692307691"/>
    <n v="363"/>
    <n v="5.5846153846153843"/>
  </r>
  <r>
    <x v="28"/>
    <x v="3"/>
    <x v="51"/>
    <n v="29"/>
    <n v="290"/>
    <n v="18"/>
    <n v="4220"/>
    <n v="148"/>
    <n v="8.2222222222222214"/>
    <n v="65"/>
    <n v="142"/>
    <n v="0.45774647887323944"/>
    <n v="0"/>
    <n v="0"/>
    <n v="0"/>
    <n v="0"/>
    <e v="#DIV/0!"/>
    <n v="22"/>
    <n v="38"/>
    <n v="0.57894736842105265"/>
    <n v="31"/>
    <n v="88"/>
    <n v="119"/>
    <n v="310"/>
    <n v="880"/>
    <n v="1190"/>
    <n v="6.6111111111111107"/>
    <n v="20"/>
    <n v="1.1111111111111112"/>
    <n v="12"/>
    <n v="120"/>
    <n v="0.66666666666666663"/>
    <n v="110"/>
    <n v="11"/>
    <n v="0.61111111111111116"/>
    <n v="270"/>
    <n v="7.8888888888888884"/>
    <n v="27"/>
    <n v="1.5"/>
    <n v="46"/>
    <n v="2.5555555555555554"/>
    <n v="152"/>
    <n v="8.4444444444444446"/>
  </r>
  <r>
    <x v="29"/>
    <x v="3"/>
    <x v="52"/>
    <n v="32"/>
    <n v="320"/>
    <n v="42"/>
    <n v="12190"/>
    <n v="310"/>
    <n v="7.3809523809523814"/>
    <n v="159"/>
    <n v="408"/>
    <n v="0.38970588235294118"/>
    <n v="16"/>
    <n v="160"/>
    <n v="44"/>
    <n v="440"/>
    <n v="0.36363636363636365"/>
    <n v="69"/>
    <n v="89"/>
    <n v="0.7752808988764045"/>
    <n v="42"/>
    <n v="147"/>
    <n v="189"/>
    <n v="420"/>
    <n v="1470"/>
    <n v="1890"/>
    <n v="4.5"/>
    <n v="79"/>
    <n v="1.8809523809523809"/>
    <n v="42"/>
    <n v="420"/>
    <n v="1"/>
    <n v="120"/>
    <n v="12"/>
    <n v="0.2857142857142857"/>
    <n v="650"/>
    <n v="5.7857142857142856"/>
    <n v="65"/>
    <n v="1.5476190476190477"/>
    <n v="81"/>
    <n v="1.9285714285714286"/>
    <n v="403"/>
    <n v="9.5952380952380949"/>
  </r>
  <r>
    <x v="18"/>
    <x v="3"/>
    <x v="53"/>
    <n v="31"/>
    <n v="310"/>
    <n v="33"/>
    <n v="7300"/>
    <n v="214"/>
    <n v="6.4848484848484844"/>
    <n v="80"/>
    <n v="202"/>
    <n v="0.39603960396039606"/>
    <n v="28"/>
    <n v="280"/>
    <n v="85"/>
    <n v="850"/>
    <n v="0.32941176470588235"/>
    <n v="32"/>
    <n v="36"/>
    <n v="0.88888888888888884"/>
    <n v="7"/>
    <n v="59"/>
    <n v="66"/>
    <n v="70"/>
    <n v="590"/>
    <n v="660"/>
    <n v="2"/>
    <n v="156"/>
    <n v="4.7272727272727275"/>
    <n v="30"/>
    <n v="300"/>
    <n v="0.90909090909090906"/>
    <n v="30"/>
    <n v="3"/>
    <n v="9.0909090909090912E-2"/>
    <n v="500"/>
    <n v="3"/>
    <n v="50"/>
    <n v="1.5151515151515151"/>
    <n v="85"/>
    <n v="2.5757575757575757"/>
    <n v="220"/>
    <n v="6.666666666666667"/>
  </r>
  <r>
    <x v="21"/>
    <x v="3"/>
    <x v="54"/>
    <n v="27"/>
    <n v="270"/>
    <n v="46"/>
    <n v="6810"/>
    <n v="246"/>
    <n v="5.3478260869565215"/>
    <n v="100"/>
    <n v="225"/>
    <n v="0.44444444444444442"/>
    <n v="0"/>
    <n v="0"/>
    <n v="0"/>
    <n v="0"/>
    <e v="#DIV/0!"/>
    <n v="31"/>
    <n v="36"/>
    <n v="0.86111111111111116"/>
    <n v="60"/>
    <n v="129"/>
    <n v="189"/>
    <n v="600"/>
    <n v="1290"/>
    <n v="1890"/>
    <n v="4.1086956521739131"/>
    <n v="30"/>
    <n v="0.65217391304347827"/>
    <n v="17"/>
    <n v="170"/>
    <n v="0.36956521739130432"/>
    <n v="300"/>
    <n v="30"/>
    <n v="0.65217391304347827"/>
    <n v="370"/>
    <n v="5.1304347826086953"/>
    <n v="37"/>
    <n v="0.80434782608695654"/>
    <n v="84"/>
    <n v="1.826086956521739"/>
    <n v="231"/>
    <n v="5.0217391304347823"/>
  </r>
  <r>
    <x v="16"/>
    <x v="3"/>
    <x v="55"/>
    <n v="33"/>
    <n v="330"/>
    <n v="15"/>
    <n v="2180"/>
    <n v="76"/>
    <n v="5.0666666666666664"/>
    <n v="18"/>
    <n v="40"/>
    <n v="45"/>
    <n v="0"/>
    <n v="0"/>
    <n v="0"/>
    <n v="0"/>
    <e v="#DIV/0!"/>
    <n v="18"/>
    <n v="19"/>
    <n v="0.94736842105263153"/>
    <n v="14"/>
    <n v="36"/>
    <n v="50"/>
    <n v="140"/>
    <n v="360"/>
    <n v="500"/>
    <n v="3.3333333333333335"/>
    <n v="13"/>
    <n v="0.8666666666666667"/>
    <n v="8"/>
    <n v="80"/>
    <n v="0.53333333333333333"/>
    <n v="20"/>
    <n v="2"/>
    <n v="0.13333333333333333"/>
    <n v="90"/>
    <n v="4"/>
    <n v="9"/>
    <n v="0.6"/>
    <n v="19"/>
    <n v="1.2666666666666666"/>
    <n v="54"/>
    <n v="3.6"/>
  </r>
  <r>
    <x v="17"/>
    <x v="3"/>
    <x v="56"/>
    <n v="30"/>
    <n v="300"/>
    <n v="80"/>
    <n v="19720"/>
    <n v="400"/>
    <n v="5"/>
    <n v="238"/>
    <n v="564"/>
    <n v="0.42198581560283688"/>
    <n v="36"/>
    <n v="360"/>
    <n v="128"/>
    <n v="1280"/>
    <n v="0.28125"/>
    <n v="123"/>
    <n v="161"/>
    <n v="0.7639751552795031"/>
    <n v="53"/>
    <n v="169"/>
    <n v="222"/>
    <n v="530"/>
    <n v="1690"/>
    <n v="2220"/>
    <n v="2.7749999999999999"/>
    <n v="122"/>
    <n v="1.5249999999999999"/>
    <n v="68"/>
    <n v="680"/>
    <n v="0.85"/>
    <n v="170"/>
    <n v="17"/>
    <n v="0.21249999999999999"/>
    <n v="1180"/>
    <n v="3.8374999999999999"/>
    <n v="118"/>
    <n v="1.4750000000000001"/>
    <n v="182"/>
    <n v="2.2749999999999999"/>
    <n v="635"/>
    <n v="7.9375"/>
  </r>
  <r>
    <x v="30"/>
    <x v="3"/>
    <x v="57"/>
    <n v="21"/>
    <n v="210"/>
    <n v="42"/>
    <n v="4950"/>
    <n v="205"/>
    <n v="4.8809523809523814"/>
    <n v="69"/>
    <n v="140"/>
    <n v="493"/>
    <n v="0"/>
    <n v="0"/>
    <n v="1"/>
    <n v="10"/>
    <n v="0"/>
    <n v="42"/>
    <n v="58"/>
    <n v="0.72413793103448276"/>
    <n v="68"/>
    <n v="89"/>
    <n v="157"/>
    <n v="680"/>
    <n v="890"/>
    <n v="1570"/>
    <n v="3.7380952380952381"/>
    <n v="14"/>
    <n v="0.33333333333333331"/>
    <n v="18"/>
    <n v="180"/>
    <n v="0.42857142857142855"/>
    <n v="120"/>
    <n v="12"/>
    <n v="0.2857142857142857"/>
    <n v="320"/>
    <n v="4.4523809523809526"/>
    <n v="32"/>
    <n v="0.76190476190476186"/>
    <n v="57"/>
    <n v="1.3571428571428572"/>
    <n v="180"/>
    <n v="4.2857142857142856"/>
  </r>
  <r>
    <x v="31"/>
    <x v="3"/>
    <x v="58"/>
    <n v="30"/>
    <n v="300"/>
    <n v="36"/>
    <n v="4460"/>
    <n v="136"/>
    <n v="3.7777777777777777"/>
    <n v="53"/>
    <n v="130"/>
    <n v="0.40769230769230769"/>
    <n v="12"/>
    <n v="120"/>
    <n v="35"/>
    <n v="350"/>
    <n v="0.34285714285714286"/>
    <n v="36"/>
    <n v="47"/>
    <n v="0.76595744680851063"/>
    <n v="8"/>
    <n v="27"/>
    <n v="35"/>
    <n v="80"/>
    <n v="270"/>
    <n v="350"/>
    <n v="0.97222222222222221"/>
    <n v="73"/>
    <n v="2.0277777777777777"/>
    <n v="28"/>
    <n v="280"/>
    <n v="0.77777777777777779"/>
    <n v="30"/>
    <n v="3"/>
    <n v="8.3333333333333329E-2"/>
    <n v="340"/>
    <n v="1.8333333333333335"/>
    <n v="34"/>
    <n v="0.94444444444444442"/>
    <n v="35"/>
    <n v="0.97222222222222221"/>
    <n v="154"/>
    <n v="4.2777777777777777"/>
  </r>
  <r>
    <x v="32"/>
    <x v="3"/>
    <x v="59"/>
    <n v="24"/>
    <n v="240"/>
    <n v="21"/>
    <n v="2870"/>
    <n v="66"/>
    <n v="3.1428571428571428"/>
    <n v="36"/>
    <n v="97"/>
    <n v="371"/>
    <n v="13"/>
    <n v="130"/>
    <n v="36"/>
    <n v="360"/>
    <n v="0.3611111111111111"/>
    <n v="28"/>
    <n v="31"/>
    <n v="0.90322580645161288"/>
    <n v="5"/>
    <n v="34"/>
    <n v="39"/>
    <n v="50"/>
    <n v="340"/>
    <n v="390"/>
    <n v="1.8571428571428572"/>
    <n v="11"/>
    <n v="0.52380952380952384"/>
    <n v="8"/>
    <n v="80"/>
    <n v="0.38095238095238093"/>
    <n v="70"/>
    <n v="7"/>
    <n v="0.33333333333333331"/>
    <n v="160"/>
    <n v="2.5714285714285712"/>
    <n v="16"/>
    <n v="0.76190476190476186"/>
    <n v="32"/>
    <n v="1.5238095238095237"/>
    <n v="113"/>
    <n v="5.3809523809523814"/>
  </r>
  <r>
    <x v="33"/>
    <x v="3"/>
    <x v="60"/>
    <n v="32"/>
    <n v="320"/>
    <n v="17"/>
    <n v="3130"/>
    <n v="52"/>
    <n v="3.0588235294117645"/>
    <n v="40"/>
    <n v="99"/>
    <n v="0.40404040404040403"/>
    <n v="1"/>
    <n v="10"/>
    <n v="2"/>
    <n v="20"/>
    <n v="0.5"/>
    <n v="32"/>
    <n v="45"/>
    <n v="0.71111111111111114"/>
    <n v="36"/>
    <n v="34"/>
    <n v="70"/>
    <n v="360"/>
    <n v="340"/>
    <n v="700"/>
    <n v="4.117647058823529"/>
    <n v="12"/>
    <n v="0.70588235294117652"/>
    <n v="7"/>
    <n v="70"/>
    <n v="0.41176470588235292"/>
    <n v="90"/>
    <n v="9"/>
    <n v="0.52941176470588236"/>
    <n v="250"/>
    <n v="5.0588235294117645"/>
    <n v="25"/>
    <n v="1.4705882352941178"/>
    <n v="62"/>
    <n v="3.6470588235294117"/>
    <n v="113"/>
    <n v="6.6470588235294121"/>
  </r>
  <r>
    <x v="9"/>
    <x v="3"/>
    <x v="61"/>
    <n v="30"/>
    <n v="300"/>
    <n v="56"/>
    <n v="8710"/>
    <n v="169"/>
    <n v="3.0178571428571428"/>
    <n v="100"/>
    <n v="202"/>
    <n v="0.49504950495049505"/>
    <n v="0"/>
    <n v="0"/>
    <n v="0"/>
    <n v="0"/>
    <e v="#DIV/0!"/>
    <n v="58"/>
    <n v="78"/>
    <n v="0.74358974358974361"/>
    <n v="58"/>
    <n v="119"/>
    <n v="177"/>
    <n v="580"/>
    <n v="1190"/>
    <n v="1770"/>
    <n v="3.1607142857142856"/>
    <n v="29"/>
    <n v="0.5178571428571429"/>
    <n v="12"/>
    <n v="120"/>
    <n v="0.21428571428571427"/>
    <n v="140"/>
    <n v="14"/>
    <n v="0.25"/>
    <n v="650"/>
    <n v="3.625"/>
    <n v="65"/>
    <n v="1.1607142857142858"/>
    <n v="134"/>
    <n v="2.3928571428571428"/>
    <n v="258"/>
    <n v="4.6071428571428568"/>
  </r>
  <r>
    <x v="22"/>
    <x v="3"/>
    <x v="62"/>
    <n v="24"/>
    <n v="240"/>
    <n v="56"/>
    <n v="7110"/>
    <n v="168"/>
    <n v="3"/>
    <n v="80"/>
    <n v="208"/>
    <n v="385"/>
    <n v="18"/>
    <n v="180"/>
    <n v="60"/>
    <n v="600"/>
    <n v="0.3"/>
    <n v="41"/>
    <n v="48"/>
    <n v="0.85416666666666663"/>
    <n v="8"/>
    <n v="45"/>
    <n v="53"/>
    <n v="80"/>
    <n v="450"/>
    <n v="530"/>
    <n v="0.9464285714285714"/>
    <n v="121"/>
    <n v="2.1607142857142856"/>
    <n v="25"/>
    <n v="250"/>
    <n v="0.44642857142857145"/>
    <n v="60"/>
    <n v="6"/>
    <n v="0.10714285714285714"/>
    <n v="630"/>
    <n v="1.5"/>
    <n v="63"/>
    <n v="1.125"/>
    <n v="58"/>
    <n v="1.0357142857142858"/>
    <n v="219"/>
    <n v="3.9107142857142856"/>
  </r>
  <r>
    <x v="34"/>
    <x v="3"/>
    <x v="63"/>
    <n v="24"/>
    <n v="240"/>
    <n v="1"/>
    <n v="40"/>
    <n v="1"/>
    <n v="1"/>
    <n v="1"/>
    <n v="1"/>
    <n v="10"/>
    <n v="0"/>
    <n v="0"/>
    <n v="0"/>
    <n v="0"/>
    <e v="#DIV/0!"/>
    <n v="0"/>
    <n v="0"/>
    <e v="#DIV/0!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2"/>
    <n v="2"/>
  </r>
  <r>
    <x v="35"/>
    <x v="3"/>
    <x v="64"/>
    <n v="24"/>
    <n v="240"/>
    <n v="3"/>
    <n v="50"/>
    <n v="-3"/>
    <n v="-1"/>
    <n v="0"/>
    <n v="2"/>
    <n v="0"/>
    <n v="0"/>
    <n v="0"/>
    <n v="0"/>
    <n v="0"/>
    <e v="#DIV/0!"/>
    <n v="1"/>
    <n v="2"/>
    <n v="0.5"/>
    <n v="0"/>
    <n v="0"/>
    <n v="0"/>
    <n v="0"/>
    <n v="0"/>
    <n v="0"/>
    <n v="0"/>
    <n v="0"/>
    <n v="0"/>
    <n v="1"/>
    <n v="10"/>
    <n v="0.33333333333333331"/>
    <n v="0"/>
    <n v="0"/>
    <n v="0"/>
    <n v="0"/>
    <n v="0.33333333333333331"/>
    <n v="0"/>
    <n v="0"/>
    <n v="2"/>
    <n v="0.66666666666666663"/>
    <n v="1"/>
    <n v="0.33333333333333331"/>
  </r>
  <r>
    <x v="23"/>
    <x v="4"/>
    <x v="65"/>
    <n v="28"/>
    <n v="280"/>
    <n v="82"/>
    <n v="32810"/>
    <n v="1611"/>
    <n v="19.646341463414632"/>
    <n v="604"/>
    <n v="1308"/>
    <n v="0.46177370030581039"/>
    <n v="115"/>
    <n v="1150"/>
    <n v="325"/>
    <n v="3250"/>
    <n v="0.35384615384615387"/>
    <n v="458"/>
    <n v="549"/>
    <n v="0.83424408014571949"/>
    <n v="50"/>
    <n v="198"/>
    <n v="248"/>
    <n v="500"/>
    <n v="1980"/>
    <n v="2480"/>
    <n v="3.024390243902439"/>
    <n v="668"/>
    <n v="8.1463414634146343"/>
    <n v="122"/>
    <n v="1220"/>
    <n v="1.4878048780487805"/>
    <n v="60"/>
    <n v="6"/>
    <n v="7.3170731707317069E-2"/>
    <n v="2330"/>
    <n v="4.5853658536585371"/>
    <n v="233"/>
    <n v="2.8414634146341462"/>
    <n v="186"/>
    <n v="2.2682926829268291"/>
    <n v="1781"/>
    <n v="21.719512195121951"/>
  </r>
  <r>
    <x v="3"/>
    <x v="4"/>
    <x v="66"/>
    <n v="32"/>
    <n v="320"/>
    <n v="80"/>
    <n v="28550"/>
    <n v="1152"/>
    <n v="14.4"/>
    <n v="424"/>
    <n v="901"/>
    <n v="471"/>
    <n v="2"/>
    <n v="20"/>
    <n v="4"/>
    <n v="40"/>
    <n v="0.5"/>
    <n v="66"/>
    <n v="84"/>
    <n v="0.7857142857142857"/>
    <n v="170"/>
    <n v="661"/>
    <n v="831"/>
    <n v="1700"/>
    <n v="6610"/>
    <n v="8310"/>
    <n v="10.387499999999999"/>
    <n v="160"/>
    <n v="2"/>
    <n v="70"/>
    <n v="700"/>
    <n v="0.875"/>
    <n v="790"/>
    <n v="79"/>
    <n v="0.98750000000000004"/>
    <n v="990"/>
    <n v="12.25"/>
    <n v="99"/>
    <n v="1.2375"/>
    <n v="310"/>
    <n v="3.875"/>
    <n v="916"/>
    <n v="11.45"/>
  </r>
  <r>
    <x v="36"/>
    <x v="4"/>
    <x v="67"/>
    <n v="25"/>
    <n v="250"/>
    <n v="70"/>
    <n v="26880"/>
    <n v="880"/>
    <n v="12.571428571428571"/>
    <n v="437"/>
    <n v="1097"/>
    <n v="398"/>
    <n v="185"/>
    <n v="1850"/>
    <n v="512"/>
    <n v="5120"/>
    <n v="0.361328125"/>
    <n v="182"/>
    <n v="216"/>
    <n v="0.84259259259259256"/>
    <n v="33"/>
    <n v="170"/>
    <n v="203"/>
    <n v="330"/>
    <n v="1700"/>
    <n v="2030"/>
    <n v="2.9"/>
    <n v="302"/>
    <n v="4.3142857142857141"/>
    <n v="92"/>
    <n v="920"/>
    <n v="1.3142857142857143"/>
    <n v="190"/>
    <n v="19"/>
    <n v="0.27142857142857141"/>
    <n v="1480"/>
    <n v="4.4857142857142858"/>
    <n v="148"/>
    <n v="2.1142857142857143"/>
    <n v="135"/>
    <n v="1.9285714285714286"/>
    <n v="1241"/>
    <n v="17.728571428571428"/>
  </r>
  <r>
    <x v="25"/>
    <x v="4"/>
    <x v="68"/>
    <n v="27"/>
    <n v="270"/>
    <n v="54"/>
    <n v="15190"/>
    <n v="631"/>
    <n v="11.685185185185185"/>
    <n v="234"/>
    <n v="460"/>
    <n v="0.50869565217391299"/>
    <n v="0"/>
    <n v="0"/>
    <n v="1"/>
    <n v="10"/>
    <n v="0"/>
    <n v="121"/>
    <n v="171"/>
    <n v="0.70760233918128657"/>
    <n v="169"/>
    <n v="270"/>
    <n v="439"/>
    <n v="1690"/>
    <n v="2700"/>
    <n v="4390"/>
    <n v="8.1296296296296298"/>
    <n v="26"/>
    <n v="0.48148148148148145"/>
    <n v="53"/>
    <n v="530"/>
    <n v="0.98148148148148151"/>
    <n v="530"/>
    <n v="53"/>
    <n v="0.98148148148148151"/>
    <n v="810"/>
    <n v="10.092592592592593"/>
    <n v="81"/>
    <n v="1.5"/>
    <n v="172"/>
    <n v="3.1851851851851851"/>
    <n v="589"/>
    <n v="10.907407407407407"/>
  </r>
  <r>
    <x v="30"/>
    <x v="4"/>
    <x v="69"/>
    <n v="22"/>
    <n v="220"/>
    <n v="77"/>
    <n v="15090"/>
    <n v="567"/>
    <n v="7.3636363636363633"/>
    <n v="237"/>
    <n v="446"/>
    <n v="531"/>
    <n v="0"/>
    <n v="0"/>
    <n v="1"/>
    <n v="10"/>
    <n v="0"/>
    <n v="176"/>
    <n v="235"/>
    <n v="0.74893617021276593"/>
    <n v="169"/>
    <n v="249"/>
    <n v="418"/>
    <n v="1690"/>
    <n v="2490"/>
    <n v="4180"/>
    <n v="5.4285714285714288"/>
    <n v="44"/>
    <n v="0.5714285714285714"/>
    <n v="27"/>
    <n v="270"/>
    <n v="0.35064935064935066"/>
    <n v="280"/>
    <n v="28"/>
    <n v="0.36363636363636365"/>
    <n v="1080"/>
    <n v="6.1428571428571432"/>
    <n v="108"/>
    <n v="1.4025974025974026"/>
    <n v="224"/>
    <n v="2.9090909090909092"/>
    <n v="650"/>
    <n v="8.4415584415584419"/>
  </r>
  <r>
    <x v="26"/>
    <x v="4"/>
    <x v="70"/>
    <n v="28"/>
    <n v="280"/>
    <n v="71"/>
    <n v="19400"/>
    <n v="481"/>
    <n v="6.774647887323944"/>
    <n v="315"/>
    <n v="718"/>
    <n v="439"/>
    <n v="85"/>
    <n v="850"/>
    <n v="208"/>
    <n v="2080"/>
    <n v="0.40865384615384615"/>
    <n v="136"/>
    <n v="173"/>
    <n v="0.78612716763005785"/>
    <n v="45"/>
    <n v="192"/>
    <n v="237"/>
    <n v="450"/>
    <n v="1920"/>
    <n v="2370"/>
    <n v="3.3380281690140845"/>
    <n v="110"/>
    <n v="1.5492957746478873"/>
    <n v="41"/>
    <n v="410"/>
    <n v="0.57746478873239437"/>
    <n v="170"/>
    <n v="17"/>
    <n v="0.23943661971830985"/>
    <n v="1130"/>
    <n v="4.154929577464789"/>
    <n v="113"/>
    <n v="1.591549295774648"/>
    <n v="222"/>
    <n v="3.1267605633802815"/>
    <n v="851"/>
    <n v="11.985915492957746"/>
  </r>
  <r>
    <x v="2"/>
    <x v="4"/>
    <x v="71"/>
    <n v="34"/>
    <n v="340"/>
    <n v="20"/>
    <n v="5320"/>
    <n v="124"/>
    <n v="6.2"/>
    <n v="85"/>
    <n v="205"/>
    <n v="0.41463414634146339"/>
    <n v="31"/>
    <n v="310"/>
    <n v="80"/>
    <n v="800"/>
    <n v="0.38750000000000001"/>
    <n v="36"/>
    <n v="43"/>
    <n v="0.83720930232558144"/>
    <n v="4"/>
    <n v="19"/>
    <n v="23"/>
    <n v="40"/>
    <n v="190"/>
    <n v="230"/>
    <n v="1.1499999999999999"/>
    <n v="42"/>
    <n v="2.1"/>
    <n v="8"/>
    <n v="80"/>
    <n v="0.4"/>
    <n v="20"/>
    <n v="2"/>
    <n v="0.1"/>
    <n v="210"/>
    <n v="1.65"/>
    <n v="21"/>
    <n v="1.05"/>
    <n v="40"/>
    <n v="2"/>
    <n v="237"/>
    <n v="11.85"/>
  </r>
  <r>
    <x v="37"/>
    <x v="4"/>
    <x v="72"/>
    <n v="20"/>
    <n v="200"/>
    <n v="80"/>
    <n v="13850"/>
    <n v="390"/>
    <n v="4.875"/>
    <n v="172"/>
    <n v="389"/>
    <n v="0.44215938303341901"/>
    <n v="3"/>
    <n v="30"/>
    <n v="13"/>
    <n v="130"/>
    <n v="0.23076923076923078"/>
    <n v="121"/>
    <n v="174"/>
    <n v="0.6954022988505747"/>
    <n v="89"/>
    <n v="153"/>
    <n v="242"/>
    <n v="890"/>
    <n v="1530"/>
    <n v="2420"/>
    <n v="3.0249999999999999"/>
    <n v="85"/>
    <n v="1.0625"/>
    <n v="70"/>
    <n v="700"/>
    <n v="0.875"/>
    <n v="180"/>
    <n v="18"/>
    <n v="0.22500000000000001"/>
    <n v="730"/>
    <n v="4.125"/>
    <n v="73"/>
    <n v="0.91249999999999998"/>
    <n v="150"/>
    <n v="1.875"/>
    <n v="468"/>
    <n v="5.85"/>
  </r>
  <r>
    <x v="38"/>
    <x v="4"/>
    <x v="73"/>
    <n v="30"/>
    <n v="300"/>
    <n v="26"/>
    <n v="6120"/>
    <n v="122"/>
    <n v="4.6923076923076925"/>
    <n v="74"/>
    <n v="174"/>
    <n v="425"/>
    <n v="1"/>
    <n v="10"/>
    <n v="6"/>
    <n v="60"/>
    <n v="0.16666666666666666"/>
    <n v="68"/>
    <n v="87"/>
    <n v="0.7816091954022989"/>
    <n v="34"/>
    <n v="80"/>
    <n v="114"/>
    <n v="340"/>
    <n v="800"/>
    <n v="1140"/>
    <n v="4.384615384615385"/>
    <n v="18"/>
    <n v="0.69230769230769229"/>
    <n v="15"/>
    <n v="150"/>
    <n v="0.57692307692307687"/>
    <n v="70"/>
    <n v="7"/>
    <n v="0.26923076923076922"/>
    <n v="460"/>
    <n v="5.2307692307692308"/>
    <n v="46"/>
    <n v="1.7692307692307692"/>
    <n v="84"/>
    <n v="3.2307692307692308"/>
    <n v="217"/>
    <n v="8.3461538461538467"/>
  </r>
  <r>
    <x v="29"/>
    <x v="4"/>
    <x v="74"/>
    <n v="33"/>
    <n v="330"/>
    <n v="37"/>
    <n v="8950"/>
    <n v="172"/>
    <n v="4.6486486486486482"/>
    <n v="110"/>
    <n v="260"/>
    <n v="0.42307692307692307"/>
    <n v="15"/>
    <n v="150"/>
    <n v="50"/>
    <n v="500"/>
    <n v="0.3"/>
    <n v="34"/>
    <n v="46"/>
    <n v="0.73913043478260865"/>
    <n v="19"/>
    <n v="70"/>
    <n v="89"/>
    <n v="190"/>
    <n v="700"/>
    <n v="890"/>
    <n v="2.4054054054054053"/>
    <n v="74"/>
    <n v="2"/>
    <n v="28"/>
    <n v="280"/>
    <n v="0.7567567567567568"/>
    <n v="30"/>
    <n v="3"/>
    <n v="8.1081081081081086E-2"/>
    <n v="500"/>
    <n v="3.243243243243243"/>
    <n v="50"/>
    <n v="1.3513513513513513"/>
    <n v="79"/>
    <n v="2.1351351351351351"/>
    <n v="269"/>
    <n v="7.2702702702702702"/>
  </r>
  <r>
    <x v="39"/>
    <x v="4"/>
    <x v="75"/>
    <n v="32"/>
    <n v="320"/>
    <n v="79"/>
    <n v="12110"/>
    <n v="350"/>
    <n v="4.4303797468354427"/>
    <n v="122"/>
    <n v="243"/>
    <n v="502"/>
    <n v="0"/>
    <n v="0"/>
    <n v="5"/>
    <n v="50"/>
    <n v="0"/>
    <n v="115"/>
    <n v="172"/>
    <n v="0.66860465116279066"/>
    <n v="115"/>
    <n v="168"/>
    <n v="283"/>
    <n v="1150"/>
    <n v="1680"/>
    <n v="2830"/>
    <n v="3.5822784810126582"/>
    <n v="41"/>
    <n v="0.51898734177215189"/>
    <n v="55"/>
    <n v="550"/>
    <n v="0.69620253164556967"/>
    <n v="100"/>
    <n v="10"/>
    <n v="0.12658227848101267"/>
    <n v="650"/>
    <n v="4.4050632911392409"/>
    <n v="65"/>
    <n v="0.82278481012658233"/>
    <n v="155"/>
    <n v="1.9620253164556962"/>
    <n v="359"/>
    <n v="4.5443037974683547"/>
  </r>
  <r>
    <x v="40"/>
    <x v="4"/>
    <x v="76"/>
    <n v="28"/>
    <n v="280"/>
    <n v="27"/>
    <n v="4310"/>
    <n v="117"/>
    <n v="4.333333333333333"/>
    <n v="76"/>
    <n v="154"/>
    <n v="494"/>
    <n v="0"/>
    <n v="0"/>
    <n v="1"/>
    <n v="10"/>
    <n v="0"/>
    <n v="24"/>
    <n v="43"/>
    <n v="0.55813953488372092"/>
    <n v="26"/>
    <n v="67"/>
    <n v="93"/>
    <n v="260"/>
    <n v="670"/>
    <n v="930"/>
    <n v="3.4444444444444446"/>
    <n v="14"/>
    <n v="0.51851851851851849"/>
    <n v="11"/>
    <n v="110"/>
    <n v="0.40740740740740738"/>
    <n v="80"/>
    <n v="8"/>
    <n v="0.29629629629629628"/>
    <n v="310"/>
    <n v="4.1481481481481488"/>
    <n v="31"/>
    <n v="1.1481481481481481"/>
    <n v="57"/>
    <n v="2.1111111111111112"/>
    <n v="176"/>
    <n v="6.5185185185185182"/>
  </r>
  <r>
    <x v="41"/>
    <x v="4"/>
    <x v="77"/>
    <n v="20"/>
    <n v="200"/>
    <n v="3"/>
    <n v="50"/>
    <n v="10"/>
    <n v="3.3333333333333335"/>
    <n v="4"/>
    <n v="4"/>
    <n v="1"/>
    <n v="0"/>
    <n v="0"/>
    <n v="0"/>
    <n v="0"/>
    <e v="#DIV/0!"/>
    <n v="2"/>
    <n v="2"/>
    <n v="1"/>
    <n v="0"/>
    <n v="0"/>
    <n v="0"/>
    <n v="0"/>
    <n v="0"/>
    <n v="0"/>
    <n v="0"/>
    <n v="0"/>
    <n v="0"/>
    <n v="1"/>
    <n v="10"/>
    <n v="0.33333333333333331"/>
    <n v="0"/>
    <n v="0"/>
    <n v="0"/>
    <n v="10"/>
    <n v="0.33333333333333331"/>
    <n v="1"/>
    <n v="0.33333333333333331"/>
    <n v="0"/>
    <n v="0"/>
    <n v="10"/>
    <n v="3.3333333333333335"/>
  </r>
  <r>
    <x v="42"/>
    <x v="4"/>
    <x v="78"/>
    <n v="29"/>
    <n v="290"/>
    <n v="21"/>
    <n v="2300"/>
    <n v="40"/>
    <n v="1.9047619047619047"/>
    <n v="17"/>
    <n v="33"/>
    <n v="515"/>
    <n v="0"/>
    <n v="0"/>
    <n v="2"/>
    <n v="20"/>
    <n v="0"/>
    <n v="8"/>
    <n v="13"/>
    <n v="0.61538461538461542"/>
    <n v="3"/>
    <n v="20"/>
    <n v="23"/>
    <n v="30"/>
    <n v="200"/>
    <n v="230"/>
    <n v="1.0952380952380953"/>
    <n v="24"/>
    <n v="1.1428571428571428"/>
    <n v="7"/>
    <n v="70"/>
    <n v="0.33333333333333331"/>
    <n v="10"/>
    <n v="1"/>
    <n v="4.7619047619047616E-2"/>
    <n v="100"/>
    <n v="1.4761904761904763"/>
    <n v="10"/>
    <n v="0.47619047619047616"/>
    <n v="26"/>
    <n v="1.2380952380952381"/>
    <n v="42"/>
    <n v="2"/>
  </r>
  <r>
    <x v="31"/>
    <x v="4"/>
    <x v="79"/>
    <n v="31"/>
    <n v="310"/>
    <n v="32"/>
    <n v="3210"/>
    <n v="45"/>
    <n v="1.40625"/>
    <n v="32"/>
    <n v="93"/>
    <n v="0.34408602150537637"/>
    <n v="0"/>
    <n v="0"/>
    <n v="12"/>
    <n v="120"/>
    <n v="0"/>
    <n v="18"/>
    <n v="22"/>
    <n v="0.81818181818181823"/>
    <n v="9"/>
    <n v="33"/>
    <n v="42"/>
    <n v="90"/>
    <n v="330"/>
    <n v="420"/>
    <n v="1.3125"/>
    <n v="34"/>
    <n v="1.0625"/>
    <n v="17"/>
    <n v="170"/>
    <n v="0.53125"/>
    <n v="20"/>
    <n v="2"/>
    <n v="6.25E-2"/>
    <n v="250"/>
    <n v="1.90625"/>
    <n v="25"/>
    <n v="0.78125"/>
    <n v="42"/>
    <n v="1.3125"/>
    <n v="82"/>
    <n v="2.5625"/>
  </r>
  <r>
    <x v="43"/>
    <x v="4"/>
    <x v="80"/>
    <n v="24"/>
    <n v="240"/>
    <n v="18"/>
    <n v="1840"/>
    <n v="17"/>
    <n v="0.94444444444444442"/>
    <n v="11"/>
    <n v="37"/>
    <n v="0.29729729729729731"/>
    <n v="3"/>
    <n v="30"/>
    <n v="15"/>
    <n v="150"/>
    <n v="0.2"/>
    <n v="6"/>
    <n v="13"/>
    <n v="0.46153846153846156"/>
    <n v="6"/>
    <n v="16"/>
    <n v="22"/>
    <n v="60"/>
    <n v="160"/>
    <n v="220"/>
    <n v="1.2222222222222223"/>
    <n v="12"/>
    <n v="0.66666666666666663"/>
    <n v="8"/>
    <n v="80"/>
    <n v="0.44444444444444442"/>
    <n v="10"/>
    <n v="1"/>
    <n v="5.5555555555555552E-2"/>
    <n v="130"/>
    <n v="1.7222222222222223"/>
    <n v="13"/>
    <n v="0.72222222222222221"/>
    <n v="11"/>
    <n v="0.61111111111111116"/>
    <n v="31"/>
    <n v="1.7222222222222223"/>
  </r>
  <r>
    <x v="33"/>
    <x v="4"/>
    <x v="81"/>
    <n v="33"/>
    <n v="330"/>
    <n v="24"/>
    <n v="1910"/>
    <n v="6"/>
    <n v="0.25"/>
    <n v="13"/>
    <n v="38"/>
    <n v="0.34210526315789475"/>
    <n v="0"/>
    <n v="0"/>
    <n v="1"/>
    <n v="10"/>
    <n v="0"/>
    <n v="7"/>
    <n v="15"/>
    <n v="0.46666666666666667"/>
    <n v="17"/>
    <n v="20"/>
    <n v="37"/>
    <n v="170"/>
    <n v="200"/>
    <n v="370"/>
    <n v="1.5416666666666667"/>
    <n v="9"/>
    <n v="0.375"/>
    <n v="2"/>
    <n v="20"/>
    <n v="8.3333333333333329E-2"/>
    <n v="40"/>
    <n v="4"/>
    <n v="0.16666666666666666"/>
    <n v="150"/>
    <n v="1.7916666666666667"/>
    <n v="15"/>
    <n v="0.625"/>
    <n v="31"/>
    <n v="1.2916666666666667"/>
    <n v="33"/>
    <n v="1.375"/>
  </r>
  <r>
    <x v="34"/>
    <x v="4"/>
    <x v="82"/>
    <n v="25"/>
    <n v="250"/>
    <n v="21"/>
    <n v="730"/>
    <n v="-4"/>
    <n v="-0.19047619047619047"/>
    <n v="11"/>
    <n v="37"/>
    <n v="297"/>
    <n v="1"/>
    <n v="10"/>
    <n v="3"/>
    <n v="30"/>
    <n v="0.33333333333333331"/>
    <n v="2"/>
    <n v="2"/>
    <n v="1"/>
    <n v="6"/>
    <n v="7"/>
    <n v="13"/>
    <n v="60"/>
    <n v="70"/>
    <n v="130"/>
    <n v="0.61904761904761907"/>
    <n v="2"/>
    <n v="9.5238095238095233E-2"/>
    <n v="2"/>
    <n v="20"/>
    <n v="9.5238095238095233E-2"/>
    <n v="20"/>
    <n v="2"/>
    <n v="9.5238095238095233E-2"/>
    <n v="60"/>
    <n v="0.80952380952380953"/>
    <n v="6"/>
    <n v="0.2857142857142857"/>
    <n v="16"/>
    <n v="0.76190476190476186"/>
    <n v="25"/>
    <n v="1.1904761904761905"/>
  </r>
  <r>
    <x v="17"/>
    <x v="4"/>
    <x v="83"/>
    <n v="31"/>
    <n v="310"/>
    <n v="1"/>
    <n v="200"/>
    <n v="-4"/>
    <n v="-4"/>
    <n v="0"/>
    <n v="2"/>
    <n v="0"/>
    <n v="0"/>
    <n v="0"/>
    <n v="1"/>
    <n v="10"/>
    <n v="0"/>
    <n v="0"/>
    <n v="0"/>
    <e v="#DIV/0!"/>
    <n v="1"/>
    <n v="0"/>
    <n v="1"/>
    <n v="10"/>
    <n v="0"/>
    <n v="10"/>
    <n v="1"/>
    <n v="0"/>
    <n v="0"/>
    <n v="0"/>
    <n v="0"/>
    <n v="0"/>
    <n v="0"/>
    <n v="0"/>
    <n v="0"/>
    <n v="10"/>
    <n v="1"/>
    <n v="1"/>
    <n v="1"/>
    <n v="2"/>
    <n v="2"/>
    <n v="0"/>
    <n v="0"/>
  </r>
  <r>
    <x v="23"/>
    <x v="5"/>
    <x v="84"/>
    <n v="29"/>
    <n v="290"/>
    <n v="60"/>
    <n v="21930"/>
    <n v="796"/>
    <n v="13.266666666666667"/>
    <n v="349"/>
    <n v="774"/>
    <n v="0.45090439276485789"/>
    <n v="33"/>
    <n v="330"/>
    <n v="104"/>
    <n v="1040"/>
    <n v="0.31730769230769229"/>
    <n v="246"/>
    <n v="326"/>
    <n v="0.754601226993865"/>
    <n v="25"/>
    <n v="150"/>
    <n v="175"/>
    <n v="250"/>
    <n v="1500"/>
    <n v="1750"/>
    <n v="2.9166666666666665"/>
    <n v="382"/>
    <n v="6.3666666666666663"/>
    <n v="63"/>
    <n v="630"/>
    <n v="1.05"/>
    <n v="40"/>
    <n v="4"/>
    <n v="6.6666666666666666E-2"/>
    <n v="1570"/>
    <n v="4.0333333333333332"/>
    <n v="157"/>
    <n v="2.6166666666666667"/>
    <n v="143"/>
    <n v="2.3833333333333333"/>
    <n v="977"/>
    <n v="16.283333333333335"/>
  </r>
  <r>
    <x v="36"/>
    <x v="5"/>
    <x v="85"/>
    <n v="26"/>
    <n v="260"/>
    <n v="79"/>
    <n v="25550"/>
    <n v="879"/>
    <n v="11.126582278481013"/>
    <n v="366"/>
    <n v="879"/>
    <n v="416"/>
    <n v="101"/>
    <n v="1010"/>
    <n v="293"/>
    <n v="2930"/>
    <n v="0.34470989761092152"/>
    <n v="295"/>
    <n v="357"/>
    <n v="0.8263305322128851"/>
    <n v="36"/>
    <n v="212"/>
    <n v="248"/>
    <n v="360"/>
    <n v="2120"/>
    <n v="2480"/>
    <n v="3.1392405063291138"/>
    <n v="301"/>
    <n v="3.8101265822784809"/>
    <n v="87"/>
    <n v="870"/>
    <n v="1.1012658227848102"/>
    <n v="150"/>
    <n v="15"/>
    <n v="0.189873417721519"/>
    <n v="1750"/>
    <n v="4.4303797468354436"/>
    <n v="175"/>
    <n v="2.2151898734177213"/>
    <n v="150"/>
    <n v="1.8987341772151898"/>
    <n v="1128"/>
    <n v="14.278481012658228"/>
  </r>
  <r>
    <x v="44"/>
    <x v="5"/>
    <x v="86"/>
    <n v="23"/>
    <n v="230"/>
    <n v="65"/>
    <n v="15720"/>
    <n v="634"/>
    <n v="9.7538461538461547"/>
    <n v="305"/>
    <n v="640"/>
    <n v="477"/>
    <n v="3"/>
    <n v="30"/>
    <n v="9"/>
    <n v="90"/>
    <n v="0.33333333333333331"/>
    <n v="189"/>
    <n v="229"/>
    <n v="0.8253275109170306"/>
    <n v="138"/>
    <n v="236"/>
    <n v="374"/>
    <n v="1380"/>
    <n v="2360"/>
    <n v="3740"/>
    <n v="5.7538461538461538"/>
    <n v="53"/>
    <n v="0.81538461538461537"/>
    <n v="30"/>
    <n v="300"/>
    <n v="0.46153846153846156"/>
    <n v="470"/>
    <n v="47"/>
    <n v="0.72307692307692306"/>
    <n v="970"/>
    <n v="6.9384615384615387"/>
    <n v="97"/>
    <n v="1.4923076923076923"/>
    <n v="200"/>
    <n v="3.0769230769230771"/>
    <n v="802"/>
    <n v="12.338461538461539"/>
  </r>
  <r>
    <x v="45"/>
    <x v="5"/>
    <x v="87"/>
    <n v="33"/>
    <n v="330"/>
    <n v="26"/>
    <n v="7460"/>
    <n v="240"/>
    <n v="9.2307692307692299"/>
    <n v="110"/>
    <n v="239"/>
    <n v="0.46025104602510458"/>
    <n v="28"/>
    <n v="280"/>
    <n v="57"/>
    <n v="570"/>
    <n v="0.49122807017543857"/>
    <n v="82"/>
    <n v="101"/>
    <n v="0.81188118811881194"/>
    <n v="13"/>
    <n v="69"/>
    <n v="82"/>
    <n v="130"/>
    <n v="690"/>
    <n v="820"/>
    <n v="3.1538461538461537"/>
    <n v="68"/>
    <n v="2.6153846153846154"/>
    <n v="10"/>
    <n v="100"/>
    <n v="0.38461538461538464"/>
    <n v="30"/>
    <n v="3"/>
    <n v="0.11538461538461539"/>
    <n v="500"/>
    <n v="3.6538461538461537"/>
    <n v="50"/>
    <n v="1.9230769230769231"/>
    <n v="55"/>
    <n v="2.1153846153846154"/>
    <n v="330"/>
    <n v="12.692307692307692"/>
  </r>
  <r>
    <x v="46"/>
    <x v="5"/>
    <x v="88"/>
    <n v="23"/>
    <n v="230"/>
    <n v="72"/>
    <n v="18660"/>
    <n v="656"/>
    <n v="9.1111111111111107"/>
    <n v="336"/>
    <n v="597"/>
    <n v="563"/>
    <n v="0"/>
    <n v="0"/>
    <n v="0"/>
    <n v="0"/>
    <e v="#DIV/0!"/>
    <n v="307"/>
    <n v="486"/>
    <n v="0.63168724279835387"/>
    <n v="145"/>
    <n v="287"/>
    <n v="432"/>
    <n v="1450"/>
    <n v="2870"/>
    <n v="4320"/>
    <n v="6"/>
    <n v="19"/>
    <n v="0.2638888888888889"/>
    <n v="28"/>
    <n v="280"/>
    <n v="0.3888888888888889"/>
    <n v="560"/>
    <n v="56"/>
    <n v="0.77777777777777779"/>
    <n v="1790"/>
    <n v="7.166666666666667"/>
    <n v="179"/>
    <n v="2.4861111111111112"/>
    <n v="239"/>
    <n v="3.3194444444444446"/>
    <n v="979"/>
    <n v="13.597222222222221"/>
  </r>
  <r>
    <x v="47"/>
    <x v="5"/>
    <x v="89"/>
    <n v="29"/>
    <n v="290"/>
    <n v="24"/>
    <n v="6590"/>
    <n v="189"/>
    <n v="7.875"/>
    <n v="84"/>
    <n v="190"/>
    <n v="0.44210526315789472"/>
    <n v="7"/>
    <n v="70"/>
    <n v="13"/>
    <n v="130"/>
    <n v="0.53846153846153844"/>
    <n v="83"/>
    <n v="109"/>
    <n v="0.76146788990825687"/>
    <n v="14"/>
    <n v="57"/>
    <n v="71"/>
    <n v="140"/>
    <n v="570"/>
    <n v="710"/>
    <n v="2.9583333333333335"/>
    <n v="83"/>
    <n v="3.4583333333333335"/>
    <n v="23"/>
    <n v="230"/>
    <n v="0.95833333333333337"/>
    <n v="60"/>
    <n v="6"/>
    <n v="0.25"/>
    <n v="580"/>
    <n v="4.166666666666667"/>
    <n v="58"/>
    <n v="2.4166666666666665"/>
    <n v="62"/>
    <n v="2.5833333333333335"/>
    <n v="258"/>
    <n v="10.75"/>
  </r>
  <r>
    <x v="48"/>
    <x v="5"/>
    <x v="90"/>
    <n v="23"/>
    <n v="230"/>
    <n v="67"/>
    <n v="11290"/>
    <n v="421"/>
    <n v="6.2835820895522385"/>
    <n v="137"/>
    <n v="230"/>
    <n v="0.59565217391304348"/>
    <n v="0"/>
    <n v="0"/>
    <n v="0"/>
    <n v="0"/>
    <e v="#DIV/0!"/>
    <n v="71"/>
    <n v="123"/>
    <n v="0.57723577235772361"/>
    <n v="109"/>
    <n v="194"/>
    <n v="303"/>
    <n v="1090"/>
    <n v="1940"/>
    <n v="3030"/>
    <n v="4.5223880597014929"/>
    <n v="43"/>
    <n v="0.64179104477611937"/>
    <n v="30"/>
    <n v="300"/>
    <n v="0.44776119402985076"/>
    <n v="200"/>
    <n v="20"/>
    <n v="0.29850746268656714"/>
    <n v="510"/>
    <n v="5.2686567164179108"/>
    <n v="51"/>
    <n v="0.76119402985074625"/>
    <n v="124"/>
    <n v="1.8507462686567164"/>
    <n v="345"/>
    <n v="5.1492537313432836"/>
  </r>
  <r>
    <x v="49"/>
    <x v="5"/>
    <x v="91"/>
    <n v="25"/>
    <n v="250"/>
    <n v="49"/>
    <n v="10130"/>
    <n v="302"/>
    <n v="6.1632653061224492"/>
    <n v="129"/>
    <n v="254"/>
    <n v="508"/>
    <n v="22"/>
    <n v="220"/>
    <n v="60"/>
    <n v="600"/>
    <n v="0.36666666666666664"/>
    <n v="49"/>
    <n v="76"/>
    <n v="0.64473684210526316"/>
    <n v="44"/>
    <n v="146"/>
    <n v="190"/>
    <n v="440"/>
    <n v="1460"/>
    <n v="1900"/>
    <n v="3.8775510204081631"/>
    <n v="47"/>
    <n v="0.95918367346938771"/>
    <n v="32"/>
    <n v="320"/>
    <n v="0.65306122448979587"/>
    <n v="130"/>
    <n v="13"/>
    <n v="0.26530612244897961"/>
    <n v="610"/>
    <n v="4.795918367346939"/>
    <n v="61"/>
    <n v="1.2448979591836735"/>
    <n v="96"/>
    <n v="1.9591836734693877"/>
    <n v="329"/>
    <n v="6.7142857142857144"/>
  </r>
  <r>
    <x v="50"/>
    <x v="5"/>
    <x v="92"/>
    <n v="26"/>
    <n v="260"/>
    <n v="55"/>
    <n v="14420"/>
    <n v="298"/>
    <n v="5.418181818181818"/>
    <n v="163"/>
    <n v="459"/>
    <n v="355"/>
    <n v="64"/>
    <n v="640"/>
    <n v="188"/>
    <n v="1880"/>
    <n v="0.34042553191489361"/>
    <n v="61"/>
    <n v="91"/>
    <n v="0.67032967032967028"/>
    <n v="65"/>
    <n v="165"/>
    <n v="230"/>
    <n v="650"/>
    <n v="1650"/>
    <n v="2300"/>
    <n v="4.1818181818181817"/>
    <n v="88"/>
    <n v="1.6"/>
    <n v="39"/>
    <n v="390"/>
    <n v="0.70909090909090911"/>
    <n v="60"/>
    <n v="6"/>
    <n v="0.10909090909090909"/>
    <n v="560"/>
    <n v="5"/>
    <n v="56"/>
    <n v="1.0181818181818181"/>
    <n v="134"/>
    <n v="2.4363636363636365"/>
    <n v="451"/>
    <n v="8.1999999999999993"/>
  </r>
  <r>
    <x v="51"/>
    <x v="5"/>
    <x v="93"/>
    <n v="22"/>
    <n v="220"/>
    <n v="72"/>
    <n v="15440"/>
    <n v="344"/>
    <n v="4.7777777777777777"/>
    <n v="230"/>
    <n v="565"/>
    <n v="0.40707964601769914"/>
    <n v="58"/>
    <n v="580"/>
    <n v="146"/>
    <n v="1460"/>
    <n v="0.39726027397260272"/>
    <n v="152"/>
    <n v="202"/>
    <n v="0.75247524752475248"/>
    <n v="56"/>
    <n v="111"/>
    <n v="167"/>
    <n v="560"/>
    <n v="1110"/>
    <n v="1670"/>
    <n v="2.3194444444444446"/>
    <n v="147"/>
    <n v="2.0416666666666665"/>
    <n v="59"/>
    <n v="590"/>
    <n v="0.81944444444444442"/>
    <n v="10"/>
    <n v="1"/>
    <n v="1.3888888888888888E-2"/>
    <n v="1140"/>
    <n v="3.1527777777777777"/>
    <n v="114"/>
    <n v="1.5833333333333333"/>
    <n v="201"/>
    <n v="2.7916666666666665"/>
    <n v="670"/>
    <n v="9.3055555555555554"/>
  </r>
  <r>
    <x v="41"/>
    <x v="5"/>
    <x v="94"/>
    <n v="21"/>
    <n v="210"/>
    <n v="55"/>
    <n v="7400"/>
    <n v="242"/>
    <n v="4.4000000000000004"/>
    <n v="117"/>
    <n v="215"/>
    <n v="0.54418604651162794"/>
    <n v="0"/>
    <n v="0"/>
    <n v="0"/>
    <n v="0"/>
    <e v="#DIV/0!"/>
    <n v="58"/>
    <n v="77"/>
    <n v="0.75324675324675328"/>
    <n v="67"/>
    <n v="116"/>
    <n v="183"/>
    <n v="670"/>
    <n v="1160"/>
    <n v="1830"/>
    <n v="3.3272727272727272"/>
    <n v="25"/>
    <n v="0.45454545454545453"/>
    <n v="17"/>
    <n v="170"/>
    <n v="0.30909090909090908"/>
    <n v="310"/>
    <n v="31"/>
    <n v="0.5636363636363636"/>
    <n v="620"/>
    <n v="4.2"/>
    <n v="62"/>
    <n v="1.1272727272727272"/>
    <n v="127"/>
    <n v="2.3090909090909091"/>
    <n v="292"/>
    <n v="5.3090909090909095"/>
  </r>
  <r>
    <x v="37"/>
    <x v="5"/>
    <x v="95"/>
    <n v="20"/>
    <n v="200"/>
    <n v="36"/>
    <n v="7090"/>
    <n v="156"/>
    <n v="4.333333333333333"/>
    <n v="61"/>
    <n v="146"/>
    <n v="0.4178082191780822"/>
    <n v="1"/>
    <n v="10"/>
    <n v="3"/>
    <n v="30"/>
    <n v="0.33333333333333331"/>
    <n v="42"/>
    <n v="77"/>
    <n v="0.54545454545454541"/>
    <n v="49"/>
    <n v="88"/>
    <n v="137"/>
    <n v="490"/>
    <n v="880"/>
    <n v="1370"/>
    <n v="3.8055555555555554"/>
    <n v="46"/>
    <n v="1.2777777777777777"/>
    <n v="43"/>
    <n v="430"/>
    <n v="1.1944444444444444"/>
    <n v="90"/>
    <n v="9"/>
    <n v="0.25"/>
    <n v="460"/>
    <n v="5.25"/>
    <n v="46"/>
    <n v="1.2777777777777777"/>
    <n v="78"/>
    <n v="2.1666666666666665"/>
    <n v="165"/>
    <n v="4.583333333333333"/>
  </r>
  <r>
    <x v="52"/>
    <x v="5"/>
    <x v="96"/>
    <n v="26"/>
    <n v="260"/>
    <n v="6"/>
    <n v="930"/>
    <n v="26"/>
    <n v="4.333333333333333"/>
    <n v="11"/>
    <n v="30"/>
    <n v="0.36666666666666664"/>
    <n v="1"/>
    <n v="10"/>
    <n v="4"/>
    <n v="40"/>
    <n v="0.25"/>
    <n v="3"/>
    <n v="4"/>
    <n v="0.75"/>
    <n v="7"/>
    <n v="17"/>
    <n v="24"/>
    <n v="70"/>
    <n v="170"/>
    <n v="240"/>
    <n v="4"/>
    <n v="6"/>
    <n v="1"/>
    <n v="4"/>
    <n v="40"/>
    <n v="0.66666666666666663"/>
    <n v="0"/>
    <n v="0"/>
    <n v="0"/>
    <n v="60"/>
    <n v="4.666666666666667"/>
    <n v="6"/>
    <n v="1"/>
    <n v="8"/>
    <n v="1.3333333333333333"/>
    <n v="26"/>
    <n v="4.333333333333333"/>
  </r>
  <r>
    <x v="53"/>
    <x v="5"/>
    <x v="97"/>
    <n v="37"/>
    <n v="370"/>
    <n v="36"/>
    <n v="7490"/>
    <n v="147"/>
    <n v="4.083333333333333"/>
    <n v="68"/>
    <n v="159"/>
    <n v="428"/>
    <n v="0"/>
    <n v="0"/>
    <n v="1"/>
    <n v="10"/>
    <n v="0"/>
    <n v="45"/>
    <n v="61"/>
    <n v="0.73770491803278693"/>
    <n v="75"/>
    <n v="97"/>
    <n v="172"/>
    <n v="750"/>
    <n v="970"/>
    <n v="1720"/>
    <n v="4.7777777777777777"/>
    <n v="14"/>
    <n v="0.3888888888888889"/>
    <n v="20"/>
    <n v="200"/>
    <n v="0.55555555555555558"/>
    <n v="90"/>
    <n v="9"/>
    <n v="0.25"/>
    <n v="430"/>
    <n v="5.583333333333333"/>
    <n v="43"/>
    <n v="1.1944444444444444"/>
    <n v="99"/>
    <n v="2.75"/>
    <n v="181"/>
    <n v="5.0277777777777777"/>
  </r>
  <r>
    <x v="38"/>
    <x v="5"/>
    <x v="98"/>
    <n v="31"/>
    <n v="310"/>
    <n v="72"/>
    <n v="11190"/>
    <n v="270"/>
    <n v="3.75"/>
    <n v="105"/>
    <n v="281"/>
    <n v="374"/>
    <n v="1"/>
    <n v="10"/>
    <n v="1"/>
    <n v="10"/>
    <n v="1"/>
    <n v="107"/>
    <n v="137"/>
    <n v="0.78102189781021902"/>
    <n v="84"/>
    <n v="175"/>
    <n v="259"/>
    <n v="840"/>
    <n v="1750"/>
    <n v="2590"/>
    <n v="3.5972222222222223"/>
    <n v="67"/>
    <n v="0.93055555555555558"/>
    <n v="43"/>
    <n v="430"/>
    <n v="0.59722222222222221"/>
    <n v="140"/>
    <n v="14"/>
    <n v="0.19444444444444445"/>
    <n v="800"/>
    <n v="4.3888888888888893"/>
    <n v="80"/>
    <n v="1.1111111111111112"/>
    <n v="145"/>
    <n v="2.0138888888888888"/>
    <n v="318"/>
    <n v="4.416666666666667"/>
  </r>
  <r>
    <x v="40"/>
    <x v="5"/>
    <x v="99"/>
    <n v="29"/>
    <n v="290"/>
    <n v="67"/>
    <n v="12100"/>
    <n v="227"/>
    <n v="3.3880597014925371"/>
    <n v="182"/>
    <n v="389"/>
    <n v="468"/>
    <n v="0"/>
    <n v="0"/>
    <n v="1"/>
    <n v="10"/>
    <n v="0"/>
    <n v="58"/>
    <n v="83"/>
    <n v="0.6987951807228916"/>
    <n v="65"/>
    <n v="164"/>
    <n v="229"/>
    <n v="650"/>
    <n v="1640"/>
    <n v="2290"/>
    <n v="3.4179104477611939"/>
    <n v="53"/>
    <n v="0.79104477611940294"/>
    <n v="21"/>
    <n v="210"/>
    <n v="0.31343283582089554"/>
    <n v="140"/>
    <n v="14"/>
    <n v="0.20895522388059701"/>
    <n v="1030"/>
    <n v="3.9402985074626864"/>
    <n v="103"/>
    <n v="1.5373134328358209"/>
    <n v="177"/>
    <n v="2.6417910447761193"/>
    <n v="422"/>
    <n v="6.2985074626865671"/>
  </r>
  <r>
    <x v="54"/>
    <x v="5"/>
    <x v="100"/>
    <n v="28"/>
    <n v="280"/>
    <n v="8"/>
    <n v="1140"/>
    <n v="18"/>
    <n v="2.25"/>
    <n v="9"/>
    <n v="24"/>
    <n v="375"/>
    <n v="1"/>
    <n v="10"/>
    <n v="3"/>
    <n v="30"/>
    <n v="0.33333333333333331"/>
    <n v="3"/>
    <n v="6"/>
    <n v="0.5"/>
    <n v="3"/>
    <n v="14"/>
    <n v="17"/>
    <n v="30"/>
    <n v="140"/>
    <n v="170"/>
    <n v="2.125"/>
    <n v="6"/>
    <n v="0.75"/>
    <n v="1"/>
    <n v="10"/>
    <n v="0.125"/>
    <n v="0"/>
    <n v="0"/>
    <n v="0"/>
    <n v="20"/>
    <n v="2.25"/>
    <n v="2"/>
    <n v="0.25"/>
    <n v="8"/>
    <n v="1"/>
    <n v="22"/>
    <n v="2.75"/>
  </r>
  <r>
    <x v="29"/>
    <x v="5"/>
    <x v="101"/>
    <n v="34"/>
    <n v="340"/>
    <n v="4"/>
    <n v="720"/>
    <n v="7"/>
    <n v="1.75"/>
    <n v="4"/>
    <n v="14"/>
    <n v="0.2857142857142857"/>
    <n v="0"/>
    <n v="0"/>
    <n v="1"/>
    <n v="10"/>
    <n v="0"/>
    <n v="2"/>
    <n v="2"/>
    <n v="1"/>
    <n v="0"/>
    <n v="10"/>
    <n v="10"/>
    <n v="0"/>
    <n v="100"/>
    <n v="100"/>
    <n v="2.5"/>
    <n v="8"/>
    <n v="2"/>
    <n v="2"/>
    <n v="20"/>
    <n v="0.5"/>
    <n v="0"/>
    <n v="0"/>
    <n v="0"/>
    <n v="60"/>
    <n v="3"/>
    <n v="6"/>
    <n v="1.5"/>
    <n v="7"/>
    <n v="1.75"/>
    <n v="10"/>
    <n v="2.5"/>
  </r>
  <r>
    <x v="55"/>
    <x v="5"/>
    <x v="102"/>
    <n v="30"/>
    <n v="300"/>
    <n v="45"/>
    <n v="4060"/>
    <n v="31"/>
    <n v="0.68888888888888888"/>
    <n v="56"/>
    <n v="121"/>
    <n v="463"/>
    <n v="0"/>
    <n v="0"/>
    <n v="0"/>
    <n v="0"/>
    <e v="#DIV/0!"/>
    <n v="25"/>
    <n v="40"/>
    <n v="0.625"/>
    <n v="39"/>
    <n v="52"/>
    <n v="91"/>
    <n v="390"/>
    <n v="520"/>
    <n v="910"/>
    <n v="2.0222222222222221"/>
    <n v="12"/>
    <n v="0.26666666666666666"/>
    <n v="3"/>
    <n v="30"/>
    <n v="6.6666666666666666E-2"/>
    <n v="230"/>
    <n v="23"/>
    <n v="0.51111111111111107"/>
    <n v="510"/>
    <n v="2.5999999999999996"/>
    <n v="51"/>
    <n v="1.1333333333333333"/>
    <n v="104"/>
    <n v="2.3111111111111109"/>
    <n v="137"/>
    <n v="3.0444444444444443"/>
  </r>
  <r>
    <x v="48"/>
    <x v="6"/>
    <x v="103"/>
    <n v="24"/>
    <n v="240"/>
    <n v="58"/>
    <n v="17270"/>
    <n v="959"/>
    <n v="16.53448275862069"/>
    <n v="240"/>
    <n v="400"/>
    <n v="0.6"/>
    <n v="0"/>
    <n v="0"/>
    <n v="0"/>
    <n v="0"/>
    <e v="#DIV/0!"/>
    <n v="141"/>
    <n v="173"/>
    <n v="0.81502890173410403"/>
    <n v="196"/>
    <n v="406"/>
    <n v="602"/>
    <n v="1960"/>
    <n v="4060"/>
    <n v="6020"/>
    <n v="10.379310344827585"/>
    <n v="104"/>
    <n v="1.7931034482758621"/>
    <n v="48"/>
    <n v="480"/>
    <n v="0.82758620689655171"/>
    <n v="230"/>
    <n v="23"/>
    <n v="0.39655172413793105"/>
    <n v="920"/>
    <n v="11.603448275862068"/>
    <n v="92"/>
    <n v="1.5862068965517242"/>
    <n v="155"/>
    <n v="2.6724137931034484"/>
    <n v="621"/>
    <n v="10.706896551724139"/>
  </r>
  <r>
    <x v="46"/>
    <x v="6"/>
    <x v="104"/>
    <n v="24"/>
    <n v="240"/>
    <n v="81"/>
    <n v="28490"/>
    <n v="1044"/>
    <n v="12.888888888888889"/>
    <n v="585"/>
    <n v="1016"/>
    <n v="576"/>
    <n v="1"/>
    <n v="10"/>
    <n v="1"/>
    <n v="10"/>
    <n v="1"/>
    <n v="405"/>
    <n v="659"/>
    <n v="0.61456752655538693"/>
    <n v="195"/>
    <n v="376"/>
    <n v="571"/>
    <n v="1950"/>
    <n v="3760"/>
    <n v="5710"/>
    <n v="7.0493827160493829"/>
    <n v="68"/>
    <n v="0.83950617283950613"/>
    <n v="34"/>
    <n v="340"/>
    <n v="0.41975308641975306"/>
    <n v="400"/>
    <n v="40"/>
    <n v="0.49382716049382713"/>
    <n v="2950"/>
    <n v="7.9629629629629628"/>
    <n v="295"/>
    <n v="3.6419753086419755"/>
    <n v="265"/>
    <n v="3.2716049382716048"/>
    <n v="1576"/>
    <n v="19.456790123456791"/>
  </r>
  <r>
    <x v="23"/>
    <x v="6"/>
    <x v="105"/>
    <n v="30"/>
    <n v="300"/>
    <n v="74"/>
    <n v="27480"/>
    <n v="897"/>
    <n v="12.121621621621621"/>
    <n v="395"/>
    <n v="952"/>
    <n v="0.41491596638655465"/>
    <n v="123"/>
    <n v="1230"/>
    <n v="345"/>
    <n v="3450"/>
    <n v="0.35652173913043478"/>
    <n v="297"/>
    <n v="386"/>
    <n v="0.76943005181347146"/>
    <n v="36"/>
    <n v="177"/>
    <n v="213"/>
    <n v="360"/>
    <n v="1770"/>
    <n v="2130"/>
    <n v="2.8783783783783785"/>
    <n v="403"/>
    <n v="5.4459459459459456"/>
    <n v="71"/>
    <n v="710"/>
    <n v="0.95945945945945943"/>
    <n v="100"/>
    <n v="10"/>
    <n v="0.13513513513513514"/>
    <n v="1790"/>
    <n v="3.9729729729729728"/>
    <n v="179"/>
    <n v="2.4189189189189189"/>
    <n v="185"/>
    <n v="2.5"/>
    <n v="1210"/>
    <n v="16.351351351351351"/>
  </r>
  <r>
    <x v="50"/>
    <x v="6"/>
    <x v="106"/>
    <n v="27"/>
    <n v="270"/>
    <n v="49"/>
    <n v="16210"/>
    <n v="582"/>
    <n v="11.877551020408163"/>
    <n v="228"/>
    <n v="545"/>
    <n v="418"/>
    <n v="97"/>
    <n v="970"/>
    <n v="258"/>
    <n v="2580"/>
    <n v="0.37596899224806202"/>
    <n v="83"/>
    <n v="120"/>
    <n v="0.69166666666666665"/>
    <n v="65"/>
    <n v="287"/>
    <n v="352"/>
    <n v="650"/>
    <n v="2870"/>
    <n v="3520"/>
    <n v="7.1836734693877551"/>
    <n v="108"/>
    <n v="2.204081632653061"/>
    <n v="36"/>
    <n v="360"/>
    <n v="0.73469387755102045"/>
    <n v="70"/>
    <n v="7"/>
    <n v="0.14285714285714285"/>
    <n v="700"/>
    <n v="8.0612244897959187"/>
    <n v="70"/>
    <n v="1.4285714285714286"/>
    <n v="133"/>
    <n v="2.7142857142857144"/>
    <n v="636"/>
    <n v="12.979591836734693"/>
  </r>
  <r>
    <x v="36"/>
    <x v="6"/>
    <x v="107"/>
    <n v="27"/>
    <n v="270"/>
    <n v="59"/>
    <n v="21980"/>
    <n v="700"/>
    <n v="11.864406779661017"/>
    <n v="354"/>
    <n v="886"/>
    <n v="4"/>
    <n v="103"/>
    <n v="1030"/>
    <n v="322"/>
    <n v="3220"/>
    <n v="0.31987577639751552"/>
    <n v="228"/>
    <n v="272"/>
    <n v="0.83823529411764708"/>
    <n v="44"/>
    <n v="145"/>
    <n v="189"/>
    <n v="440"/>
    <n v="1450"/>
    <n v="1890"/>
    <n v="3.2033898305084745"/>
    <n v="259"/>
    <n v="4.3898305084745761"/>
    <n v="57"/>
    <n v="570"/>
    <n v="0.96610169491525422"/>
    <n v="80"/>
    <n v="8"/>
    <n v="0.13559322033898305"/>
    <n v="1620"/>
    <n v="4.3050847457627119"/>
    <n v="162"/>
    <n v="2.7457627118644066"/>
    <n v="114"/>
    <n v="1.9322033898305084"/>
    <n v="1039"/>
    <n v="17.610169491525422"/>
  </r>
  <r>
    <x v="47"/>
    <x v="6"/>
    <x v="108"/>
    <n v="30"/>
    <n v="300"/>
    <n v="44"/>
    <n v="12370"/>
    <n v="412"/>
    <n v="9.3636363636363633"/>
    <n v="140"/>
    <n v="343"/>
    <n v="0.40816326530612246"/>
    <n v="42"/>
    <n v="420"/>
    <n v="111"/>
    <n v="1110"/>
    <n v="0.3783783783783784"/>
    <n v="175"/>
    <n v="211"/>
    <n v="0.82938388625592419"/>
    <n v="33"/>
    <n v="124"/>
    <n v="157"/>
    <n v="330"/>
    <n v="1240"/>
    <n v="1570"/>
    <n v="3.5681818181818183"/>
    <n v="170"/>
    <n v="3.8636363636363638"/>
    <n v="41"/>
    <n v="410"/>
    <n v="0.93181818181818177"/>
    <n v="120"/>
    <n v="12"/>
    <n v="0.27272727272727271"/>
    <n v="1000"/>
    <n v="4.7727272727272734"/>
    <n v="100"/>
    <n v="2.2727272727272729"/>
    <n v="126"/>
    <n v="2.8636363636363638"/>
    <n v="497"/>
    <n v="11.295454545454545"/>
  </r>
  <r>
    <x v="44"/>
    <x v="6"/>
    <x v="109"/>
    <n v="24"/>
    <n v="240"/>
    <n v="72"/>
    <n v="18990"/>
    <n v="494"/>
    <n v="6.8611111111111107"/>
    <n v="298"/>
    <n v="689"/>
    <n v="433"/>
    <n v="3"/>
    <n v="30"/>
    <n v="18"/>
    <n v="180"/>
    <n v="0.16666666666666666"/>
    <n v="85"/>
    <n v="108"/>
    <n v="0.78703703703703709"/>
    <n v="91"/>
    <n v="304"/>
    <n v="395"/>
    <n v="910"/>
    <n v="3040"/>
    <n v="3950"/>
    <n v="5.4861111111111107"/>
    <n v="67"/>
    <n v="0.93055555555555558"/>
    <n v="36"/>
    <n v="360"/>
    <n v="0.5"/>
    <n v="420"/>
    <n v="42"/>
    <n v="0.58333333333333337"/>
    <n v="1000"/>
    <n v="6.5694444444444446"/>
    <n v="100"/>
    <n v="1.3888888888888888"/>
    <n v="216"/>
    <n v="3"/>
    <n v="684"/>
    <n v="9.5"/>
  </r>
  <r>
    <x v="51"/>
    <x v="6"/>
    <x v="110"/>
    <n v="23"/>
    <n v="230"/>
    <n v="64"/>
    <n v="13560"/>
    <n v="384"/>
    <n v="6"/>
    <n v="227"/>
    <n v="523"/>
    <n v="0.4340344168260038"/>
    <n v="83"/>
    <n v="830"/>
    <n v="213"/>
    <n v="2130"/>
    <n v="0.38967136150234744"/>
    <n v="108"/>
    <n v="139"/>
    <n v="0.7769784172661871"/>
    <n v="55"/>
    <n v="97"/>
    <n v="152"/>
    <n v="550"/>
    <n v="970"/>
    <n v="1520"/>
    <n v="2.375"/>
    <n v="90"/>
    <n v="1.40625"/>
    <n v="50"/>
    <n v="500"/>
    <n v="0.78125"/>
    <n v="60"/>
    <n v="6"/>
    <n v="9.375E-2"/>
    <n v="720"/>
    <n v="3.25"/>
    <n v="72"/>
    <n v="1.125"/>
    <n v="160"/>
    <n v="2.5"/>
    <n v="645"/>
    <n v="10.078125"/>
  </r>
  <r>
    <x v="56"/>
    <x v="6"/>
    <x v="111"/>
    <n v="22"/>
    <n v="220"/>
    <n v="68"/>
    <n v="10640"/>
    <n v="403"/>
    <n v="5.9264705882352944"/>
    <n v="139"/>
    <n v="275"/>
    <n v="0.50545454545454549"/>
    <n v="5"/>
    <n v="50"/>
    <n v="27"/>
    <n v="270"/>
    <n v="0.18518518518518517"/>
    <n v="51"/>
    <n v="90"/>
    <n v="0.56666666666666665"/>
    <n v="97"/>
    <n v="197"/>
    <n v="294"/>
    <n v="970"/>
    <n v="1970"/>
    <n v="2940"/>
    <n v="4.3235294117647056"/>
    <n v="44"/>
    <n v="0.6470588235294118"/>
    <n v="57"/>
    <n v="570"/>
    <n v="0.83823529411764708"/>
    <n v="440"/>
    <n v="44"/>
    <n v="0.6470588235294118"/>
    <n v="490"/>
    <n v="5.8088235294117645"/>
    <n v="49"/>
    <n v="0.72058823529411764"/>
    <n v="146"/>
    <n v="2.1470588235294117"/>
    <n v="334"/>
    <n v="4.9117647058823533"/>
  </r>
  <r>
    <x v="57"/>
    <x v="6"/>
    <x v="112"/>
    <n v="25"/>
    <n v="250"/>
    <n v="55"/>
    <n v="13070"/>
    <n v="243"/>
    <n v="4.418181818181818"/>
    <n v="95"/>
    <n v="206"/>
    <n v="461"/>
    <n v="2"/>
    <n v="20"/>
    <n v="20"/>
    <n v="200"/>
    <n v="0.1"/>
    <n v="31"/>
    <n v="68"/>
    <n v="0.45588235294117646"/>
    <n v="111"/>
    <n v="127"/>
    <n v="238"/>
    <n v="1110"/>
    <n v="1270"/>
    <n v="2380"/>
    <n v="4.3272727272727272"/>
    <n v="67"/>
    <n v="1.2181818181818183"/>
    <n v="44"/>
    <n v="440"/>
    <n v="0.8"/>
    <n v="300"/>
    <n v="30"/>
    <n v="0.54545454545454541"/>
    <n v="610"/>
    <n v="5.6727272727272728"/>
    <n v="61"/>
    <n v="1.1090909090909091"/>
    <n v="150"/>
    <n v="2.7272727272727271"/>
    <n v="223"/>
    <n v="4.0545454545454547"/>
  </r>
  <r>
    <x v="58"/>
    <x v="6"/>
    <x v="113"/>
    <n v="22"/>
    <n v="220"/>
    <n v="52"/>
    <n v="7770"/>
    <n v="150"/>
    <n v="2.8846153846153846"/>
    <n v="87"/>
    <n v="228"/>
    <n v="382"/>
    <n v="13"/>
    <n v="130"/>
    <n v="47"/>
    <n v="470"/>
    <n v="0.27659574468085107"/>
    <n v="48"/>
    <n v="82"/>
    <n v="0.58536585365853655"/>
    <n v="28"/>
    <n v="76"/>
    <n v="104"/>
    <n v="280"/>
    <n v="760"/>
    <n v="1040"/>
    <n v="2"/>
    <n v="83"/>
    <n v="1.5961538461538463"/>
    <n v="32"/>
    <n v="320"/>
    <n v="0.61538461538461542"/>
    <n v="30"/>
    <n v="3"/>
    <n v="5.7692307692307696E-2"/>
    <n v="570"/>
    <n v="2.6730769230769234"/>
    <n v="57"/>
    <n v="1.0961538461538463"/>
    <n v="75"/>
    <n v="1.4423076923076923"/>
    <n v="235"/>
    <n v="4.5192307692307692"/>
  </r>
  <r>
    <x v="38"/>
    <x v="6"/>
    <x v="114"/>
    <n v="32"/>
    <n v="320"/>
    <n v="65"/>
    <n v="8100"/>
    <n v="160"/>
    <n v="2.4615384615384617"/>
    <n v="74"/>
    <n v="186"/>
    <n v="398"/>
    <n v="2"/>
    <n v="20"/>
    <n v="8"/>
    <n v="80"/>
    <n v="0.25"/>
    <n v="42"/>
    <n v="52"/>
    <n v="0.80769230769230771"/>
    <n v="47"/>
    <n v="128"/>
    <n v="175"/>
    <n v="470"/>
    <n v="1280"/>
    <n v="1750"/>
    <n v="2.6923076923076925"/>
    <n v="65"/>
    <n v="1"/>
    <n v="26"/>
    <n v="260"/>
    <n v="0.4"/>
    <n v="90"/>
    <n v="9"/>
    <n v="0.13846153846153847"/>
    <n v="650"/>
    <n v="3.2307692307692308"/>
    <n v="65"/>
    <n v="1"/>
    <n v="120"/>
    <n v="1.8461538461538463"/>
    <n v="192"/>
    <n v="2.953846153846154"/>
  </r>
  <r>
    <x v="59"/>
    <x v="6"/>
    <x v="115"/>
    <n v="32"/>
    <n v="320"/>
    <n v="18"/>
    <n v="950"/>
    <n v="31"/>
    <n v="1.7222222222222223"/>
    <n v="7"/>
    <n v="22"/>
    <n v="0.31818181818181818"/>
    <n v="0"/>
    <n v="0"/>
    <n v="0"/>
    <n v="0"/>
    <e v="#DIV/0!"/>
    <n v="8"/>
    <n v="12"/>
    <n v="0.66666666666666663"/>
    <n v="12"/>
    <n v="19"/>
    <n v="31"/>
    <n v="120"/>
    <n v="190"/>
    <n v="310"/>
    <n v="1.7222222222222223"/>
    <n v="0"/>
    <n v="0"/>
    <n v="3"/>
    <n v="30"/>
    <n v="0.16666666666666666"/>
    <n v="100"/>
    <n v="10"/>
    <n v="0.55555555555555558"/>
    <n v="60"/>
    <n v="2.4444444444444446"/>
    <n v="6"/>
    <n v="0.33333333333333331"/>
    <n v="10"/>
    <n v="0.55555555555555558"/>
    <n v="22"/>
    <n v="1.2222222222222223"/>
  </r>
  <r>
    <x v="60"/>
    <x v="6"/>
    <x v="116"/>
    <n v="21"/>
    <n v="210"/>
    <n v="5"/>
    <n v="440"/>
    <n v="2"/>
    <n v="0.4"/>
    <n v="1"/>
    <n v="6"/>
    <n v="0.16666666666666666"/>
    <n v="0"/>
    <n v="0"/>
    <n v="0"/>
    <n v="0"/>
    <e v="#DIV/0!"/>
    <n v="2"/>
    <n v="6"/>
    <n v="0.33333333333333331"/>
    <n v="1"/>
    <n v="8"/>
    <n v="9"/>
    <n v="10"/>
    <n v="80"/>
    <n v="90"/>
    <n v="1.8"/>
    <n v="1"/>
    <n v="0.2"/>
    <n v="2"/>
    <n v="20"/>
    <n v="0.4"/>
    <n v="10"/>
    <n v="1"/>
    <n v="0.2"/>
    <n v="20"/>
    <n v="2.4000000000000004"/>
    <n v="2"/>
    <n v="0.4"/>
    <n v="4"/>
    <n v="0.8"/>
    <n v="4"/>
    <n v="0.8"/>
  </r>
  <r>
    <x v="55"/>
    <x v="6"/>
    <x v="117"/>
    <n v="31"/>
    <n v="310"/>
    <n v="41"/>
    <n v="2730"/>
    <n v="16"/>
    <n v="0.3902439024390244"/>
    <n v="33"/>
    <n v="79"/>
    <n v="418"/>
    <n v="0"/>
    <n v="0"/>
    <n v="0"/>
    <n v="0"/>
    <e v="#DIV/0!"/>
    <n v="10"/>
    <n v="18"/>
    <n v="0.55555555555555558"/>
    <n v="21"/>
    <n v="45"/>
    <n v="66"/>
    <n v="210"/>
    <n v="450"/>
    <n v="660"/>
    <n v="1.6097560975609757"/>
    <n v="3"/>
    <n v="7.3170731707317069E-2"/>
    <n v="6"/>
    <n v="60"/>
    <n v="0.14634146341463414"/>
    <n v="150"/>
    <n v="15"/>
    <n v="0.36585365853658536"/>
    <n v="230"/>
    <n v="2.1219512195121952"/>
    <n v="23"/>
    <n v="0.56097560975609762"/>
    <n v="73"/>
    <n v="1.7804878048780488"/>
    <n v="76"/>
    <n v="1.8536585365853659"/>
  </r>
  <r>
    <x v="61"/>
    <x v="7"/>
    <x v="118"/>
    <n v="26"/>
    <n v="260"/>
    <n v="69"/>
    <n v="22440"/>
    <n v="1124"/>
    <n v="16.289855072463769"/>
    <n v="486"/>
    <n v="1058"/>
    <n v="459"/>
    <n v="22"/>
    <n v="220"/>
    <n v="80"/>
    <n v="800"/>
    <n v="0.27500000000000002"/>
    <n v="223"/>
    <n v="289"/>
    <n v="0.77162629757785473"/>
    <n v="184"/>
    <n v="526"/>
    <n v="710"/>
    <n v="1840"/>
    <n v="5260"/>
    <n v="7100"/>
    <n v="10.289855072463768"/>
    <n v="140"/>
    <n v="2.0289855072463769"/>
    <n v="59"/>
    <n v="590"/>
    <n v="0.85507246376811596"/>
    <n v="160"/>
    <n v="16"/>
    <n v="0.2318840579710145"/>
    <n v="1860"/>
    <n v="11.376811594202898"/>
    <n v="186"/>
    <n v="2.6956521739130435"/>
    <n v="194"/>
    <n v="2.8115942028985508"/>
    <n v="1217"/>
    <n v="17.637681159420289"/>
  </r>
  <r>
    <x v="36"/>
    <x v="7"/>
    <x v="119"/>
    <n v="28"/>
    <n v="280"/>
    <n v="80"/>
    <n v="31900"/>
    <n v="1139"/>
    <n v="14.237500000000001"/>
    <n v="570"/>
    <n v="1391"/>
    <n v="41"/>
    <n v="176"/>
    <n v="1760"/>
    <n v="494"/>
    <n v="4940"/>
    <n v="0.35627530364372467"/>
    <n v="329"/>
    <n v="381"/>
    <n v="0.86351706036745401"/>
    <n v="37"/>
    <n v="170"/>
    <n v="207"/>
    <n v="370"/>
    <n v="1700"/>
    <n v="2070"/>
    <n v="2.5874999999999999"/>
    <n v="398"/>
    <n v="4.9749999999999996"/>
    <n v="81"/>
    <n v="810"/>
    <n v="1.0125"/>
    <n v="170"/>
    <n v="17"/>
    <n v="0.21249999999999999"/>
    <n v="1920"/>
    <n v="3.8125"/>
    <n v="192"/>
    <n v="2.4"/>
    <n v="144"/>
    <n v="1.8"/>
    <n v="1645"/>
    <n v="20.5625"/>
  </r>
  <r>
    <x v="48"/>
    <x v="7"/>
    <x v="120"/>
    <n v="25"/>
    <n v="250"/>
    <n v="81"/>
    <n v="23560"/>
    <n v="1152"/>
    <n v="14.222222222222221"/>
    <n v="341"/>
    <n v="618"/>
    <n v="0.55177993527508096"/>
    <n v="0"/>
    <n v="0"/>
    <n v="2"/>
    <n v="20"/>
    <n v="0"/>
    <n v="194"/>
    <n v="237"/>
    <n v="0.81856540084388185"/>
    <n v="242"/>
    <n v="482"/>
    <n v="724"/>
    <n v="2420"/>
    <n v="4820"/>
    <n v="7240"/>
    <n v="8.9382716049382722"/>
    <n v="95"/>
    <n v="1.1728395061728396"/>
    <n v="55"/>
    <n v="550"/>
    <n v="0.67901234567901236"/>
    <n v="290"/>
    <n v="29"/>
    <n v="0.35802469135802467"/>
    <n v="970"/>
    <n v="9.9753086419753085"/>
    <n v="97"/>
    <n v="1.1975308641975309"/>
    <n v="210"/>
    <n v="2.5925925925925926"/>
    <n v="876"/>
    <n v="10.814814814814815"/>
  </r>
  <r>
    <x v="23"/>
    <x v="7"/>
    <x v="121"/>
    <n v="31"/>
    <n v="310"/>
    <n v="24"/>
    <n v="8050"/>
    <n v="236"/>
    <n v="9.8333333333333339"/>
    <n v="111"/>
    <n v="265"/>
    <n v="0.4188679245283019"/>
    <n v="28"/>
    <n v="280"/>
    <n v="74"/>
    <n v="740"/>
    <n v="0.3783783783783784"/>
    <n v="83"/>
    <n v="116"/>
    <n v="0.71551724137931039"/>
    <n v="17"/>
    <n v="42"/>
    <n v="59"/>
    <n v="170"/>
    <n v="420"/>
    <n v="590"/>
    <n v="2.4583333333333335"/>
    <n v="113"/>
    <n v="4.708333333333333"/>
    <n v="21"/>
    <n v="210"/>
    <n v="0.875"/>
    <n v="20"/>
    <n v="2"/>
    <n v="8.3333333333333329E-2"/>
    <n v="480"/>
    <n v="3.416666666666667"/>
    <n v="48"/>
    <n v="2"/>
    <n v="57"/>
    <n v="2.375"/>
    <n v="333"/>
    <n v="13.875"/>
  </r>
  <r>
    <x v="51"/>
    <x v="7"/>
    <x v="122"/>
    <n v="24"/>
    <n v="240"/>
    <n v="72"/>
    <n v="18830"/>
    <n v="626"/>
    <n v="8.6944444444444446"/>
    <n v="331"/>
    <n v="782"/>
    <n v="0.42327365728900257"/>
    <n v="97"/>
    <n v="970"/>
    <n v="292"/>
    <n v="2920"/>
    <n v="0.3321917808219178"/>
    <n v="154"/>
    <n v="196"/>
    <n v="0.7857142857142857"/>
    <n v="51"/>
    <n v="171"/>
    <n v="222"/>
    <n v="510"/>
    <n v="1710"/>
    <n v="2220"/>
    <n v="3.0833333333333335"/>
    <n v="212"/>
    <n v="2.9444444444444446"/>
    <n v="60"/>
    <n v="600"/>
    <n v="0.83333333333333337"/>
    <n v="10"/>
    <n v="1"/>
    <n v="1.3888888888888888E-2"/>
    <n v="1030"/>
    <n v="3.9305555555555558"/>
    <n v="103"/>
    <n v="1.4305555555555556"/>
    <n v="186"/>
    <n v="2.5833333333333335"/>
    <n v="913"/>
    <n v="12.680555555555555"/>
  </r>
  <r>
    <x v="46"/>
    <x v="7"/>
    <x v="123"/>
    <n v="25"/>
    <n v="250"/>
    <n v="59"/>
    <n v="15300"/>
    <n v="488"/>
    <n v="8.2711864406779654"/>
    <n v="297"/>
    <n v="544"/>
    <n v="546"/>
    <n v="0"/>
    <n v="0"/>
    <n v="0"/>
    <n v="0"/>
    <e v="#DIV/0!"/>
    <n v="187"/>
    <n v="300"/>
    <n v="0.62333333333333329"/>
    <n v="111"/>
    <n v="164"/>
    <n v="275"/>
    <n v="1110"/>
    <n v="1640"/>
    <n v="2750"/>
    <n v="4.6610169491525424"/>
    <n v="32"/>
    <n v="0.5423728813559322"/>
    <n v="14"/>
    <n v="140"/>
    <n v="0.23728813559322035"/>
    <n v="290"/>
    <n v="29"/>
    <n v="0.49152542372881358"/>
    <n v="1260"/>
    <n v="5.3898305084745761"/>
    <n v="126"/>
    <n v="2.1355932203389831"/>
    <n v="157"/>
    <n v="2.6610169491525424"/>
    <n v="781"/>
    <n v="13.23728813559322"/>
  </r>
  <r>
    <x v="50"/>
    <x v="7"/>
    <x v="124"/>
    <n v="28"/>
    <n v="280"/>
    <n v="65"/>
    <n v="18410"/>
    <n v="411"/>
    <n v="6.3230769230769228"/>
    <n v="199"/>
    <n v="555"/>
    <n v="359"/>
    <n v="69"/>
    <n v="690"/>
    <n v="214"/>
    <n v="2140"/>
    <n v="0.32242990654205606"/>
    <n v="60"/>
    <n v="88"/>
    <n v="0.68181818181818177"/>
    <n v="56"/>
    <n v="259"/>
    <n v="315"/>
    <n v="560"/>
    <n v="2590"/>
    <n v="3150"/>
    <n v="4.8461538461538458"/>
    <n v="116"/>
    <n v="1.7846153846153847"/>
    <n v="44"/>
    <n v="440"/>
    <n v="0.67692307692307696"/>
    <n v="150"/>
    <n v="15"/>
    <n v="0.23076923076923078"/>
    <n v="690"/>
    <n v="5.7538461538461538"/>
    <n v="69"/>
    <n v="1.0615384615384615"/>
    <n v="153"/>
    <n v="2.3538461538461539"/>
    <n v="527"/>
    <n v="8.1076923076923073"/>
  </r>
  <r>
    <x v="62"/>
    <x v="7"/>
    <x v="125"/>
    <n v="29"/>
    <n v="290"/>
    <n v="70"/>
    <n v="17570"/>
    <n v="434"/>
    <n v="6.2"/>
    <n v="182"/>
    <n v="432"/>
    <n v="421"/>
    <n v="74"/>
    <n v="740"/>
    <n v="192"/>
    <n v="1920"/>
    <n v="0.38541666666666669"/>
    <n v="94"/>
    <n v="126"/>
    <n v="0.74603174603174605"/>
    <n v="30"/>
    <n v="140"/>
    <n v="170"/>
    <n v="300"/>
    <n v="1400"/>
    <n v="1700"/>
    <n v="2.4285714285714284"/>
    <n v="166"/>
    <n v="2.3714285714285714"/>
    <n v="48"/>
    <n v="480"/>
    <n v="0.68571428571428572"/>
    <n v="180"/>
    <n v="18"/>
    <n v="0.25714285714285712"/>
    <n v="780"/>
    <n v="3.371428571428571"/>
    <n v="78"/>
    <n v="1.1142857142857143"/>
    <n v="140"/>
    <n v="2"/>
    <n v="532"/>
    <n v="7.6"/>
  </r>
  <r>
    <x v="63"/>
    <x v="7"/>
    <x v="126"/>
    <n v="21"/>
    <n v="210"/>
    <n v="35"/>
    <n v="6850"/>
    <n v="180"/>
    <n v="5.1428571428571432"/>
    <n v="106"/>
    <n v="242"/>
    <n v="0.43801652892561982"/>
    <n v="9"/>
    <n v="90"/>
    <n v="30"/>
    <n v="300"/>
    <n v="0.3"/>
    <n v="34"/>
    <n v="54"/>
    <n v="0.62962962962962965"/>
    <n v="38"/>
    <n v="89"/>
    <n v="127"/>
    <n v="380"/>
    <n v="890"/>
    <n v="1270"/>
    <n v="3.6285714285714286"/>
    <n v="33"/>
    <n v="0.94285714285714284"/>
    <n v="15"/>
    <n v="150"/>
    <n v="0.42857142857142855"/>
    <n v="160"/>
    <n v="16"/>
    <n v="0.45714285714285713"/>
    <n v="270"/>
    <n v="4.5142857142857142"/>
    <n v="27"/>
    <n v="0.77142857142857146"/>
    <n v="83"/>
    <n v="2.3714285714285714"/>
    <n v="255"/>
    <n v="7.2857142857142856"/>
  </r>
  <r>
    <x v="56"/>
    <x v="7"/>
    <x v="127"/>
    <n v="23"/>
    <n v="230"/>
    <n v="65"/>
    <n v="9520"/>
    <n v="236"/>
    <n v="3.6307692307692307"/>
    <n v="91"/>
    <n v="186"/>
    <n v="0.489247311827957"/>
    <n v="1"/>
    <n v="10"/>
    <n v="12"/>
    <n v="120"/>
    <n v="8.3333333333333329E-2"/>
    <n v="41"/>
    <n v="95"/>
    <n v="0.43157894736842106"/>
    <n v="83"/>
    <n v="133"/>
    <n v="216"/>
    <n v="830"/>
    <n v="1330"/>
    <n v="2160"/>
    <n v="3.3230769230769233"/>
    <n v="40"/>
    <n v="0.61538461538461542"/>
    <n v="44"/>
    <n v="440"/>
    <n v="0.67692307692307696"/>
    <n v="300"/>
    <n v="30"/>
    <n v="0.46153846153846156"/>
    <n v="370"/>
    <n v="4.4615384615384617"/>
    <n v="37"/>
    <n v="0.56923076923076921"/>
    <n v="132"/>
    <n v="2.0307692307692307"/>
    <n v="224"/>
    <n v="3.4461538461538463"/>
  </r>
  <r>
    <x v="55"/>
    <x v="7"/>
    <x v="128"/>
    <n v="32"/>
    <n v="320"/>
    <n v="2"/>
    <n v="50"/>
    <n v="7"/>
    <n v="3.5"/>
    <n v="1"/>
    <n v="1"/>
    <n v="10"/>
    <n v="0"/>
    <n v="0"/>
    <n v="0"/>
    <n v="0"/>
    <e v="#DIV/0!"/>
    <n v="2"/>
    <n v="2"/>
    <n v="1"/>
    <n v="0"/>
    <n v="3"/>
    <n v="3"/>
    <n v="0"/>
    <n v="30"/>
    <n v="30"/>
    <n v="1.5"/>
    <n v="0"/>
    <n v="0"/>
    <n v="0"/>
    <n v="0"/>
    <n v="0"/>
    <n v="0"/>
    <n v="0"/>
    <n v="0"/>
    <n v="0"/>
    <n v="1.5"/>
    <n v="0"/>
    <n v="0"/>
    <n v="0"/>
    <n v="0"/>
    <n v="4"/>
    <n v="2"/>
  </r>
  <r>
    <x v="57"/>
    <x v="7"/>
    <x v="129"/>
    <n v="26"/>
    <n v="260"/>
    <n v="73"/>
    <n v="13250"/>
    <n v="235"/>
    <n v="3.2191780821917808"/>
    <n v="108"/>
    <n v="270"/>
    <n v="4"/>
    <n v="4"/>
    <n v="40"/>
    <n v="25"/>
    <n v="250"/>
    <n v="0.16"/>
    <n v="49"/>
    <n v="93"/>
    <n v="0.5268817204301075"/>
    <n v="118"/>
    <n v="125"/>
    <n v="243"/>
    <n v="1180"/>
    <n v="1250"/>
    <n v="2430"/>
    <n v="3.3287671232876712"/>
    <n v="66"/>
    <n v="0.90410958904109584"/>
    <n v="36"/>
    <n v="360"/>
    <n v="0.49315068493150682"/>
    <n v="230"/>
    <n v="23"/>
    <n v="0.31506849315068491"/>
    <n v="640"/>
    <n v="4.1369863013698627"/>
    <n v="64"/>
    <n v="0.87671232876712324"/>
    <n v="132"/>
    <n v="1.8082191780821917"/>
    <n v="269"/>
    <n v="3.6849315068493151"/>
  </r>
  <r>
    <x v="58"/>
    <x v="7"/>
    <x v="130"/>
    <n v="23"/>
    <n v="230"/>
    <n v="46"/>
    <n v="6340"/>
    <n v="96"/>
    <n v="2.0869565217391304"/>
    <n v="57"/>
    <n v="175"/>
    <n v="326"/>
    <n v="8"/>
    <n v="80"/>
    <n v="32"/>
    <n v="320"/>
    <n v="0.25"/>
    <n v="23"/>
    <n v="38"/>
    <n v="0.60526315789473684"/>
    <n v="19"/>
    <n v="56"/>
    <n v="75"/>
    <n v="190"/>
    <n v="560"/>
    <n v="750"/>
    <n v="1.6304347826086956"/>
    <n v="89"/>
    <n v="1.9347826086956521"/>
    <n v="24"/>
    <n v="240"/>
    <n v="0.52173913043478259"/>
    <n v="80"/>
    <n v="8"/>
    <n v="0.17391304347826086"/>
    <n v="560"/>
    <n v="2.3260869565217392"/>
    <n v="56"/>
    <n v="1.2173913043478262"/>
    <n v="56"/>
    <n v="1.2173913043478262"/>
    <n v="145"/>
    <n v="3.152173913043478"/>
  </r>
  <r>
    <x v="38"/>
    <x v="7"/>
    <x v="131"/>
    <n v="33"/>
    <n v="330"/>
    <n v="49"/>
    <n v="4940"/>
    <n v="77"/>
    <n v="1.5714285714285714"/>
    <n v="66"/>
    <n v="180"/>
    <n v="367"/>
    <n v="2"/>
    <n v="20"/>
    <n v="7"/>
    <n v="70"/>
    <n v="0.2857142857142857"/>
    <n v="37"/>
    <n v="51"/>
    <n v="0.72549019607843135"/>
    <n v="31"/>
    <n v="72"/>
    <n v="103"/>
    <n v="310"/>
    <n v="720"/>
    <n v="1030"/>
    <n v="2.1020408163265305"/>
    <n v="28"/>
    <n v="0.5714285714285714"/>
    <n v="16"/>
    <n v="160"/>
    <n v="0.32653061224489793"/>
    <n v="70"/>
    <n v="7"/>
    <n v="0.14285714285714285"/>
    <n v="400"/>
    <n v="2.5714285714285712"/>
    <n v="40"/>
    <n v="0.81632653061224492"/>
    <n v="80"/>
    <n v="1.6326530612244898"/>
    <n v="171"/>
    <n v="3.489795918367347"/>
  </r>
  <r>
    <x v="60"/>
    <x v="7"/>
    <x v="132"/>
    <n v="22"/>
    <n v="220"/>
    <n v="18"/>
    <n v="1810"/>
    <n v="3"/>
    <n v="0.16666666666666666"/>
    <n v="21"/>
    <n v="58"/>
    <n v="0.36206896551724138"/>
    <n v="0"/>
    <n v="0"/>
    <n v="0"/>
    <n v="0"/>
    <e v="#DIV/0!"/>
    <n v="14"/>
    <n v="29"/>
    <n v="0.48275862068965519"/>
    <n v="12"/>
    <n v="25"/>
    <n v="37"/>
    <n v="120"/>
    <n v="250"/>
    <n v="370"/>
    <n v="2.0555555555555554"/>
    <n v="2"/>
    <n v="0.1111111111111111"/>
    <n v="4"/>
    <n v="40"/>
    <n v="0.22222222222222221"/>
    <n v="20"/>
    <n v="2"/>
    <n v="0.1111111111111111"/>
    <n v="90"/>
    <n v="2.3888888888888888"/>
    <n v="9"/>
    <n v="0.5"/>
    <n v="37"/>
    <n v="2.0555555555555554"/>
    <n v="56"/>
    <n v="3.1111111111111112"/>
  </r>
  <r>
    <x v="61"/>
    <x v="8"/>
    <x v="133"/>
    <n v="27"/>
    <n v="270"/>
    <n v="11"/>
    <n v="3880"/>
    <n v="224"/>
    <n v="20.363636363636363"/>
    <n v="82"/>
    <n v="189"/>
    <n v="434"/>
    <n v="7"/>
    <n v="70"/>
    <n v="24"/>
    <n v="240"/>
    <n v="0.29166666666666669"/>
    <n v="55"/>
    <n v="67"/>
    <n v="0.82089552238805974"/>
    <n v="40"/>
    <n v="97"/>
    <n v="137"/>
    <n v="400"/>
    <n v="970"/>
    <n v="1370"/>
    <n v="12.454545454545455"/>
    <n v="15"/>
    <n v="1.3636363636363635"/>
    <n v="13"/>
    <n v="130"/>
    <n v="1.1818181818181819"/>
    <n v="30"/>
    <n v="3"/>
    <n v="0.27272727272727271"/>
    <n v="230"/>
    <n v="13.90909090909091"/>
    <n v="23"/>
    <n v="2.0909090909090908"/>
    <n v="28"/>
    <n v="2.5454545454545454"/>
    <n v="226"/>
    <n v="20.545454545454547"/>
  </r>
  <r>
    <x v="48"/>
    <x v="8"/>
    <x v="134"/>
    <n v="26"/>
    <n v="260"/>
    <n v="81"/>
    <n v="28240"/>
    <n v="1600"/>
    <n v="19.753086419753085"/>
    <n v="522"/>
    <n v="951"/>
    <n v="0.54889589905362779"/>
    <n v="0"/>
    <n v="0"/>
    <n v="3"/>
    <n v="30"/>
    <n v="0"/>
    <n v="249"/>
    <n v="330"/>
    <n v="0.75454545454545452"/>
    <n v="256"/>
    <n v="695"/>
    <n v="951"/>
    <n v="2560"/>
    <n v="6950"/>
    <n v="9510"/>
    <n v="11.74074074074074"/>
    <n v="174"/>
    <n v="2.1481481481481484"/>
    <n v="80"/>
    <n v="800"/>
    <n v="0.98765432098765427"/>
    <n v="220"/>
    <n v="22"/>
    <n v="0.27160493827160492"/>
    <n v="1500"/>
    <n v="13"/>
    <n v="150"/>
    <n v="1.8518518518518519"/>
    <n v="260"/>
    <n v="3.2098765432098766"/>
    <n v="1293"/>
    <n v="15.962962962962964"/>
  </r>
  <r>
    <x v="64"/>
    <x v="8"/>
    <x v="135"/>
    <n v="29"/>
    <n v="290"/>
    <n v="68"/>
    <n v="23800"/>
    <n v="973"/>
    <n v="14.308823529411764"/>
    <n v="509"/>
    <n v="1142"/>
    <n v="0.44570928196147108"/>
    <n v="160"/>
    <n v="1600"/>
    <n v="442"/>
    <n v="4420"/>
    <n v="0.36199095022624433"/>
    <n v="229"/>
    <n v="285"/>
    <n v="0.80350877192982462"/>
    <n v="89"/>
    <n v="338"/>
    <n v="427"/>
    <n v="890"/>
    <n v="3380"/>
    <n v="4270"/>
    <n v="6.2794117647058822"/>
    <n v="92"/>
    <n v="1.3529411764705883"/>
    <n v="81"/>
    <n v="810"/>
    <n v="1.1911764705882353"/>
    <n v="220"/>
    <n v="22"/>
    <n v="0.3235294117647059"/>
    <n v="1540"/>
    <n v="7.7941176470588234"/>
    <n v="154"/>
    <n v="2.2647058823529411"/>
    <n v="213"/>
    <n v="3.1323529411764706"/>
    <n v="1407"/>
    <n v="20.691176470588236"/>
  </r>
  <r>
    <x v="51"/>
    <x v="8"/>
    <x v="136"/>
    <n v="25"/>
    <n v="250"/>
    <n v="74"/>
    <n v="22090"/>
    <n v="993"/>
    <n v="13.418918918918919"/>
    <n v="449"/>
    <n v="1028"/>
    <n v="0.4367704280155642"/>
    <n v="125"/>
    <n v="1250"/>
    <n v="385"/>
    <n v="3850"/>
    <n v="0.32467532467532467"/>
    <n v="249"/>
    <n v="296"/>
    <n v="0.84121621621621623"/>
    <n v="98"/>
    <n v="192"/>
    <n v="290"/>
    <n v="980"/>
    <n v="1920"/>
    <n v="2900"/>
    <n v="3.9189189189189189"/>
    <n v="301"/>
    <n v="4.0675675675675675"/>
    <n v="95"/>
    <n v="950"/>
    <n v="1.2837837837837838"/>
    <n v="60"/>
    <n v="6"/>
    <n v="8.1081081081081086E-2"/>
    <n v="1390"/>
    <n v="5.2837837837837842"/>
    <n v="139"/>
    <n v="1.8783783783783783"/>
    <n v="206"/>
    <n v="2.7837837837837838"/>
    <n v="1272"/>
    <n v="17.189189189189189"/>
  </r>
  <r>
    <x v="36"/>
    <x v="8"/>
    <x v="137"/>
    <n v="29"/>
    <n v="290"/>
    <n v="11"/>
    <n v="3920"/>
    <n v="144"/>
    <n v="13.090909090909092"/>
    <n v="73"/>
    <n v="169"/>
    <n v="432"/>
    <n v="35"/>
    <n v="350"/>
    <n v="77"/>
    <n v="770"/>
    <n v="0.45454545454545453"/>
    <n v="35"/>
    <n v="46"/>
    <n v="0.76086956521739135"/>
    <n v="2"/>
    <n v="15"/>
    <n v="17"/>
    <n v="20"/>
    <n v="150"/>
    <n v="170"/>
    <n v="1.5454545454545454"/>
    <n v="48"/>
    <n v="4.3636363636363633"/>
    <n v="9"/>
    <n v="90"/>
    <n v="0.81818181818181823"/>
    <n v="0"/>
    <n v="0"/>
    <n v="0"/>
    <n v="260"/>
    <n v="2.3636363636363638"/>
    <n v="26"/>
    <n v="2.3636363636363638"/>
    <n v="13"/>
    <n v="1.1818181818181819"/>
    <n v="216"/>
    <n v="19.636363636363637"/>
  </r>
  <r>
    <x v="65"/>
    <x v="8"/>
    <x v="138"/>
    <n v="26"/>
    <n v="260"/>
    <n v="79"/>
    <n v="29060"/>
    <n v="1000"/>
    <n v="12.658227848101266"/>
    <n v="287"/>
    <n v="681"/>
    <n v="0.42143906020558003"/>
    <n v="127"/>
    <n v="1270"/>
    <n v="325"/>
    <n v="3250"/>
    <n v="0.39076923076923076"/>
    <n v="179"/>
    <n v="209"/>
    <n v="0.8564593301435407"/>
    <n v="45"/>
    <n v="201"/>
    <n v="246"/>
    <n v="450"/>
    <n v="2010"/>
    <n v="2460"/>
    <n v="3.1139240506329116"/>
    <n v="566"/>
    <n v="7.1645569620253164"/>
    <n v="72"/>
    <n v="720"/>
    <n v="0.91139240506329111"/>
    <n v="70"/>
    <n v="7"/>
    <n v="8.8607594936708861E-2"/>
    <n v="2210"/>
    <n v="4.113924050632912"/>
    <n v="221"/>
    <n v="2.7974683544303796"/>
    <n v="126"/>
    <n v="1.5949367088607596"/>
    <n v="880"/>
    <n v="11.139240506329115"/>
  </r>
  <r>
    <x v="63"/>
    <x v="8"/>
    <x v="139"/>
    <n v="22"/>
    <n v="220"/>
    <n v="82"/>
    <n v="27350"/>
    <n v="913"/>
    <n v="11.134146341463415"/>
    <n v="455"/>
    <n v="1054"/>
    <n v="0.43168880455407971"/>
    <n v="103"/>
    <n v="1030"/>
    <n v="314"/>
    <n v="3140"/>
    <n v="0.32802547770700635"/>
    <n v="171"/>
    <n v="215"/>
    <n v="0.79534883720930227"/>
    <n v="91"/>
    <n v="354"/>
    <n v="445"/>
    <n v="910"/>
    <n v="3540"/>
    <n v="4450"/>
    <n v="5.4268292682926829"/>
    <n v="170"/>
    <n v="2.0731707317073171"/>
    <n v="71"/>
    <n v="710"/>
    <n v="0.86585365853658536"/>
    <n v="750"/>
    <n v="75"/>
    <n v="0.91463414634146345"/>
    <n v="1390"/>
    <n v="7.2073170731707314"/>
    <n v="139"/>
    <n v="1.6951219512195121"/>
    <n v="250"/>
    <n v="3.0487804878048781"/>
    <n v="1184"/>
    <n v="14.439024390243903"/>
  </r>
  <r>
    <x v="50"/>
    <x v="8"/>
    <x v="140"/>
    <n v="29"/>
    <n v="290"/>
    <n v="72"/>
    <n v="18940"/>
    <n v="584"/>
    <n v="8.1111111111111107"/>
    <n v="262"/>
    <n v="667"/>
    <n v="393"/>
    <n v="120"/>
    <n v="1200"/>
    <n v="329"/>
    <n v="3290"/>
    <n v="0.36474164133738601"/>
    <n v="89"/>
    <n v="117"/>
    <n v="0.76068376068376065"/>
    <n v="71"/>
    <n v="248"/>
    <n v="319"/>
    <n v="710"/>
    <n v="2480"/>
    <n v="3190"/>
    <n v="4.4305555555555554"/>
    <n v="117"/>
    <n v="1.625"/>
    <n v="47"/>
    <n v="470"/>
    <n v="0.65277777777777779"/>
    <n v="70"/>
    <n v="7"/>
    <n v="9.7222222222222224E-2"/>
    <n v="740"/>
    <n v="5.1805555555555554"/>
    <n v="74"/>
    <n v="1.0277777777777777"/>
    <n v="132"/>
    <n v="1.8333333333333333"/>
    <n v="733"/>
    <n v="10.180555555555555"/>
  </r>
  <r>
    <x v="66"/>
    <x v="8"/>
    <x v="141"/>
    <n v="30"/>
    <n v="300"/>
    <n v="25"/>
    <n v="6870"/>
    <n v="200"/>
    <n v="8"/>
    <n v="97"/>
    <n v="249"/>
    <n v="0.38955823293172692"/>
    <n v="35"/>
    <n v="350"/>
    <n v="91"/>
    <n v="910"/>
    <n v="0.38461538461538464"/>
    <n v="50"/>
    <n v="63"/>
    <n v="0.79365079365079361"/>
    <n v="10"/>
    <n v="55"/>
    <n v="65"/>
    <n v="100"/>
    <n v="550"/>
    <n v="650"/>
    <n v="2.6"/>
    <n v="60"/>
    <n v="2.4"/>
    <n v="36"/>
    <n v="360"/>
    <n v="1.44"/>
    <n v="50"/>
    <n v="5"/>
    <n v="0.2"/>
    <n v="350"/>
    <n v="4.24"/>
    <n v="35"/>
    <n v="1.4"/>
    <n v="45"/>
    <n v="1.8"/>
    <n v="279"/>
    <n v="11.16"/>
  </r>
  <r>
    <x v="67"/>
    <x v="8"/>
    <x v="142"/>
    <n v="23"/>
    <n v="230"/>
    <n v="1"/>
    <n v="60"/>
    <n v="7"/>
    <n v="7"/>
    <n v="1"/>
    <n v="2"/>
    <n v="5"/>
    <n v="0"/>
    <n v="0"/>
    <n v="0"/>
    <n v="0"/>
    <e v="#DIV/0!"/>
    <n v="1"/>
    <n v="1"/>
    <n v="1"/>
    <n v="2"/>
    <n v="3"/>
    <n v="5"/>
    <n v="20"/>
    <n v="30"/>
    <n v="50"/>
    <n v="5"/>
    <n v="0"/>
    <n v="0"/>
    <n v="0"/>
    <n v="0"/>
    <n v="0"/>
    <n v="10"/>
    <n v="1"/>
    <n v="1"/>
    <n v="10"/>
    <n v="6"/>
    <n v="1"/>
    <n v="1"/>
    <n v="0"/>
    <n v="0"/>
    <n v="3"/>
    <n v="3"/>
  </r>
  <r>
    <x v="26"/>
    <x v="8"/>
    <x v="143"/>
    <n v="32"/>
    <n v="320"/>
    <n v="36"/>
    <n v="7730"/>
    <n v="247"/>
    <n v="6.8611111111111107"/>
    <n v="119"/>
    <n v="258"/>
    <n v="461"/>
    <n v="53"/>
    <n v="530"/>
    <n v="126"/>
    <n v="1260"/>
    <n v="0.42063492063492064"/>
    <n v="54"/>
    <n v="67"/>
    <n v="0.80597014925373134"/>
    <n v="20"/>
    <n v="93"/>
    <n v="113"/>
    <n v="200"/>
    <n v="930"/>
    <n v="1130"/>
    <n v="3.1388888888888888"/>
    <n v="46"/>
    <n v="1.2777777777777777"/>
    <n v="22"/>
    <n v="220"/>
    <n v="0.61111111111111116"/>
    <n v="100"/>
    <n v="10"/>
    <n v="0.27777777777777779"/>
    <n v="460"/>
    <n v="4.0277777777777777"/>
    <n v="46"/>
    <n v="1.2777777777777777"/>
    <n v="91"/>
    <n v="2.5277777777777777"/>
    <n v="345"/>
    <n v="9.5833333333333339"/>
  </r>
  <r>
    <x v="68"/>
    <x v="8"/>
    <x v="144"/>
    <n v="25"/>
    <n v="250"/>
    <n v="1"/>
    <n v="110"/>
    <n v="6"/>
    <n v="6"/>
    <n v="3"/>
    <n v="6"/>
    <n v="0.5"/>
    <n v="0"/>
    <n v="0"/>
    <n v="0"/>
    <n v="0"/>
    <e v="#DIV/0!"/>
    <n v="0"/>
    <n v="0"/>
    <e v="#DIV/0!"/>
    <n v="2"/>
    <n v="2"/>
    <n v="4"/>
    <n v="20"/>
    <n v="20"/>
    <n v="40"/>
    <n v="4"/>
    <n v="0"/>
    <n v="0"/>
    <n v="0"/>
    <n v="0"/>
    <n v="0"/>
    <n v="0"/>
    <n v="0"/>
    <n v="0"/>
    <n v="0"/>
    <n v="4"/>
    <n v="0"/>
    <n v="0"/>
    <n v="1"/>
    <n v="1"/>
    <n v="6"/>
    <n v="6"/>
  </r>
  <r>
    <x v="57"/>
    <x v="8"/>
    <x v="145"/>
    <n v="27"/>
    <n v="270"/>
    <n v="56"/>
    <n v="13100"/>
    <n v="281"/>
    <n v="5.0178571428571432"/>
    <n v="120"/>
    <n v="273"/>
    <n v="44"/>
    <n v="1"/>
    <n v="10"/>
    <n v="12"/>
    <n v="120"/>
    <n v="8.3333333333333329E-2"/>
    <n v="55"/>
    <n v="90"/>
    <n v="0.61111111111111116"/>
    <n v="128"/>
    <n v="103"/>
    <n v="231"/>
    <n v="1280"/>
    <n v="1030"/>
    <n v="2310"/>
    <n v="4.125"/>
    <n v="80"/>
    <n v="1.4285714285714286"/>
    <n v="47"/>
    <n v="470"/>
    <n v="0.8392857142857143"/>
    <n v="330"/>
    <n v="33"/>
    <n v="0.5892857142857143"/>
    <n v="650"/>
    <n v="5.5535714285714288"/>
    <n v="65"/>
    <n v="1.1607142857142858"/>
    <n v="153"/>
    <n v="2.7321428571428572"/>
    <n v="296"/>
    <n v="5.2857142857142856"/>
  </r>
  <r>
    <x v="69"/>
    <x v="8"/>
    <x v="146"/>
    <n v="20"/>
    <n v="200"/>
    <n v="28"/>
    <n v="4120"/>
    <n v="125"/>
    <n v="4.4642857142857144"/>
    <n v="56"/>
    <n v="125"/>
    <n v="448"/>
    <n v="32"/>
    <n v="320"/>
    <n v="72"/>
    <n v="720"/>
    <n v="0.44444444444444442"/>
    <n v="26"/>
    <n v="27"/>
    <n v="0.96296296296296291"/>
    <n v="13"/>
    <n v="42"/>
    <n v="55"/>
    <n v="130"/>
    <n v="420"/>
    <n v="550"/>
    <n v="1.9642857142857142"/>
    <n v="15"/>
    <n v="0.5357142857142857"/>
    <n v="14"/>
    <n v="140"/>
    <n v="0.5"/>
    <n v="40"/>
    <n v="4"/>
    <n v="0.14285714285714285"/>
    <n v="150"/>
    <n v="2.6071428571428568"/>
    <n v="15"/>
    <n v="0.5357142857142857"/>
    <n v="48"/>
    <n v="1.7142857142857142"/>
    <n v="170"/>
    <n v="6.0714285714285712"/>
  </r>
  <r>
    <x v="70"/>
    <x v="8"/>
    <x v="147"/>
    <n v="26"/>
    <n v="260"/>
    <n v="25"/>
    <n v="3300"/>
    <n v="102"/>
    <n v="4.08"/>
    <n v="54"/>
    <n v="102"/>
    <n v="529"/>
    <n v="0"/>
    <n v="0"/>
    <n v="1"/>
    <n v="10"/>
    <n v="0"/>
    <n v="27"/>
    <n v="53"/>
    <n v="0.50943396226415094"/>
    <n v="31"/>
    <n v="51"/>
    <n v="82"/>
    <n v="310"/>
    <n v="510"/>
    <n v="820"/>
    <n v="3.28"/>
    <n v="14"/>
    <n v="0.56000000000000005"/>
    <n v="8"/>
    <n v="80"/>
    <n v="0.32"/>
    <n v="50"/>
    <n v="5"/>
    <n v="0.2"/>
    <n v="200"/>
    <n v="3.8"/>
    <n v="20"/>
    <n v="0.8"/>
    <n v="48"/>
    <n v="1.92"/>
    <n v="135"/>
    <n v="5.4"/>
  </r>
  <r>
    <x v="71"/>
    <x v="8"/>
    <x v="148"/>
    <n v="23"/>
    <n v="230"/>
    <n v="2"/>
    <n v="230"/>
    <n v="6"/>
    <n v="3"/>
    <n v="3"/>
    <n v="10"/>
    <n v="3"/>
    <n v="1"/>
    <n v="10"/>
    <n v="4"/>
    <n v="40"/>
    <n v="0.25"/>
    <n v="2"/>
    <n v="2"/>
    <n v="1"/>
    <n v="1"/>
    <n v="3"/>
    <n v="4"/>
    <n v="10"/>
    <n v="30"/>
    <n v="40"/>
    <n v="2"/>
    <n v="1"/>
    <n v="0.5"/>
    <n v="1"/>
    <n v="10"/>
    <n v="0.5"/>
    <n v="0"/>
    <n v="0"/>
    <n v="0"/>
    <n v="0"/>
    <n v="2.5"/>
    <n v="0"/>
    <n v="0"/>
    <n v="2"/>
    <n v="1"/>
    <n v="9"/>
    <n v="4.5"/>
  </r>
  <r>
    <x v="72"/>
    <x v="8"/>
    <x v="149"/>
    <n v="26"/>
    <n v="260"/>
    <n v="23"/>
    <n v="2530"/>
    <n v="63"/>
    <n v="2.7391304347826089"/>
    <n v="39"/>
    <n v="103"/>
    <n v="379"/>
    <n v="24"/>
    <n v="240"/>
    <n v="71"/>
    <n v="710"/>
    <n v="0.3380281690140845"/>
    <n v="5"/>
    <n v="5"/>
    <n v="1"/>
    <n v="4"/>
    <n v="11"/>
    <n v="15"/>
    <n v="40"/>
    <n v="110"/>
    <n v="150"/>
    <n v="0.65217391304347827"/>
    <n v="19"/>
    <n v="0.82608695652173914"/>
    <n v="10"/>
    <n v="100"/>
    <n v="0.43478260869565216"/>
    <n v="10"/>
    <n v="1"/>
    <n v="4.3478260869565216E-2"/>
    <n v="70"/>
    <n v="1.1304347826086958"/>
    <n v="7"/>
    <n v="0.30434782608695654"/>
    <n v="18"/>
    <n v="0.78260869565217395"/>
    <n v="107"/>
    <n v="4.6521739130434785"/>
  </r>
  <r>
    <x v="73"/>
    <x v="8"/>
    <x v="150"/>
    <n v="24"/>
    <n v="240"/>
    <n v="2"/>
    <n v="90"/>
    <n v="4"/>
    <n v="2"/>
    <n v="2"/>
    <n v="5"/>
    <n v="0.4"/>
    <n v="0"/>
    <n v="0"/>
    <n v="1"/>
    <n v="10"/>
    <n v="0"/>
    <n v="1"/>
    <n v="2"/>
    <n v="0.5"/>
    <n v="0"/>
    <n v="2"/>
    <n v="2"/>
    <n v="0"/>
    <n v="20"/>
    <n v="20"/>
    <n v="1"/>
    <n v="0"/>
    <n v="0"/>
    <n v="0"/>
    <n v="0"/>
    <n v="0"/>
    <n v="10"/>
    <n v="1"/>
    <n v="0.5"/>
    <n v="0"/>
    <n v="1.5"/>
    <n v="0"/>
    <n v="0"/>
    <n v="0"/>
    <n v="0"/>
    <n v="5"/>
    <n v="2.5"/>
  </r>
  <r>
    <x v="55"/>
    <x v="8"/>
    <x v="151"/>
    <n v="33"/>
    <n v="330"/>
    <n v="2"/>
    <n v="100"/>
    <n v="3"/>
    <n v="1.5"/>
    <n v="3"/>
    <n v="8"/>
    <n v="375"/>
    <n v="0"/>
    <n v="0"/>
    <n v="0"/>
    <n v="0"/>
    <e v="#DIV/0!"/>
    <n v="0"/>
    <n v="0"/>
    <e v="#DIV/0!"/>
    <n v="1"/>
    <n v="2"/>
    <n v="3"/>
    <n v="10"/>
    <n v="20"/>
    <n v="30"/>
    <n v="1.5"/>
    <n v="0"/>
    <n v="0"/>
    <n v="1"/>
    <n v="10"/>
    <n v="0.5"/>
    <n v="10"/>
    <n v="1"/>
    <n v="0.5"/>
    <n v="10"/>
    <n v="2.5"/>
    <n v="1"/>
    <n v="0.5"/>
    <n v="2"/>
    <n v="1"/>
    <n v="6"/>
    <n v="3"/>
  </r>
  <r>
    <x v="58"/>
    <x v="8"/>
    <x v="152"/>
    <n v="24"/>
    <n v="240"/>
    <n v="9"/>
    <n v="750"/>
    <n v="8"/>
    <n v="0.88888888888888884"/>
    <n v="8"/>
    <n v="23"/>
    <n v="348"/>
    <n v="0"/>
    <n v="0"/>
    <n v="3"/>
    <n v="30"/>
    <n v="0"/>
    <n v="4"/>
    <n v="9"/>
    <n v="0.44444444444444442"/>
    <n v="2"/>
    <n v="6"/>
    <n v="8"/>
    <n v="20"/>
    <n v="60"/>
    <n v="80"/>
    <n v="0.88888888888888884"/>
    <n v="10"/>
    <n v="1.1111111111111112"/>
    <n v="2"/>
    <n v="20"/>
    <n v="0.22222222222222221"/>
    <n v="0"/>
    <n v="0"/>
    <n v="0"/>
    <n v="50"/>
    <n v="1.1111111111111112"/>
    <n v="5"/>
    <n v="0.55555555555555558"/>
    <n v="7"/>
    <n v="0.77777777777777779"/>
    <n v="20"/>
    <n v="2.2222222222222223"/>
  </r>
  <r>
    <x v="46"/>
    <x v="8"/>
    <x v="153"/>
    <n v="26"/>
    <n v="260"/>
    <n v="3"/>
    <n v="120"/>
    <n v="0"/>
    <n v="0"/>
    <n v="2"/>
    <n v="2"/>
    <n v="10"/>
    <n v="0"/>
    <n v="0"/>
    <n v="0"/>
    <n v="0"/>
    <e v="#DIV/0!"/>
    <n v="1"/>
    <n v="3"/>
    <n v="0.33333333333333331"/>
    <n v="0"/>
    <n v="4"/>
    <n v="4"/>
    <n v="0"/>
    <n v="40"/>
    <n v="40"/>
    <n v="1.3333333333333333"/>
    <n v="0"/>
    <n v="0"/>
    <n v="0"/>
    <n v="0"/>
    <n v="0"/>
    <n v="0"/>
    <n v="0"/>
    <n v="0"/>
    <n v="20"/>
    <n v="1.3333333333333333"/>
    <n v="2"/>
    <n v="0.66666666666666663"/>
    <n v="5"/>
    <n v="1.6666666666666667"/>
    <n v="5"/>
    <n v="1.6666666666666667"/>
  </r>
  <r>
    <x v="38"/>
    <x v="8"/>
    <x v="154"/>
    <n v="34"/>
    <n v="340"/>
    <n v="18"/>
    <n v="1600"/>
    <n v="-1"/>
    <n v="-5.5555555555555552E-2"/>
    <n v="11"/>
    <n v="41"/>
    <n v="268"/>
    <n v="0"/>
    <n v="0"/>
    <n v="4"/>
    <n v="40"/>
    <n v="0"/>
    <n v="8"/>
    <n v="11"/>
    <n v="0.72727272727272729"/>
    <n v="4"/>
    <n v="27"/>
    <n v="31"/>
    <n v="40"/>
    <n v="270"/>
    <n v="310"/>
    <n v="1.7222222222222223"/>
    <n v="10"/>
    <n v="0.55555555555555558"/>
    <n v="1"/>
    <n v="10"/>
    <n v="5.5555555555555552E-2"/>
    <n v="10"/>
    <n v="1"/>
    <n v="5.5555555555555552E-2"/>
    <n v="170"/>
    <n v="1.8333333333333335"/>
    <n v="17"/>
    <n v="0.94444444444444442"/>
    <n v="24"/>
    <n v="1.3333333333333333"/>
    <n v="30"/>
    <n v="1.6666666666666667"/>
  </r>
  <r>
    <x v="74"/>
    <x v="8"/>
    <x v="155"/>
    <n v="24"/>
    <n v="240"/>
    <n v="2"/>
    <n v="80"/>
    <n v="-3"/>
    <n v="-1.5"/>
    <n v="0"/>
    <n v="3"/>
    <n v="0"/>
    <n v="0"/>
    <n v="0"/>
    <n v="0"/>
    <n v="0"/>
    <e v="#DIV/0!"/>
    <n v="0"/>
    <n v="2"/>
    <n v="0"/>
    <n v="1"/>
    <n v="1"/>
    <n v="2"/>
    <n v="10"/>
    <n v="10"/>
    <n v="20"/>
    <n v="1"/>
    <n v="0"/>
    <n v="0"/>
    <n v="0"/>
    <n v="0"/>
    <n v="0"/>
    <n v="0"/>
    <n v="0"/>
    <n v="0"/>
    <n v="0"/>
    <n v="1"/>
    <n v="0"/>
    <n v="0"/>
    <n v="0"/>
    <n v="0"/>
    <n v="0"/>
    <n v="0"/>
  </r>
  <r>
    <x v="48"/>
    <x v="9"/>
    <x v="156"/>
    <n v="27"/>
    <n v="270"/>
    <n v="81"/>
    <n v="30190"/>
    <n v="1929"/>
    <n v="23.814814814814813"/>
    <n v="686"/>
    <n v="1258"/>
    <n v="0.54531001589825123"/>
    <n v="0"/>
    <n v="0"/>
    <n v="8"/>
    <n v="80"/>
    <n v="0"/>
    <n v="268"/>
    <n v="330"/>
    <n v="0.81212121212121213"/>
    <n v="228"/>
    <n v="721"/>
    <n v="949"/>
    <n v="2280"/>
    <n v="7210"/>
    <n v="9490"/>
    <n v="11.716049382716049"/>
    <n v="295"/>
    <n v="3.6419753086419755"/>
    <n v="85"/>
    <n v="850"/>
    <n v="1.0493827160493827"/>
    <n v="400"/>
    <n v="40"/>
    <n v="0.49382716049382713"/>
    <n v="1890"/>
    <n v="13.25925925925926"/>
    <n v="189"/>
    <n v="2.3333333333333335"/>
    <n v="257"/>
    <n v="3.1728395061728394"/>
    <n v="1640"/>
    <n v="20.246913580246915"/>
  </r>
  <r>
    <x v="75"/>
    <x v="9"/>
    <x v="157"/>
    <n v="28"/>
    <n v="280"/>
    <n v="7"/>
    <n v="2320"/>
    <n v="95"/>
    <n v="13.571428571428571"/>
    <n v="30"/>
    <n v="68"/>
    <n v="0.44117647058823528"/>
    <n v="0"/>
    <n v="0"/>
    <n v="0"/>
    <n v="0"/>
    <e v="#DIV/0!"/>
    <n v="22"/>
    <n v="29"/>
    <n v="0.75862068965517238"/>
    <n v="31"/>
    <n v="46"/>
    <n v="77"/>
    <n v="310"/>
    <n v="460"/>
    <n v="770"/>
    <n v="11"/>
    <n v="8"/>
    <n v="1.1428571428571428"/>
    <n v="4"/>
    <n v="40"/>
    <n v="0.5714285714285714"/>
    <n v="40"/>
    <n v="4"/>
    <n v="0.5714285714285714"/>
    <n v="110"/>
    <n v="12.142857142857142"/>
    <n v="11"/>
    <n v="1.5714285714285714"/>
    <n v="24"/>
    <n v="3.4285714285714284"/>
    <n v="82"/>
    <n v="11.714285714285714"/>
  </r>
  <r>
    <x v="63"/>
    <x v="9"/>
    <x v="158"/>
    <n v="23"/>
    <n v="230"/>
    <n v="65"/>
    <n v="23200"/>
    <n v="803"/>
    <n v="12.353846153846154"/>
    <n v="412"/>
    <n v="860"/>
    <n v="0.47906976744186047"/>
    <n v="40"/>
    <n v="400"/>
    <n v="150"/>
    <n v="1500"/>
    <n v="0.26666666666666666"/>
    <n v="129"/>
    <n v="160"/>
    <n v="0.80625000000000002"/>
    <n v="93"/>
    <n v="255"/>
    <n v="348"/>
    <n v="930"/>
    <n v="2550"/>
    <n v="3480"/>
    <n v="5.3538461538461535"/>
    <n v="138"/>
    <n v="2.1230769230769231"/>
    <n v="46"/>
    <n v="460"/>
    <n v="0.70769230769230773"/>
    <n v="490"/>
    <n v="49"/>
    <n v="0.75384615384615383"/>
    <n v="1080"/>
    <n v="6.8153846153846152"/>
    <n v="108"/>
    <n v="1.6615384615384616"/>
    <n v="184"/>
    <n v="2.8307692307692309"/>
    <n v="993"/>
    <n v="15.276923076923078"/>
  </r>
  <r>
    <x v="69"/>
    <x v="9"/>
    <x v="159"/>
    <n v="21"/>
    <n v="210"/>
    <n v="81"/>
    <n v="27470"/>
    <n v="995"/>
    <n v="12.283950617283951"/>
    <n v="392"/>
    <n v="927"/>
    <n v="423"/>
    <n v="186"/>
    <n v="1860"/>
    <n v="488"/>
    <n v="4880"/>
    <n v="0.38114754098360654"/>
    <n v="251"/>
    <n v="307"/>
    <n v="0.8175895765472313"/>
    <n v="65"/>
    <n v="333"/>
    <n v="398"/>
    <n v="650"/>
    <n v="3330"/>
    <n v="3980"/>
    <n v="4.9135802469135799"/>
    <n v="135"/>
    <n v="1.6666666666666667"/>
    <n v="75"/>
    <n v="750"/>
    <n v="0.92592592592592593"/>
    <n v="580"/>
    <n v="58"/>
    <n v="0.71604938271604934"/>
    <n v="1100"/>
    <n v="6.5555555555555554"/>
    <n v="110"/>
    <n v="1.3580246913580247"/>
    <n v="191"/>
    <n v="2.3580246913580245"/>
    <n v="1221"/>
    <n v="15.074074074074074"/>
  </r>
  <r>
    <x v="64"/>
    <x v="9"/>
    <x v="160"/>
    <n v="30"/>
    <n v="300"/>
    <n v="72"/>
    <n v="21950"/>
    <n v="879"/>
    <n v="12.208333333333334"/>
    <n v="448"/>
    <n v="1030"/>
    <n v="0.43495145631067961"/>
    <n v="140"/>
    <n v="1400"/>
    <n v="409"/>
    <n v="4090"/>
    <n v="0.34229828850855748"/>
    <n v="240"/>
    <n v="317"/>
    <n v="0.75709779179810721"/>
    <n v="88"/>
    <n v="317"/>
    <n v="405"/>
    <n v="880"/>
    <n v="3170"/>
    <n v="4050"/>
    <n v="5.625"/>
    <n v="110"/>
    <n v="1.5277777777777777"/>
    <n v="62"/>
    <n v="620"/>
    <n v="0.86111111111111116"/>
    <n v="260"/>
    <n v="26"/>
    <n v="0.3611111111111111"/>
    <n v="1320"/>
    <n v="6.8472222222222223"/>
    <n v="132"/>
    <n v="1.8333333333333333"/>
    <n v="209"/>
    <n v="2.9027777777777777"/>
    <n v="1276"/>
    <n v="17.722222222222221"/>
  </r>
  <r>
    <x v="51"/>
    <x v="9"/>
    <x v="161"/>
    <n v="26"/>
    <n v="260"/>
    <n v="30"/>
    <n v="7330"/>
    <n v="298"/>
    <n v="9.9333333333333336"/>
    <n v="152"/>
    <n v="336"/>
    <n v="0.45238095238095238"/>
    <n v="51"/>
    <n v="510"/>
    <n v="136"/>
    <n v="1360"/>
    <n v="0.375"/>
    <n v="42"/>
    <n v="54"/>
    <n v="0.77777777777777779"/>
    <n v="23"/>
    <n v="49"/>
    <n v="72"/>
    <n v="230"/>
    <n v="490"/>
    <n v="720"/>
    <n v="2.4"/>
    <n v="112"/>
    <n v="3.7333333333333334"/>
    <n v="27"/>
    <n v="270"/>
    <n v="0.9"/>
    <n v="50"/>
    <n v="5"/>
    <n v="0.16666666666666666"/>
    <n v="530"/>
    <n v="3.4666666666666668"/>
    <n v="53"/>
    <n v="1.7666666666666666"/>
    <n v="66"/>
    <n v="2.2000000000000002"/>
    <n v="397"/>
    <n v="13.233333333333333"/>
  </r>
  <r>
    <x v="65"/>
    <x v="9"/>
    <x v="162"/>
    <n v="27"/>
    <n v="270"/>
    <n v="67"/>
    <n v="20720"/>
    <n v="609"/>
    <n v="9.08955223880597"/>
    <n v="168"/>
    <n v="451"/>
    <n v="0.37250554323725055"/>
    <n v="90"/>
    <n v="900"/>
    <n v="258"/>
    <n v="2580"/>
    <n v="0.34883720930232559"/>
    <n v="68"/>
    <n v="95"/>
    <n v="0.71578947368421053"/>
    <n v="28"/>
    <n v="150"/>
    <n v="178"/>
    <n v="280"/>
    <n v="1500"/>
    <n v="1780"/>
    <n v="2.6567164179104479"/>
    <n v="378"/>
    <n v="5.6417910447761193"/>
    <n v="59"/>
    <n v="590"/>
    <n v="0.88059701492537312"/>
    <n v="30"/>
    <n v="3"/>
    <n v="4.4776119402985072E-2"/>
    <n v="1100"/>
    <n v="3.5820895522388061"/>
    <n v="110"/>
    <n v="1.6417910447761195"/>
    <n v="83"/>
    <n v="1.2388059701492538"/>
    <n v="494"/>
    <n v="7.3731343283582094"/>
  </r>
  <r>
    <x v="76"/>
    <x v="9"/>
    <x v="163"/>
    <n v="22"/>
    <n v="220"/>
    <n v="27"/>
    <n v="7390"/>
    <n v="243"/>
    <n v="9"/>
    <n v="117"/>
    <n v="226"/>
    <n v="518"/>
    <n v="50"/>
    <n v="500"/>
    <n v="116"/>
    <n v="1160"/>
    <n v="0.43103448275862066"/>
    <n v="37"/>
    <n v="47"/>
    <n v="0.78723404255319152"/>
    <n v="15"/>
    <n v="68"/>
    <n v="83"/>
    <n v="150"/>
    <n v="680"/>
    <n v="830"/>
    <n v="3.074074074074074"/>
    <n v="37"/>
    <n v="1.3703703703703705"/>
    <n v="23"/>
    <n v="230"/>
    <n v="0.85185185185185186"/>
    <n v="30"/>
    <n v="3"/>
    <n v="0.1111111111111111"/>
    <n v="260"/>
    <n v="4.0370370370370372"/>
    <n v="26"/>
    <n v="0.96296296296296291"/>
    <n v="79"/>
    <n v="2.925925925925926"/>
    <n v="321"/>
    <n v="11.888888888888889"/>
  </r>
  <r>
    <x v="77"/>
    <x v="9"/>
    <x v="164"/>
    <n v="31"/>
    <n v="310"/>
    <n v="24"/>
    <n v="6270"/>
    <n v="208"/>
    <n v="8.6666666666666661"/>
    <n v="84"/>
    <n v="216"/>
    <n v="0.3888888888888889"/>
    <n v="15"/>
    <n v="150"/>
    <n v="62"/>
    <n v="620"/>
    <n v="0.24193548387096775"/>
    <n v="43"/>
    <n v="57"/>
    <n v="0.75438596491228072"/>
    <n v="22"/>
    <n v="67"/>
    <n v="89"/>
    <n v="220"/>
    <n v="670"/>
    <n v="890"/>
    <n v="3.7083333333333335"/>
    <n v="93"/>
    <n v="3.875"/>
    <n v="15"/>
    <n v="150"/>
    <n v="0.625"/>
    <n v="120"/>
    <n v="12"/>
    <n v="0.5"/>
    <n v="430"/>
    <n v="4.8333333333333339"/>
    <n v="43"/>
    <n v="1.7916666666666667"/>
    <n v="38"/>
    <n v="1.5833333333333333"/>
    <n v="226"/>
    <n v="9.4166666666666661"/>
  </r>
  <r>
    <x v="66"/>
    <x v="9"/>
    <x v="165"/>
    <n v="31"/>
    <n v="310"/>
    <n v="31"/>
    <n v="8200"/>
    <n v="267"/>
    <n v="8.612903225806452"/>
    <n v="102"/>
    <n v="279"/>
    <n v="0.36559139784946237"/>
    <n v="28"/>
    <n v="280"/>
    <n v="97"/>
    <n v="970"/>
    <n v="0.28865979381443296"/>
    <n v="65"/>
    <n v="79"/>
    <n v="0.82278481012658233"/>
    <n v="16"/>
    <n v="94"/>
    <n v="110"/>
    <n v="160"/>
    <n v="940"/>
    <n v="1100"/>
    <n v="3.5483870967741935"/>
    <n v="109"/>
    <n v="3.5161290322580645"/>
    <n v="40"/>
    <n v="400"/>
    <n v="1.2903225806451613"/>
    <n v="110"/>
    <n v="11"/>
    <n v="0.35483870967741937"/>
    <n v="560"/>
    <n v="5.193548387096774"/>
    <n v="56"/>
    <n v="1.8064516129032258"/>
    <n v="53"/>
    <n v="1.7096774193548387"/>
    <n v="297"/>
    <n v="9.5806451612903221"/>
  </r>
  <r>
    <x v="78"/>
    <x v="9"/>
    <x v="166"/>
    <n v="24"/>
    <n v="240"/>
    <n v="27"/>
    <n v="5310"/>
    <n v="172"/>
    <n v="6.3703703703703702"/>
    <n v="79"/>
    <n v="161"/>
    <n v="0.49068322981366458"/>
    <n v="17"/>
    <n v="170"/>
    <n v="49"/>
    <n v="490"/>
    <n v="0.34693877551020408"/>
    <n v="25"/>
    <n v="31"/>
    <n v="0.80645161290322576"/>
    <n v="9"/>
    <n v="30"/>
    <n v="39"/>
    <n v="90"/>
    <n v="300"/>
    <n v="390"/>
    <n v="1.4444444444444444"/>
    <n v="91"/>
    <n v="3.3703703703703702"/>
    <n v="21"/>
    <n v="210"/>
    <n v="0.77777777777777779"/>
    <n v="20"/>
    <n v="2"/>
    <n v="7.407407407407407E-2"/>
    <n v="550"/>
    <n v="2.2962962962962963"/>
    <n v="55"/>
    <n v="2.0370370370370372"/>
    <n v="38"/>
    <n v="1.4074074074074074"/>
    <n v="200"/>
    <n v="7.4074074074074074"/>
  </r>
  <r>
    <x v="79"/>
    <x v="9"/>
    <x v="167"/>
    <n v="24"/>
    <n v="240"/>
    <n v="56"/>
    <n v="10870"/>
    <n v="350"/>
    <n v="6.25"/>
    <n v="179"/>
    <n v="391"/>
    <n v="0.4578005115089514"/>
    <n v="68"/>
    <n v="680"/>
    <n v="175"/>
    <n v="1750"/>
    <n v="0.38857142857142857"/>
    <n v="55"/>
    <n v="68"/>
    <n v="0.80882352941176472"/>
    <n v="40"/>
    <n v="68"/>
    <n v="108"/>
    <n v="400"/>
    <n v="680"/>
    <n v="1080"/>
    <n v="1.9285714285714286"/>
    <n v="112"/>
    <n v="2"/>
    <n v="42"/>
    <n v="420"/>
    <n v="0.75"/>
    <n v="30"/>
    <n v="3"/>
    <n v="5.3571428571428568E-2"/>
    <n v="550"/>
    <n v="2.7321428571428572"/>
    <n v="55"/>
    <n v="0.9821428571428571"/>
    <n v="116"/>
    <n v="2.0714285714285716"/>
    <n v="481"/>
    <n v="8.5892857142857135"/>
  </r>
  <r>
    <x v="57"/>
    <x v="9"/>
    <x v="168"/>
    <n v="28"/>
    <n v="280"/>
    <n v="52"/>
    <n v="14620"/>
    <n v="321"/>
    <n v="6.1730769230769234"/>
    <n v="102"/>
    <n v="230"/>
    <n v="443"/>
    <n v="20"/>
    <n v="200"/>
    <n v="62"/>
    <n v="620"/>
    <n v="0.32258064516129031"/>
    <n v="60"/>
    <n v="93"/>
    <n v="0.64516129032258063"/>
    <n v="99"/>
    <n v="124"/>
    <n v="223"/>
    <n v="990"/>
    <n v="1240"/>
    <n v="2230"/>
    <n v="4.2884615384615383"/>
    <n v="83"/>
    <n v="1.5961538461538463"/>
    <n v="53"/>
    <n v="530"/>
    <n v="1.0192307692307692"/>
    <n v="580"/>
    <n v="58"/>
    <n v="1.1153846153846154"/>
    <n v="620"/>
    <n v="6.4230769230769234"/>
    <n v="62"/>
    <n v="1.1923076923076923"/>
    <n v="157"/>
    <n v="3.0192307692307692"/>
    <n v="284"/>
    <n v="5.4615384615384617"/>
  </r>
  <r>
    <x v="80"/>
    <x v="9"/>
    <x v="169"/>
    <n v="32"/>
    <n v="320"/>
    <n v="18"/>
    <n v="3710"/>
    <n v="75"/>
    <n v="4.166666666666667"/>
    <n v="44"/>
    <n v="133"/>
    <n v="0.33082706766917291"/>
    <n v="15"/>
    <n v="150"/>
    <n v="60"/>
    <n v="600"/>
    <n v="0.25"/>
    <n v="12"/>
    <n v="12"/>
    <n v="1"/>
    <n v="6"/>
    <n v="34"/>
    <n v="40"/>
    <n v="60"/>
    <n v="340"/>
    <n v="400"/>
    <n v="2.2222222222222223"/>
    <n v="37"/>
    <n v="2.0555555555555554"/>
    <n v="12"/>
    <n v="120"/>
    <n v="0.66666666666666663"/>
    <n v="0"/>
    <n v="0"/>
    <n v="0"/>
    <n v="200"/>
    <n v="2.8888888888888888"/>
    <n v="20"/>
    <n v="1.1111111111111112"/>
    <n v="20"/>
    <n v="1.1111111111111112"/>
    <n v="115"/>
    <n v="6.3888888888888893"/>
  </r>
  <r>
    <x v="81"/>
    <x v="9"/>
    <x v="170"/>
    <n v="29"/>
    <n v="290"/>
    <n v="25"/>
    <n v="2920"/>
    <n v="82"/>
    <n v="3.28"/>
    <n v="40"/>
    <n v="100"/>
    <n v="4"/>
    <n v="14"/>
    <n v="140"/>
    <n v="39"/>
    <n v="390"/>
    <n v="0.35897435897435898"/>
    <n v="24"/>
    <n v="26"/>
    <n v="0.92307692307692313"/>
    <n v="15"/>
    <n v="37"/>
    <n v="52"/>
    <n v="150"/>
    <n v="370"/>
    <n v="520"/>
    <n v="2.08"/>
    <n v="16"/>
    <n v="0.64"/>
    <n v="2"/>
    <n v="20"/>
    <n v="0.08"/>
    <n v="170"/>
    <n v="17"/>
    <n v="0.68"/>
    <n v="280"/>
    <n v="2.84"/>
    <n v="28"/>
    <n v="1.1200000000000001"/>
    <n v="33"/>
    <n v="1.32"/>
    <n v="118"/>
    <n v="4.72"/>
  </r>
  <r>
    <x v="82"/>
    <x v="9"/>
    <x v="171"/>
    <n v="25"/>
    <n v="250"/>
    <n v="11"/>
    <n v="1400"/>
    <n v="36"/>
    <n v="3.2727272727272729"/>
    <n v="19"/>
    <n v="39"/>
    <n v="487"/>
    <n v="0"/>
    <n v="0"/>
    <n v="8"/>
    <n v="80"/>
    <n v="0"/>
    <n v="7"/>
    <n v="11"/>
    <n v="0.63636363636363635"/>
    <n v="12"/>
    <n v="19"/>
    <n v="31"/>
    <n v="120"/>
    <n v="190"/>
    <n v="310"/>
    <n v="2.8181818181818183"/>
    <n v="7"/>
    <n v="0.63636363636363635"/>
    <n v="5"/>
    <n v="50"/>
    <n v="0.45454545454545453"/>
    <n v="10"/>
    <n v="1"/>
    <n v="9.0909090909090912E-2"/>
    <n v="100"/>
    <n v="3.3636363636363638"/>
    <n v="10"/>
    <n v="0.90909090909090906"/>
    <n v="19"/>
    <n v="1.7272727272727273"/>
    <n v="45"/>
    <n v="4.0909090909090908"/>
  </r>
  <r>
    <x v="83"/>
    <x v="9"/>
    <x v="172"/>
    <n v="22"/>
    <n v="220"/>
    <n v="24"/>
    <n v="2520"/>
    <n v="78"/>
    <n v="3.25"/>
    <n v="41"/>
    <n v="92"/>
    <n v="0.44565217391304346"/>
    <n v="0"/>
    <n v="0"/>
    <n v="2"/>
    <n v="20"/>
    <n v="0"/>
    <n v="15"/>
    <n v="21"/>
    <n v="0.7142857142857143"/>
    <n v="32"/>
    <n v="29"/>
    <n v="61"/>
    <n v="320"/>
    <n v="290"/>
    <n v="610"/>
    <n v="2.5416666666666665"/>
    <n v="7"/>
    <n v="0.29166666666666669"/>
    <n v="10"/>
    <n v="100"/>
    <n v="0.41666666666666669"/>
    <n v="90"/>
    <n v="9"/>
    <n v="0.375"/>
    <n v="120"/>
    <n v="3.333333333333333"/>
    <n v="12"/>
    <n v="0.5"/>
    <n v="37"/>
    <n v="1.5416666666666667"/>
    <n v="97"/>
    <n v="4.041666666666667"/>
  </r>
  <r>
    <x v="84"/>
    <x v="9"/>
    <x v="173"/>
    <n v="25"/>
    <n v="250"/>
    <n v="8"/>
    <n v="710"/>
    <n v="25"/>
    <n v="3.125"/>
    <n v="8"/>
    <n v="17"/>
    <n v="0.47058823529411764"/>
    <n v="0"/>
    <n v="0"/>
    <n v="0"/>
    <n v="0"/>
    <e v="#DIV/0!"/>
    <n v="0"/>
    <n v="0"/>
    <e v="#DIV/0!"/>
    <n v="5"/>
    <n v="13"/>
    <n v="18"/>
    <n v="50"/>
    <n v="130"/>
    <n v="180"/>
    <n v="2.25"/>
    <n v="4"/>
    <n v="0.5"/>
    <n v="4"/>
    <n v="40"/>
    <n v="0.5"/>
    <n v="10"/>
    <n v="1"/>
    <n v="0.125"/>
    <n v="20"/>
    <n v="2.875"/>
    <n v="2"/>
    <n v="0.25"/>
    <n v="7"/>
    <n v="0.875"/>
    <n v="16"/>
    <n v="2"/>
  </r>
  <r>
    <x v="85"/>
    <x v="9"/>
    <x v="174"/>
    <n v="24"/>
    <n v="240"/>
    <n v="17"/>
    <n v="1080"/>
    <n v="19"/>
    <n v="1.1176470588235294"/>
    <n v="16"/>
    <n v="41"/>
    <n v="0.3902439024390244"/>
    <n v="9"/>
    <n v="90"/>
    <n v="26"/>
    <n v="260"/>
    <n v="0.34615384615384615"/>
    <n v="3"/>
    <n v="5"/>
    <n v="0.6"/>
    <n v="5"/>
    <n v="14"/>
    <n v="19"/>
    <n v="50"/>
    <n v="140"/>
    <n v="190"/>
    <n v="1.1176470588235294"/>
    <n v="0"/>
    <n v="0"/>
    <n v="1"/>
    <n v="10"/>
    <n v="5.8823529411764705E-2"/>
    <n v="20"/>
    <n v="2"/>
    <n v="0.11764705882352941"/>
    <n v="60"/>
    <n v="1.2941176470588236"/>
    <n v="6"/>
    <n v="0.35294117647058826"/>
    <n v="14"/>
    <n v="0.82352941176470584"/>
    <n v="44"/>
    <n v="2.5882352941176472"/>
  </r>
  <r>
    <x v="46"/>
    <x v="9"/>
    <x v="175"/>
    <n v="27"/>
    <n v="270"/>
    <n v="7"/>
    <n v="620"/>
    <n v="-6"/>
    <n v="-0.8571428571428571"/>
    <n v="8"/>
    <n v="21"/>
    <n v="381"/>
    <n v="0"/>
    <n v="0"/>
    <n v="0"/>
    <n v="0"/>
    <e v="#DIV/0!"/>
    <n v="10"/>
    <n v="17"/>
    <n v="0.58823529411764708"/>
    <n v="4"/>
    <n v="9"/>
    <n v="13"/>
    <n v="40"/>
    <n v="90"/>
    <n v="130"/>
    <n v="1.8571428571428572"/>
    <n v="0"/>
    <n v="0"/>
    <n v="0"/>
    <n v="0"/>
    <n v="0"/>
    <n v="10"/>
    <n v="1"/>
    <n v="0.14285714285714285"/>
    <n v="130"/>
    <n v="2"/>
    <n v="13"/>
    <n v="1.8571428571428572"/>
    <n v="13"/>
    <n v="1.8571428571428572"/>
    <n v="26"/>
    <n v="3.7142857142857144"/>
  </r>
  <r>
    <x v="86"/>
    <x v="10"/>
    <x v="176"/>
    <n v="28"/>
    <n v="280"/>
    <n v="78"/>
    <n v="28700"/>
    <n v="1644"/>
    <n v="21.076923076923077"/>
    <n v="744"/>
    <n v="1482"/>
    <n v="502"/>
    <n v="10"/>
    <n v="100"/>
    <n v="23"/>
    <n v="230"/>
    <n v="0.43478260869565216"/>
    <n v="473"/>
    <n v="597"/>
    <n v="0.79229480737018421"/>
    <n v="198"/>
    <n v="438"/>
    <n v="636"/>
    <n v="1980"/>
    <n v="4380"/>
    <n v="6360"/>
    <n v="8.1538461538461533"/>
    <n v="202"/>
    <n v="2.5897435897435899"/>
    <n v="71"/>
    <n v="710"/>
    <n v="0.91025641025641024"/>
    <n v="1500"/>
    <n v="150"/>
    <n v="1.9230769230769231"/>
    <n v="2500"/>
    <n v="10.987179487179487"/>
    <n v="250"/>
    <n v="3.2051282051282053"/>
    <n v="274"/>
    <n v="3.5128205128205128"/>
    <n v="1971"/>
    <n v="25.26923076923077"/>
  </r>
  <r>
    <x v="87"/>
    <x v="10"/>
    <x v="177"/>
    <n v="27"/>
    <n v="270"/>
    <n v="27"/>
    <n v="9770"/>
    <n v="546"/>
    <n v="20.222222222222221"/>
    <n v="247"/>
    <n v="536"/>
    <n v="0.46082089552238809"/>
    <n v="53"/>
    <n v="530"/>
    <n v="125"/>
    <n v="1250"/>
    <n v="0.42399999999999999"/>
    <n v="164"/>
    <n v="188"/>
    <n v="0.87234042553191493"/>
    <n v="41"/>
    <n v="140"/>
    <n v="181"/>
    <n v="410"/>
    <n v="1400"/>
    <n v="1810"/>
    <n v="6.7037037037037033"/>
    <n v="81"/>
    <n v="3"/>
    <n v="25"/>
    <n v="250"/>
    <n v="0.92592592592592593"/>
    <n v="150"/>
    <n v="15"/>
    <n v="0.55555555555555558"/>
    <n v="640"/>
    <n v="8.1851851851851851"/>
    <n v="64"/>
    <n v="2.3703703703703702"/>
    <n v="90"/>
    <n v="3.3333333333333335"/>
    <n v="711"/>
    <n v="26.333333333333332"/>
  </r>
  <r>
    <x v="88"/>
    <x v="10"/>
    <x v="178"/>
    <n v="27"/>
    <n v="270"/>
    <n v="54"/>
    <n v="20740"/>
    <n v="938"/>
    <n v="17.37037037037037"/>
    <n v="339"/>
    <n v="801"/>
    <n v="0.42322097378277151"/>
    <n v="88"/>
    <n v="880"/>
    <n v="268"/>
    <n v="2680"/>
    <n v="0.32835820895522388"/>
    <n v="157"/>
    <n v="181"/>
    <n v="0.86740331491712708"/>
    <n v="40"/>
    <n v="154"/>
    <n v="194"/>
    <n v="400"/>
    <n v="1540"/>
    <n v="1940"/>
    <n v="3.5925925925925926"/>
    <n v="488"/>
    <n v="9.0370370370370363"/>
    <n v="97"/>
    <n v="970"/>
    <n v="1.7962962962962963"/>
    <n v="110"/>
    <n v="11"/>
    <n v="0.20370370370370369"/>
    <n v="1760"/>
    <n v="5.5925925925925926"/>
    <n v="176"/>
    <n v="3.2592592592592591"/>
    <n v="113"/>
    <n v="2.0925925925925926"/>
    <n v="923"/>
    <n v="17.092592592592592"/>
  </r>
  <r>
    <x v="89"/>
    <x v="10"/>
    <x v="179"/>
    <n v="34"/>
    <n v="340"/>
    <n v="21"/>
    <n v="6640"/>
    <n v="303"/>
    <n v="14.428571428571429"/>
    <n v="104"/>
    <n v="258"/>
    <n v="0.40310077519379844"/>
    <n v="41"/>
    <n v="410"/>
    <n v="125"/>
    <n v="1250"/>
    <n v="0.32800000000000001"/>
    <n v="119"/>
    <n v="132"/>
    <n v="0.90151515151515149"/>
    <n v="13"/>
    <n v="52"/>
    <n v="65"/>
    <n v="130"/>
    <n v="520"/>
    <n v="650"/>
    <n v="3.0952380952380953"/>
    <n v="116"/>
    <n v="5.5238095238095237"/>
    <n v="19"/>
    <n v="190"/>
    <n v="0.90476190476190477"/>
    <n v="20"/>
    <n v="2"/>
    <n v="9.5238095238095233E-2"/>
    <n v="480"/>
    <n v="4.0952380952380949"/>
    <n v="48"/>
    <n v="2.2857142857142856"/>
    <n v="52"/>
    <n v="2.4761904761904763"/>
    <n v="368"/>
    <n v="17.523809523809526"/>
  </r>
  <r>
    <x v="63"/>
    <x v="10"/>
    <x v="180"/>
    <n v="24"/>
    <n v="240"/>
    <n v="51"/>
    <n v="17590"/>
    <n v="705"/>
    <n v="13.823529411764707"/>
    <n v="328"/>
    <n v="712"/>
    <n v="0.4606741573033708"/>
    <n v="86"/>
    <n v="860"/>
    <n v="245"/>
    <n v="2450"/>
    <n v="0.3510204081632653"/>
    <n v="96"/>
    <n v="119"/>
    <n v="0.80672268907563027"/>
    <n v="62"/>
    <n v="241"/>
    <n v="303"/>
    <n v="620"/>
    <n v="2410"/>
    <n v="3030"/>
    <n v="5.9411764705882355"/>
    <n v="86"/>
    <n v="1.6862745098039216"/>
    <n v="34"/>
    <n v="340"/>
    <n v="0.66666666666666663"/>
    <n v="700"/>
    <n v="70"/>
    <n v="1.3725490196078431"/>
    <n v="670"/>
    <n v="7.9803921568627452"/>
    <n v="67"/>
    <n v="1.3137254901960784"/>
    <n v="152"/>
    <n v="2.9803921568627452"/>
    <n v="838"/>
    <n v="16.431372549019606"/>
  </r>
  <r>
    <x v="69"/>
    <x v="10"/>
    <x v="181"/>
    <n v="22"/>
    <n v="220"/>
    <n v="48"/>
    <n v="16710"/>
    <n v="627"/>
    <n v="13.0625"/>
    <n v="211"/>
    <n v="509"/>
    <n v="415"/>
    <n v="83"/>
    <n v="830"/>
    <n v="239"/>
    <n v="2390"/>
    <n v="0.34728033472803349"/>
    <n v="259"/>
    <n v="290"/>
    <n v="0.89310344827586208"/>
    <n v="48"/>
    <n v="181"/>
    <n v="229"/>
    <n v="480"/>
    <n v="1810"/>
    <n v="2290"/>
    <n v="4.770833333333333"/>
    <n v="82"/>
    <n v="1.7083333333333333"/>
    <n v="38"/>
    <n v="380"/>
    <n v="0.79166666666666663"/>
    <n v="180"/>
    <n v="18"/>
    <n v="0.375"/>
    <n v="580"/>
    <n v="5.9375"/>
    <n v="58"/>
    <n v="1.2083333333333333"/>
    <n v="117"/>
    <n v="2.4375"/>
    <n v="764"/>
    <n v="15.916666666666666"/>
  </r>
  <r>
    <x v="90"/>
    <x v="10"/>
    <x v="182"/>
    <n v="23"/>
    <n v="230"/>
    <n v="82"/>
    <n v="25410"/>
    <n v="1012"/>
    <n v="12.341463414634147"/>
    <n v="299"/>
    <n v="602"/>
    <n v="0.49667774086378735"/>
    <n v="86"/>
    <n v="860"/>
    <n v="219"/>
    <n v="2190"/>
    <n v="0.39269406392694062"/>
    <n v="113"/>
    <n v="147"/>
    <n v="0.76870748299319724"/>
    <n v="105"/>
    <n v="416"/>
    <n v="521"/>
    <n v="1050"/>
    <n v="4160"/>
    <n v="5210"/>
    <n v="6.3536585365853657"/>
    <n v="155"/>
    <n v="1.8902439024390243"/>
    <n v="80"/>
    <n v="800"/>
    <n v="0.97560975609756095"/>
    <n v="170"/>
    <n v="17"/>
    <n v="0.2073170731707317"/>
    <n v="1070"/>
    <n v="7.5365853658536581"/>
    <n v="107"/>
    <n v="1.3048780487804879"/>
    <n v="114"/>
    <n v="1.3902439024390243"/>
    <n v="797"/>
    <n v="9.7195121951219505"/>
  </r>
  <r>
    <x v="79"/>
    <x v="10"/>
    <x v="183"/>
    <n v="25"/>
    <n v="250"/>
    <n v="81"/>
    <n v="19710"/>
    <n v="708"/>
    <n v="8.7407407407407405"/>
    <n v="314"/>
    <n v="755"/>
    <n v="0.41589403973509936"/>
    <n v="143"/>
    <n v="1430"/>
    <n v="383"/>
    <n v="3830"/>
    <n v="0.37336814621409919"/>
    <n v="85"/>
    <n v="107"/>
    <n v="0.79439252336448596"/>
    <n v="65"/>
    <n v="179"/>
    <n v="244"/>
    <n v="650"/>
    <n v="1790"/>
    <n v="2440"/>
    <n v="3.0123456790123457"/>
    <n v="244"/>
    <n v="3.0123456790123457"/>
    <n v="89"/>
    <n v="890"/>
    <n v="1.0987654320987654"/>
    <n v="40"/>
    <n v="4"/>
    <n v="4.9382716049382713E-2"/>
    <n v="890"/>
    <n v="4.1604938271604937"/>
    <n v="89"/>
    <n v="1.0987654320987654"/>
    <n v="177"/>
    <n v="2.1851851851851851"/>
    <n v="856"/>
    <n v="10.567901234567902"/>
  </r>
  <r>
    <x v="91"/>
    <x v="10"/>
    <x v="184"/>
    <n v="25"/>
    <n v="250"/>
    <n v="64"/>
    <n v="13230"/>
    <n v="391"/>
    <n v="6.109375"/>
    <n v="164"/>
    <n v="385"/>
    <n v="426"/>
    <n v="85"/>
    <n v="850"/>
    <n v="212"/>
    <n v="2120"/>
    <n v="0.40094339622641512"/>
    <n v="41"/>
    <n v="49"/>
    <n v="0.83673469387755106"/>
    <n v="60"/>
    <n v="179"/>
    <n v="239"/>
    <n v="600"/>
    <n v="1790"/>
    <n v="2390"/>
    <n v="3.734375"/>
    <n v="47"/>
    <n v="0.734375"/>
    <n v="39"/>
    <n v="390"/>
    <n v="0.609375"/>
    <n v="510"/>
    <n v="51"/>
    <n v="0.796875"/>
    <n v="460"/>
    <n v="5.140625"/>
    <n v="46"/>
    <n v="0.71875"/>
    <n v="164"/>
    <n v="2.5625"/>
    <n v="454"/>
    <n v="7.09375"/>
  </r>
  <r>
    <x v="92"/>
    <x v="10"/>
    <x v="185"/>
    <n v="28"/>
    <n v="280"/>
    <n v="64"/>
    <n v="11410"/>
    <n v="376"/>
    <n v="5.875"/>
    <n v="103"/>
    <n v="163"/>
    <n v="632"/>
    <n v="0"/>
    <n v="0"/>
    <n v="0"/>
    <n v="0"/>
    <e v="#DIV/0!"/>
    <n v="61"/>
    <n v="98"/>
    <n v="0.62244897959183676"/>
    <n v="64"/>
    <n v="143"/>
    <n v="207"/>
    <n v="640"/>
    <n v="1430"/>
    <n v="2070"/>
    <n v="3.234375"/>
    <n v="92"/>
    <n v="1.4375"/>
    <n v="35"/>
    <n v="350"/>
    <n v="0.546875"/>
    <n v="730"/>
    <n v="73"/>
    <n v="1.140625"/>
    <n v="410"/>
    <n v="4.921875"/>
    <n v="41"/>
    <n v="0.640625"/>
    <n v="160"/>
    <n v="2.5"/>
    <n v="267"/>
    <n v="4.171875"/>
  </r>
  <r>
    <x v="93"/>
    <x v="10"/>
    <x v="186"/>
    <n v="36"/>
    <n v="360"/>
    <n v="19"/>
    <n v="3100"/>
    <n v="93"/>
    <n v="4.8947368421052628"/>
    <n v="35"/>
    <n v="76"/>
    <n v="0.46052631578947367"/>
    <n v="8"/>
    <n v="80"/>
    <n v="28"/>
    <n v="280"/>
    <n v="0.2857142857142857"/>
    <n v="6"/>
    <n v="6"/>
    <n v="1"/>
    <n v="7"/>
    <n v="32"/>
    <n v="39"/>
    <n v="70"/>
    <n v="320"/>
    <n v="390"/>
    <n v="2.0526315789473686"/>
    <n v="43"/>
    <n v="2.263157894736842"/>
    <n v="18"/>
    <n v="180"/>
    <n v="0.94736842105263153"/>
    <n v="50"/>
    <n v="5"/>
    <n v="0.26315789473684209"/>
    <n v="250"/>
    <n v="3.2631578947368425"/>
    <n v="25"/>
    <n v="1.3157894736842106"/>
    <n v="30"/>
    <n v="1.5789473684210527"/>
    <n v="84"/>
    <n v="4.4210526315789478"/>
  </r>
  <r>
    <x v="94"/>
    <x v="10"/>
    <x v="187"/>
    <n v="27"/>
    <n v="270"/>
    <n v="17"/>
    <n v="1980"/>
    <n v="75"/>
    <n v="4.4117647058823533"/>
    <n v="21"/>
    <n v="39"/>
    <n v="538"/>
    <n v="0"/>
    <n v="0"/>
    <n v="0"/>
    <n v="0"/>
    <e v="#DIV/0!"/>
    <n v="24"/>
    <n v="29"/>
    <n v="0.82758620689655171"/>
    <n v="19"/>
    <n v="31"/>
    <n v="50"/>
    <n v="190"/>
    <n v="310"/>
    <n v="500"/>
    <n v="2.9411764705882355"/>
    <n v="13"/>
    <n v="0.76470588235294112"/>
    <n v="5"/>
    <n v="50"/>
    <n v="0.29411764705882354"/>
    <n v="40"/>
    <n v="4"/>
    <n v="0.23529411764705882"/>
    <n v="60"/>
    <n v="3.4705882352941178"/>
    <n v="6"/>
    <n v="0.35294117647058826"/>
    <n v="34"/>
    <n v="2"/>
    <n v="66"/>
    <n v="3.8823529411764706"/>
  </r>
  <r>
    <x v="95"/>
    <x v="10"/>
    <x v="188"/>
    <n v="23"/>
    <n v="230"/>
    <n v="8"/>
    <n v="880"/>
    <n v="29"/>
    <n v="3.625"/>
    <n v="12"/>
    <n v="18"/>
    <n v="0.66666666666666663"/>
    <n v="3"/>
    <n v="30"/>
    <n v="4"/>
    <n v="40"/>
    <n v="0.75"/>
    <n v="7"/>
    <n v="13"/>
    <n v="0.53846153846153844"/>
    <n v="9"/>
    <n v="6"/>
    <n v="15"/>
    <n v="90"/>
    <n v="60"/>
    <n v="150"/>
    <n v="1.875"/>
    <n v="4"/>
    <n v="0.5"/>
    <n v="4"/>
    <n v="40"/>
    <n v="0.5"/>
    <n v="20"/>
    <n v="2"/>
    <n v="0.25"/>
    <n v="70"/>
    <n v="2.625"/>
    <n v="7"/>
    <n v="0.875"/>
    <n v="11"/>
    <n v="1.375"/>
    <n v="34"/>
    <n v="4.25"/>
  </r>
  <r>
    <x v="76"/>
    <x v="10"/>
    <x v="189"/>
    <n v="23"/>
    <n v="230"/>
    <n v="61"/>
    <n v="7840"/>
    <n v="218"/>
    <n v="3.5737704918032787"/>
    <n v="104"/>
    <n v="236"/>
    <n v="441"/>
    <n v="59"/>
    <n v="590"/>
    <n v="153"/>
    <n v="1530"/>
    <n v="0.38562091503267976"/>
    <n v="31"/>
    <n v="44"/>
    <n v="0.70454545454545459"/>
    <n v="16"/>
    <n v="106"/>
    <n v="122"/>
    <n v="160"/>
    <n v="1060"/>
    <n v="1220"/>
    <n v="2"/>
    <n v="34"/>
    <n v="0.55737704918032782"/>
    <n v="21"/>
    <n v="210"/>
    <n v="0.34426229508196721"/>
    <n v="60"/>
    <n v="6"/>
    <n v="9.8360655737704916E-2"/>
    <n v="370"/>
    <n v="2.442622950819672"/>
    <n v="37"/>
    <n v="0.60655737704918034"/>
    <n v="81"/>
    <n v="1.3278688524590163"/>
    <n v="298"/>
    <n v="4.8852459016393439"/>
  </r>
  <r>
    <x v="57"/>
    <x v="10"/>
    <x v="190"/>
    <n v="29"/>
    <n v="290"/>
    <n v="24"/>
    <n v="4630"/>
    <n v="78"/>
    <n v="3.25"/>
    <n v="19"/>
    <n v="50"/>
    <n v="38"/>
    <n v="1"/>
    <n v="10"/>
    <n v="3"/>
    <n v="30"/>
    <n v="0.33333333333333331"/>
    <n v="8"/>
    <n v="19"/>
    <n v="0.42105263157894735"/>
    <n v="42"/>
    <n v="39"/>
    <n v="81"/>
    <n v="420"/>
    <n v="390"/>
    <n v="810"/>
    <n v="3.375"/>
    <n v="25"/>
    <n v="1.0416666666666667"/>
    <n v="24"/>
    <n v="240"/>
    <n v="1"/>
    <n v="140"/>
    <n v="14"/>
    <n v="0.58333333333333337"/>
    <n v="170"/>
    <n v="4.9583333333333339"/>
    <n v="17"/>
    <n v="0.70833333333333337"/>
    <n v="54"/>
    <n v="2.25"/>
    <n v="47"/>
    <n v="1.9583333333333333"/>
  </r>
  <r>
    <x v="96"/>
    <x v="10"/>
    <x v="191"/>
    <n v="24"/>
    <n v="240"/>
    <n v="34"/>
    <n v="4580"/>
    <n v="110"/>
    <n v="3.2352941176470589"/>
    <n v="52"/>
    <n v="112"/>
    <n v="0.4642857142857143"/>
    <n v="0"/>
    <n v="0"/>
    <n v="0"/>
    <n v="0"/>
    <e v="#DIV/0!"/>
    <n v="31"/>
    <n v="44"/>
    <n v="0.70454545454545459"/>
    <n v="41"/>
    <n v="63"/>
    <n v="104"/>
    <n v="410"/>
    <n v="630"/>
    <n v="1040"/>
    <n v="3.0588235294117645"/>
    <n v="15"/>
    <n v="0.44117647058823528"/>
    <n v="14"/>
    <n v="140"/>
    <n v="0.41176470588235292"/>
    <n v="230"/>
    <n v="23"/>
    <n v="0.67647058823529416"/>
    <n v="320"/>
    <n v="4.1470588235294112"/>
    <n v="32"/>
    <n v="0.94117647058823528"/>
    <n v="76"/>
    <n v="2.2352941176470589"/>
    <n v="135"/>
    <n v="3.9705882352941178"/>
  </r>
  <r>
    <x v="97"/>
    <x v="10"/>
    <x v="192"/>
    <n v="30"/>
    <n v="300"/>
    <n v="26"/>
    <n v="3190"/>
    <n v="61"/>
    <n v="2.3461538461538463"/>
    <n v="26"/>
    <n v="77"/>
    <n v="0.33766233766233766"/>
    <n v="16"/>
    <n v="160"/>
    <n v="44"/>
    <n v="440"/>
    <n v="0.36363636363636365"/>
    <n v="7"/>
    <n v="10"/>
    <n v="0.7"/>
    <n v="5"/>
    <n v="38"/>
    <n v="43"/>
    <n v="50"/>
    <n v="380"/>
    <n v="430"/>
    <n v="1.6538461538461537"/>
    <n v="20"/>
    <n v="0.76923076923076927"/>
    <n v="6"/>
    <n v="60"/>
    <n v="0.23076923076923078"/>
    <n v="20"/>
    <n v="2"/>
    <n v="7.6923076923076927E-2"/>
    <n v="60"/>
    <n v="1.9615384615384615"/>
    <n v="6"/>
    <n v="0.23076923076923078"/>
    <n v="25"/>
    <n v="0.96153846153846156"/>
    <n v="75"/>
    <n v="2.8846153846153846"/>
  </r>
  <r>
    <x v="98"/>
    <x v="10"/>
    <x v="193"/>
    <n v="21"/>
    <n v="210"/>
    <n v="17"/>
    <n v="1270"/>
    <n v="32"/>
    <n v="1.8823529411764706"/>
    <n v="14"/>
    <n v="45"/>
    <n v="0.31111111111111112"/>
    <n v="1"/>
    <n v="10"/>
    <n v="4"/>
    <n v="40"/>
    <n v="0.25"/>
    <n v="6"/>
    <n v="12"/>
    <n v="0.5"/>
    <n v="11"/>
    <n v="29"/>
    <n v="40"/>
    <n v="110"/>
    <n v="290"/>
    <n v="400"/>
    <n v="2.3529411764705883"/>
    <n v="7"/>
    <n v="0.41176470588235292"/>
    <n v="4"/>
    <n v="40"/>
    <n v="0.23529411764705882"/>
    <n v="80"/>
    <n v="8"/>
    <n v="0.47058823529411764"/>
    <n v="100"/>
    <n v="3.0588235294117645"/>
    <n v="10"/>
    <n v="0.58823529411764708"/>
    <n v="15"/>
    <n v="0.88235294117647056"/>
    <n v="35"/>
    <n v="2.0588235294117645"/>
  </r>
  <r>
    <x v="99"/>
    <x v="10"/>
    <x v="194"/>
    <n v="24"/>
    <n v="240"/>
    <n v="5"/>
    <n v="240"/>
    <n v="1"/>
    <n v="0.2"/>
    <n v="3"/>
    <n v="7"/>
    <n v="429"/>
    <n v="1"/>
    <n v="10"/>
    <n v="4"/>
    <n v="40"/>
    <n v="0.25"/>
    <n v="1"/>
    <n v="2"/>
    <n v="0.5"/>
    <n v="0"/>
    <n v="1"/>
    <n v="1"/>
    <n v="0"/>
    <n v="10"/>
    <n v="10"/>
    <n v="0.2"/>
    <n v="3"/>
    <n v="0.6"/>
    <n v="1"/>
    <n v="10"/>
    <n v="0.2"/>
    <n v="0"/>
    <n v="0"/>
    <n v="0"/>
    <n v="70"/>
    <n v="0.4"/>
    <n v="7"/>
    <n v="1.4"/>
    <n v="0"/>
    <n v="0"/>
    <n v="8"/>
    <n v="1.6"/>
  </r>
  <r>
    <x v="56"/>
    <x v="10"/>
    <x v="195"/>
    <n v="26"/>
    <n v="260"/>
    <n v="3"/>
    <n v="180"/>
    <n v="-1"/>
    <n v="-0.33333333333333331"/>
    <n v="1"/>
    <n v="4"/>
    <n v="0.25"/>
    <n v="1"/>
    <n v="10"/>
    <n v="2"/>
    <n v="20"/>
    <n v="0.5"/>
    <n v="0"/>
    <n v="0"/>
    <e v="#DIV/0!"/>
    <n v="1"/>
    <n v="2"/>
    <n v="3"/>
    <n v="10"/>
    <n v="20"/>
    <n v="30"/>
    <n v="1"/>
    <n v="0"/>
    <n v="0"/>
    <n v="1"/>
    <n v="10"/>
    <n v="0.33333333333333331"/>
    <n v="0"/>
    <n v="0"/>
    <n v="0"/>
    <n v="10"/>
    <n v="1.3333333333333333"/>
    <n v="1"/>
    <n v="0.33333333333333331"/>
    <n v="4"/>
    <n v="1.3333333333333333"/>
    <n v="3"/>
    <n v="1"/>
  </r>
  <r>
    <x v="87"/>
    <x v="11"/>
    <x v="196"/>
    <n v="28"/>
    <n v="280"/>
    <n v="55"/>
    <n v="18760"/>
    <n v="919"/>
    <n v="16.709090909090911"/>
    <n v="441"/>
    <n v="1025"/>
    <n v="0.43024390243902438"/>
    <n v="68"/>
    <n v="680"/>
    <n v="203"/>
    <n v="2030"/>
    <n v="0.33497536945812806"/>
    <n v="295"/>
    <n v="367"/>
    <n v="0.80381471389645776"/>
    <n v="88"/>
    <n v="256"/>
    <n v="344"/>
    <n v="880"/>
    <n v="2560"/>
    <n v="3440"/>
    <n v="6.2545454545454549"/>
    <n v="200"/>
    <n v="3.6363636363636362"/>
    <n v="62"/>
    <n v="620"/>
    <n v="1.1272727272727272"/>
    <n v="240"/>
    <n v="24"/>
    <n v="0.43636363636363634"/>
    <n v="1440"/>
    <n v="7.8181818181818183"/>
    <n v="144"/>
    <n v="2.6181818181818182"/>
    <n v="156"/>
    <n v="2.8363636363636364"/>
    <n v="1245"/>
    <n v="22.636363636363637"/>
  </r>
  <r>
    <x v="100"/>
    <x v="11"/>
    <x v="197"/>
    <n v="29"/>
    <n v="290"/>
    <n v="62"/>
    <n v="20610"/>
    <n v="1012"/>
    <n v="16.322580645161292"/>
    <n v="241"/>
    <n v="355"/>
    <n v="0.6788732394366197"/>
    <n v="0"/>
    <n v="0"/>
    <n v="2"/>
    <n v="20"/>
    <n v="0"/>
    <n v="217"/>
    <n v="315"/>
    <n v="0.68888888888888888"/>
    <n v="212"/>
    <n v="400"/>
    <n v="612"/>
    <n v="2120"/>
    <n v="4000"/>
    <n v="6120"/>
    <n v="9.870967741935484"/>
    <n v="56"/>
    <n v="0.90322580645161288"/>
    <n v="56"/>
    <n v="560"/>
    <n v="0.90322580645161288"/>
    <n v="890"/>
    <n v="89"/>
    <n v="1.435483870967742"/>
    <n v="1020"/>
    <n v="12.20967741935484"/>
    <n v="102"/>
    <n v="1.6451612903225807"/>
    <n v="186"/>
    <n v="3"/>
    <n v="699"/>
    <n v="11.274193548387096"/>
  </r>
  <r>
    <x v="86"/>
    <x v="11"/>
    <x v="198"/>
    <n v="29"/>
    <n v="290"/>
    <n v="47"/>
    <n v="15430"/>
    <n v="680"/>
    <n v="14.468085106382979"/>
    <n v="316"/>
    <n v="654"/>
    <n v="483"/>
    <n v="5"/>
    <n v="50"/>
    <n v="21"/>
    <n v="210"/>
    <n v="0.23809523809523808"/>
    <n v="186"/>
    <n v="243"/>
    <n v="0.76543209876543206"/>
    <n v="106"/>
    <n v="261"/>
    <n v="367"/>
    <n v="1060"/>
    <n v="2610"/>
    <n v="3670"/>
    <n v="7.8085106382978724"/>
    <n v="52"/>
    <n v="1.1063829787234043"/>
    <n v="38"/>
    <n v="380"/>
    <n v="0.80851063829787229"/>
    <n v="450"/>
    <n v="45"/>
    <n v="0.95744680851063835"/>
    <n v="1120"/>
    <n v="9.5744680851063837"/>
    <n v="112"/>
    <n v="2.3829787234042552"/>
    <n v="138"/>
    <n v="2.9361702127659575"/>
    <n v="823"/>
    <n v="17.51063829787234"/>
  </r>
  <r>
    <x v="101"/>
    <x v="11"/>
    <x v="199"/>
    <n v="23"/>
    <n v="230"/>
    <n v="35"/>
    <n v="9400"/>
    <n v="446"/>
    <n v="12.742857142857142"/>
    <n v="171"/>
    <n v="383"/>
    <n v="0.44647519582245432"/>
    <n v="24"/>
    <n v="240"/>
    <n v="75"/>
    <n v="750"/>
    <n v="0.32"/>
    <n v="146"/>
    <n v="183"/>
    <n v="0.79781420765027322"/>
    <n v="18"/>
    <n v="89"/>
    <n v="107"/>
    <n v="180"/>
    <n v="890"/>
    <n v="1070"/>
    <n v="3.0571428571428569"/>
    <n v="216"/>
    <n v="6.1714285714285717"/>
    <n v="55"/>
    <n v="550"/>
    <n v="1.5714285714285714"/>
    <n v="90"/>
    <n v="9"/>
    <n v="0.25714285714285712"/>
    <n v="1260"/>
    <n v="4.8857142857142852"/>
    <n v="126"/>
    <n v="3.6"/>
    <n v="78"/>
    <n v="2.2285714285714286"/>
    <n v="512"/>
    <n v="14.628571428571428"/>
  </r>
  <r>
    <x v="102"/>
    <x v="11"/>
    <x v="200"/>
    <n v="26"/>
    <n v="260"/>
    <n v="35"/>
    <n v="9670"/>
    <n v="327"/>
    <n v="9.3428571428571434"/>
    <n v="165"/>
    <n v="405"/>
    <n v="0.40740740740740738"/>
    <n v="67"/>
    <n v="670"/>
    <n v="193"/>
    <n v="1930"/>
    <n v="0.34715025906735753"/>
    <n v="39"/>
    <n v="55"/>
    <n v="0.70909090909090911"/>
    <n v="29"/>
    <n v="107"/>
    <n v="136"/>
    <n v="290"/>
    <n v="1070"/>
    <n v="1360"/>
    <n v="3.8857142857142857"/>
    <n v="84"/>
    <n v="2.4"/>
    <n v="54"/>
    <n v="540"/>
    <n v="1.5428571428571429"/>
    <n v="60"/>
    <n v="6"/>
    <n v="0.17142857142857143"/>
    <n v="460"/>
    <n v="5.6"/>
    <n v="46"/>
    <n v="1.3142857142857143"/>
    <n v="87"/>
    <n v="2.4857142857142858"/>
    <n v="436"/>
    <n v="12.457142857142857"/>
  </r>
  <r>
    <x v="90"/>
    <x v="11"/>
    <x v="201"/>
    <n v="24"/>
    <n v="240"/>
    <n v="66"/>
    <n v="18940"/>
    <n v="585"/>
    <n v="8.8636363636363633"/>
    <n v="236"/>
    <n v="513"/>
    <n v="0.4600389863547758"/>
    <n v="31"/>
    <n v="310"/>
    <n v="121"/>
    <n v="1210"/>
    <n v="0.256198347107438"/>
    <n v="77"/>
    <n v="137"/>
    <n v="0.56204379562043794"/>
    <n v="59"/>
    <n v="219"/>
    <n v="278"/>
    <n v="590"/>
    <n v="2190"/>
    <n v="2780"/>
    <n v="4.2121212121212119"/>
    <n v="169"/>
    <n v="2.5606060606060606"/>
    <n v="79"/>
    <n v="790"/>
    <n v="1.196969696969697"/>
    <n v="170"/>
    <n v="17"/>
    <n v="0.25757575757575757"/>
    <n v="1020"/>
    <n v="5.6666666666666661"/>
    <n v="102"/>
    <n v="1.5454545454545454"/>
    <n v="99"/>
    <n v="1.5"/>
    <n v="580"/>
    <n v="8.7878787878787872"/>
  </r>
  <r>
    <x v="103"/>
    <x v="11"/>
    <x v="202"/>
    <n v="22"/>
    <n v="220"/>
    <n v="59"/>
    <n v="17050"/>
    <n v="396"/>
    <n v="6.7118644067796609"/>
    <n v="214"/>
    <n v="534"/>
    <n v="401"/>
    <n v="48"/>
    <n v="480"/>
    <n v="157"/>
    <n v="1570"/>
    <n v="0.30573248407643311"/>
    <n v="87"/>
    <n v="109"/>
    <n v="0.79816513761467889"/>
    <n v="42"/>
    <n v="144"/>
    <n v="186"/>
    <n v="420"/>
    <n v="1440"/>
    <n v="1860"/>
    <n v="3.152542372881356"/>
    <n v="164"/>
    <n v="2.7796610169491527"/>
    <n v="101"/>
    <n v="1010"/>
    <n v="1.7118644067796611"/>
    <n v="80"/>
    <n v="8"/>
    <n v="0.13559322033898305"/>
    <n v="1110"/>
    <n v="5"/>
    <n v="111"/>
    <n v="1.8813559322033899"/>
    <n v="173"/>
    <n v="2.9322033898305087"/>
    <n v="563"/>
    <n v="9.5423728813559325"/>
  </r>
  <r>
    <x v="104"/>
    <x v="11"/>
    <x v="203"/>
    <n v="29"/>
    <n v="290"/>
    <n v="54"/>
    <n v="10200"/>
    <n v="358"/>
    <n v="6.6296296296296298"/>
    <n v="161"/>
    <n v="337"/>
    <n v="0.47774480712166173"/>
    <n v="133"/>
    <n v="1330"/>
    <n v="282"/>
    <n v="2820"/>
    <n v="0.47163120567375888"/>
    <n v="22"/>
    <n v="26"/>
    <n v="0.84615384615384615"/>
    <n v="9"/>
    <n v="95"/>
    <n v="104"/>
    <n v="90"/>
    <n v="950"/>
    <n v="1040"/>
    <n v="1.9259259259259258"/>
    <n v="12"/>
    <n v="0.22222222222222221"/>
    <n v="16"/>
    <n v="160"/>
    <n v="0.29629629629629628"/>
    <n v="90"/>
    <n v="9"/>
    <n v="0.16666666666666666"/>
    <n v="210"/>
    <n v="2.3888888888888888"/>
    <n v="21"/>
    <n v="0.3888888888888889"/>
    <n v="59"/>
    <n v="1.0925925925925926"/>
    <n v="477"/>
    <n v="8.8333333333333339"/>
  </r>
  <r>
    <x v="105"/>
    <x v="11"/>
    <x v="204"/>
    <n v="23"/>
    <n v="230"/>
    <n v="37"/>
    <n v="5400"/>
    <n v="196"/>
    <n v="5.2972972972972974"/>
    <n v="63"/>
    <n v="149"/>
    <n v="0.42281879194630873"/>
    <n v="20"/>
    <n v="200"/>
    <n v="59"/>
    <n v="590"/>
    <n v="0.33898305084745761"/>
    <n v="16"/>
    <n v="26"/>
    <n v="0.61538461538461542"/>
    <n v="47"/>
    <n v="97"/>
    <n v="144"/>
    <n v="470"/>
    <n v="970"/>
    <n v="1440"/>
    <n v="3.8918918918918921"/>
    <n v="11"/>
    <n v="0.29729729729729731"/>
    <n v="23"/>
    <n v="230"/>
    <n v="0.6216216216216216"/>
    <n v="200"/>
    <n v="20"/>
    <n v="0.54054054054054057"/>
    <n v="200"/>
    <n v="5.0540540540540544"/>
    <n v="20"/>
    <n v="0.54054054054054057"/>
    <n v="48"/>
    <n v="1.2972972972972974"/>
    <n v="162"/>
    <n v="4.3783783783783781"/>
  </r>
  <r>
    <x v="106"/>
    <x v="11"/>
    <x v="205"/>
    <n v="33"/>
    <n v="330"/>
    <n v="29"/>
    <n v="5950"/>
    <n v="145"/>
    <n v="5"/>
    <n v="68"/>
    <n v="184"/>
    <n v="37"/>
    <n v="26"/>
    <n v="260"/>
    <n v="85"/>
    <n v="850"/>
    <n v="0.30588235294117649"/>
    <n v="16"/>
    <n v="24"/>
    <n v="0.66666666666666663"/>
    <n v="13"/>
    <n v="43"/>
    <n v="56"/>
    <n v="130"/>
    <n v="430"/>
    <n v="560"/>
    <n v="1.9310344827586208"/>
    <n v="135"/>
    <n v="4.6551724137931032"/>
    <n v="34"/>
    <n v="340"/>
    <n v="1.1724137931034482"/>
    <n v="30"/>
    <n v="3"/>
    <n v="0.10344827586206896"/>
    <n v="760"/>
    <n v="3.2068965517241379"/>
    <n v="76"/>
    <n v="2.6206896551724137"/>
    <n v="61"/>
    <n v="2.103448275862069"/>
    <n v="178"/>
    <n v="6.1379310344827589"/>
  </r>
  <r>
    <x v="57"/>
    <x v="11"/>
    <x v="206"/>
    <n v="30"/>
    <n v="300"/>
    <n v="39"/>
    <n v="7290"/>
    <n v="176"/>
    <n v="4.5128205128205128"/>
    <n v="59"/>
    <n v="144"/>
    <n v="41"/>
    <n v="3"/>
    <n v="30"/>
    <n v="16"/>
    <n v="160"/>
    <n v="0.1875"/>
    <n v="49"/>
    <n v="72"/>
    <n v="0.68055555555555558"/>
    <n v="69"/>
    <n v="83"/>
    <n v="152"/>
    <n v="690"/>
    <n v="830"/>
    <n v="1520"/>
    <n v="3.8974358974358974"/>
    <n v="26"/>
    <n v="0.66666666666666663"/>
    <n v="29"/>
    <n v="290"/>
    <n v="0.74358974358974361"/>
    <n v="250"/>
    <n v="25"/>
    <n v="0.64102564102564108"/>
    <n v="290"/>
    <n v="5.2820512820512819"/>
    <n v="29"/>
    <n v="0.74358974358974361"/>
    <n v="89"/>
    <n v="2.2820512820512819"/>
    <n v="170"/>
    <n v="4.3589743589743586"/>
  </r>
  <r>
    <x v="76"/>
    <x v="11"/>
    <x v="207"/>
    <n v="24"/>
    <n v="240"/>
    <n v="32"/>
    <n v="6200"/>
    <n v="107"/>
    <n v="3.34375"/>
    <n v="68"/>
    <n v="171"/>
    <n v="398"/>
    <n v="36"/>
    <n v="360"/>
    <n v="113"/>
    <n v="1130"/>
    <n v="0.31858407079646017"/>
    <n v="17"/>
    <n v="20"/>
    <n v="0.85"/>
    <n v="9"/>
    <n v="71"/>
    <n v="80"/>
    <n v="90"/>
    <n v="710"/>
    <n v="800"/>
    <n v="2.5"/>
    <n v="37"/>
    <n v="1.15625"/>
    <n v="19"/>
    <n v="190"/>
    <n v="0.59375"/>
    <n v="70"/>
    <n v="7"/>
    <n v="0.21875"/>
    <n v="350"/>
    <n v="3.3125"/>
    <n v="35"/>
    <n v="1.09375"/>
    <n v="84"/>
    <n v="2.625"/>
    <n v="189"/>
    <n v="5.90625"/>
  </r>
  <r>
    <x v="56"/>
    <x v="11"/>
    <x v="208"/>
    <n v="27"/>
    <n v="270"/>
    <n v="14"/>
    <n v="1150"/>
    <n v="41"/>
    <n v="2.9285714285714284"/>
    <n v="16"/>
    <n v="32"/>
    <n v="0.5"/>
    <n v="2"/>
    <n v="20"/>
    <n v="9"/>
    <n v="90"/>
    <n v="0.22222222222222221"/>
    <n v="8"/>
    <n v="11"/>
    <n v="0.72727272727272729"/>
    <n v="6"/>
    <n v="20"/>
    <n v="26"/>
    <n v="60"/>
    <n v="200"/>
    <n v="260"/>
    <n v="1.8571428571428572"/>
    <n v="5"/>
    <n v="0.35714285714285715"/>
    <n v="4"/>
    <n v="40"/>
    <n v="0.2857142857142857"/>
    <n v="30"/>
    <n v="3"/>
    <n v="0.21428571428571427"/>
    <n v="60"/>
    <n v="2.3571428571428572"/>
    <n v="6"/>
    <n v="0.42857142857142855"/>
    <n v="14"/>
    <n v="1"/>
    <n v="42"/>
    <n v="3"/>
  </r>
  <r>
    <x v="107"/>
    <x v="11"/>
    <x v="209"/>
    <n v="34"/>
    <n v="340"/>
    <n v="39"/>
    <n v="5570"/>
    <n v="110"/>
    <n v="2.8205128205128207"/>
    <n v="35"/>
    <n v="124"/>
    <n v="0.28225806451612906"/>
    <n v="27"/>
    <n v="270"/>
    <n v="85"/>
    <n v="850"/>
    <n v="0.31764705882352939"/>
    <n v="6"/>
    <n v="8"/>
    <n v="0.75"/>
    <n v="5"/>
    <n v="54"/>
    <n v="59"/>
    <n v="50"/>
    <n v="540"/>
    <n v="590"/>
    <n v="1.5128205128205128"/>
    <n v="80"/>
    <n v="2.0512820512820511"/>
    <n v="21"/>
    <n v="210"/>
    <n v="0.53846153846153844"/>
    <n v="30"/>
    <n v="3"/>
    <n v="7.6923076923076927E-2"/>
    <n v="200"/>
    <n v="2.1282051282051282"/>
    <n v="20"/>
    <n v="0.51282051282051277"/>
    <n v="45"/>
    <n v="1.1538461538461537"/>
    <n v="103"/>
    <n v="2.641025641025641"/>
  </r>
  <r>
    <x v="79"/>
    <x v="11"/>
    <x v="210"/>
    <n v="26"/>
    <n v="260"/>
    <n v="38"/>
    <n v="6560"/>
    <n v="105"/>
    <n v="2.763157894736842"/>
    <n v="94"/>
    <n v="290"/>
    <n v="0.32413793103448274"/>
    <n v="27"/>
    <n v="270"/>
    <n v="117"/>
    <n v="1170"/>
    <n v="0.23076923076923078"/>
    <n v="22"/>
    <n v="26"/>
    <n v="0.84615384615384615"/>
    <n v="16"/>
    <n v="56"/>
    <n v="72"/>
    <n v="160"/>
    <n v="560"/>
    <n v="720"/>
    <n v="1.8947368421052631"/>
    <n v="77"/>
    <n v="2.0263157894736841"/>
    <n v="29"/>
    <n v="290"/>
    <n v="0.76315789473684215"/>
    <n v="10"/>
    <n v="1"/>
    <n v="2.6315789473684209E-2"/>
    <n v="560"/>
    <n v="2.6842105263157894"/>
    <n v="56"/>
    <n v="1.4736842105263157"/>
    <n v="55"/>
    <n v="1.4473684210526316"/>
    <n v="237"/>
    <n v="6.2368421052631575"/>
  </r>
  <r>
    <x v="108"/>
    <x v="11"/>
    <x v="211"/>
    <n v="25"/>
    <n v="250"/>
    <n v="21"/>
    <n v="1080"/>
    <n v="45"/>
    <n v="2.1428571428571428"/>
    <n v="17"/>
    <n v="33"/>
    <n v="515"/>
    <n v="0"/>
    <n v="0"/>
    <n v="0"/>
    <n v="0"/>
    <e v="#DIV/0!"/>
    <n v="8"/>
    <n v="10"/>
    <n v="0.8"/>
    <n v="14"/>
    <n v="13"/>
    <n v="27"/>
    <n v="140"/>
    <n v="130"/>
    <n v="270"/>
    <n v="1.2857142857142858"/>
    <n v="4"/>
    <n v="0.19047619047619047"/>
    <n v="1"/>
    <n v="10"/>
    <n v="4.7619047619047616E-2"/>
    <n v="60"/>
    <n v="6"/>
    <n v="0.2857142857142857"/>
    <n v="20"/>
    <n v="1.6190476190476191"/>
    <n v="2"/>
    <n v="9.5238095238095233E-2"/>
    <n v="15"/>
    <n v="0.7142857142857143"/>
    <n v="42"/>
    <n v="2"/>
  </r>
  <r>
    <x v="109"/>
    <x v="11"/>
    <x v="212"/>
    <n v="34"/>
    <n v="340"/>
    <n v="2"/>
    <n v="130"/>
    <n v="-2"/>
    <n v="-1"/>
    <n v="0"/>
    <n v="2"/>
    <n v="0"/>
    <n v="0"/>
    <n v="0"/>
    <n v="0"/>
    <n v="0"/>
    <e v="#DIV/0!"/>
    <n v="0"/>
    <n v="2"/>
    <n v="0"/>
    <n v="1"/>
    <n v="4"/>
    <n v="5"/>
    <n v="10"/>
    <n v="40"/>
    <n v="50"/>
    <n v="2.5"/>
    <n v="0"/>
    <n v="0"/>
    <n v="1"/>
    <n v="10"/>
    <n v="0.5"/>
    <n v="10"/>
    <n v="1"/>
    <n v="0.5"/>
    <n v="10"/>
    <n v="3.5"/>
    <n v="1"/>
    <n v="0.5"/>
    <n v="4"/>
    <n v="2"/>
    <n v="0"/>
    <n v="0"/>
  </r>
  <r>
    <x v="87"/>
    <x v="12"/>
    <x v="213"/>
    <n v="29"/>
    <n v="290"/>
    <n v="67"/>
    <n v="24820"/>
    <n v="1348"/>
    <n v="20.119402985074625"/>
    <n v="669"/>
    <n v="1489"/>
    <n v="0.44929482874412358"/>
    <n v="157"/>
    <n v="1570"/>
    <n v="414"/>
    <n v="4140"/>
    <n v="0.37922705314009664"/>
    <n v="425"/>
    <n v="512"/>
    <n v="0.830078125"/>
    <n v="134"/>
    <n v="326"/>
    <n v="460"/>
    <n v="1340"/>
    <n v="3260"/>
    <n v="4600"/>
    <n v="6.8656716417910451"/>
    <n v="171"/>
    <n v="2.5522388059701493"/>
    <n v="52"/>
    <n v="520"/>
    <n v="0.77611940298507465"/>
    <n v="320"/>
    <n v="32"/>
    <n v="0.47761194029850745"/>
    <n v="1750"/>
    <n v="8.1194029850746272"/>
    <n v="175"/>
    <n v="2.6119402985074629"/>
    <n v="205"/>
    <n v="3.0597014925373136"/>
    <n v="1920"/>
    <n v="28.656716417910449"/>
  </r>
  <r>
    <x v="75"/>
    <x v="12"/>
    <x v="214"/>
    <n v="31"/>
    <n v="310"/>
    <n v="1"/>
    <n v="370"/>
    <n v="20"/>
    <n v="20"/>
    <n v="5"/>
    <n v="14"/>
    <n v="0.35714285714285715"/>
    <n v="0"/>
    <n v="0"/>
    <n v="0"/>
    <n v="0"/>
    <e v="#DIV/0!"/>
    <n v="1"/>
    <n v="2"/>
    <n v="0.5"/>
    <n v="6"/>
    <n v="12"/>
    <n v="18"/>
    <n v="60"/>
    <n v="120"/>
    <n v="180"/>
    <n v="18"/>
    <n v="2"/>
    <n v="2"/>
    <n v="0"/>
    <n v="0"/>
    <n v="0"/>
    <n v="10"/>
    <n v="1"/>
    <n v="1"/>
    <n v="10"/>
    <n v="19"/>
    <n v="1"/>
    <n v="1"/>
    <n v="1"/>
    <n v="1"/>
    <n v="11"/>
    <n v="11"/>
  </r>
  <r>
    <x v="100"/>
    <x v="12"/>
    <x v="215"/>
    <n v="30"/>
    <n v="300"/>
    <n v="66"/>
    <n v="21640"/>
    <n v="1072"/>
    <n v="16.242424242424242"/>
    <n v="255"/>
    <n v="400"/>
    <n v="0.63749999999999996"/>
    <n v="0"/>
    <n v="0"/>
    <n v="0"/>
    <n v="0"/>
    <e v="#DIV/0!"/>
    <n v="179"/>
    <n v="258"/>
    <n v="0.69379844961240311"/>
    <n v="269"/>
    <n v="434"/>
    <n v="703"/>
    <n v="2690"/>
    <n v="4340"/>
    <n v="7030"/>
    <n v="10.651515151515152"/>
    <n v="62"/>
    <n v="0.93939393939393945"/>
    <n v="42"/>
    <n v="420"/>
    <n v="0.63636363636363635"/>
    <n v="750"/>
    <n v="75"/>
    <n v="1.1363636363636365"/>
    <n v="870"/>
    <n v="12.424242424242426"/>
    <n v="87"/>
    <n v="1.3181818181818181"/>
    <n v="188"/>
    <n v="2.8484848484848486"/>
    <n v="689"/>
    <n v="10.439393939393939"/>
  </r>
  <r>
    <x v="102"/>
    <x v="12"/>
    <x v="216"/>
    <n v="27"/>
    <n v="270"/>
    <n v="80"/>
    <n v="26780"/>
    <n v="1057"/>
    <n v="13.2125"/>
    <n v="527"/>
    <n v="1249"/>
    <n v="0.42193755004003203"/>
    <n v="155"/>
    <n v="1550"/>
    <n v="436"/>
    <n v="4360"/>
    <n v="0.35550458715596328"/>
    <n v="237"/>
    <n v="311"/>
    <n v="0.76205787781350487"/>
    <n v="64"/>
    <n v="361"/>
    <n v="425"/>
    <n v="640"/>
    <n v="3610"/>
    <n v="4250"/>
    <n v="5.3125"/>
    <n v="218"/>
    <n v="2.7250000000000001"/>
    <n v="100"/>
    <n v="1000"/>
    <n v="1.25"/>
    <n v="240"/>
    <n v="24"/>
    <n v="0.3"/>
    <n v="1340"/>
    <n v="6.8624999999999998"/>
    <n v="134"/>
    <n v="1.675"/>
    <n v="226"/>
    <n v="2.8250000000000002"/>
    <n v="1446"/>
    <n v="18.074999999999999"/>
  </r>
  <r>
    <x v="88"/>
    <x v="12"/>
    <x v="217"/>
    <n v="29"/>
    <n v="290"/>
    <n v="68"/>
    <n v="23130"/>
    <n v="805"/>
    <n v="11.838235294117647"/>
    <n v="377"/>
    <n v="882"/>
    <n v="0.42743764172335602"/>
    <n v="93"/>
    <n v="930"/>
    <n v="258"/>
    <n v="2580"/>
    <n v="0.36046511627906974"/>
    <n v="101"/>
    <n v="128"/>
    <n v="0.7890625"/>
    <n v="51"/>
    <n v="143"/>
    <n v="194"/>
    <n v="510"/>
    <n v="1430"/>
    <n v="1940"/>
    <n v="2.8529411764705883"/>
    <n v="372"/>
    <n v="5.4705882352941178"/>
    <n v="94"/>
    <n v="940"/>
    <n v="1.3823529411764706"/>
    <n v="140"/>
    <n v="14"/>
    <n v="0.20588235294117646"/>
    <n v="1550"/>
    <n v="4.4411764705882355"/>
    <n v="155"/>
    <n v="2.2794117647058822"/>
    <n v="130"/>
    <n v="1.911764705882353"/>
    <n v="948"/>
    <n v="13.941176470588236"/>
  </r>
  <r>
    <x v="86"/>
    <x v="12"/>
    <x v="218"/>
    <n v="30"/>
    <n v="300"/>
    <n v="29"/>
    <n v="6820"/>
    <n v="325"/>
    <n v="11.206896551724139"/>
    <n v="154"/>
    <n v="267"/>
    <n v="577"/>
    <n v="0"/>
    <n v="0"/>
    <n v="0"/>
    <n v="0"/>
    <e v="#DIV/0!"/>
    <n v="105"/>
    <n v="130"/>
    <n v="0.80769230769230771"/>
    <n v="60"/>
    <n v="85"/>
    <n v="145"/>
    <n v="600"/>
    <n v="850"/>
    <n v="1450"/>
    <n v="5"/>
    <n v="13"/>
    <n v="0.44827586206896552"/>
    <n v="10"/>
    <n v="100"/>
    <n v="0.34482758620689657"/>
    <n v="210"/>
    <n v="21"/>
    <n v="0.72413793103448276"/>
    <n v="500"/>
    <n v="6.068965517241379"/>
    <n v="50"/>
    <n v="1.7241379310344827"/>
    <n v="89"/>
    <n v="3.0689655172413794"/>
    <n v="413"/>
    <n v="14.241379310344827"/>
  </r>
  <r>
    <x v="110"/>
    <x v="12"/>
    <x v="219"/>
    <n v="40"/>
    <n v="400"/>
    <n v="76"/>
    <n v="20430"/>
    <n v="714"/>
    <n v="9.3947368421052637"/>
    <n v="152"/>
    <n v="409"/>
    <n v="372"/>
    <n v="114"/>
    <n v="1140"/>
    <n v="325"/>
    <n v="3250"/>
    <n v="0.35076923076923078"/>
    <n v="40"/>
    <n v="48"/>
    <n v="0.83333333333333337"/>
    <n v="50"/>
    <n v="273"/>
    <n v="323"/>
    <n v="500"/>
    <n v="2730"/>
    <n v="3230"/>
    <n v="4.25"/>
    <n v="249"/>
    <n v="3.2763157894736841"/>
    <n v="125"/>
    <n v="1250"/>
    <n v="1.6447368421052631"/>
    <n v="250"/>
    <n v="25"/>
    <n v="0.32894736842105265"/>
    <n v="760"/>
    <n v="6.2236842105263159"/>
    <n v="76"/>
    <n v="1"/>
    <n v="125"/>
    <n v="1.6447368421052631"/>
    <n v="458"/>
    <n v="6.0263157894736841"/>
  </r>
  <r>
    <x v="111"/>
    <x v="12"/>
    <x v="220"/>
    <n v="35"/>
    <n v="350"/>
    <n v="18"/>
    <n v="4310"/>
    <n v="125"/>
    <n v="6.9444444444444446"/>
    <n v="56"/>
    <n v="93"/>
    <n v="0.60215053763440862"/>
    <n v="0"/>
    <n v="0"/>
    <n v="0"/>
    <n v="0"/>
    <e v="#DIV/0!"/>
    <n v="17"/>
    <n v="40"/>
    <n v="0.42499999999999999"/>
    <n v="34"/>
    <n v="61"/>
    <n v="95"/>
    <n v="340"/>
    <n v="610"/>
    <n v="950"/>
    <n v="5.2777777777777777"/>
    <n v="8"/>
    <n v="0.44444444444444442"/>
    <n v="16"/>
    <n v="160"/>
    <n v="0.88888888888888884"/>
    <n v="170"/>
    <n v="17"/>
    <n v="0.94444444444444442"/>
    <n v="160"/>
    <n v="7.1111111111111107"/>
    <n v="16"/>
    <n v="0.88888888888888884"/>
    <n v="64"/>
    <n v="3.5555555555555554"/>
    <n v="129"/>
    <n v="7.166666666666667"/>
  </r>
  <r>
    <x v="112"/>
    <x v="12"/>
    <x v="221"/>
    <n v="38"/>
    <n v="380"/>
    <n v="21"/>
    <n v="2960"/>
    <n v="120"/>
    <n v="5.7142857142857144"/>
    <n v="55"/>
    <n v="142"/>
    <n v="387"/>
    <n v="22"/>
    <n v="220"/>
    <n v="69"/>
    <n v="690"/>
    <n v="0.3188405797101449"/>
    <n v="14"/>
    <n v="20"/>
    <n v="0.7"/>
    <n v="11"/>
    <n v="72"/>
    <n v="83"/>
    <n v="110"/>
    <n v="720"/>
    <n v="830"/>
    <n v="3.9523809523809526"/>
    <n v="6"/>
    <n v="0.2857142857142857"/>
    <n v="13"/>
    <n v="130"/>
    <n v="0.61904761904761907"/>
    <n v="150"/>
    <n v="15"/>
    <n v="0.7142857142857143"/>
    <n v="100"/>
    <n v="5.2857142857142865"/>
    <n v="10"/>
    <n v="0.47619047619047616"/>
    <n v="40"/>
    <n v="1.9047619047619047"/>
    <n v="146"/>
    <n v="6.9523809523809526"/>
  </r>
  <r>
    <x v="103"/>
    <x v="12"/>
    <x v="222"/>
    <n v="23"/>
    <n v="230"/>
    <n v="45"/>
    <n v="9960"/>
    <n v="253"/>
    <n v="5.6222222222222218"/>
    <n v="109"/>
    <n v="275"/>
    <n v="396"/>
    <n v="51"/>
    <n v="510"/>
    <n v="127"/>
    <n v="1270"/>
    <n v="0.40157480314960631"/>
    <n v="36"/>
    <n v="47"/>
    <n v="0.76595744680851063"/>
    <n v="31"/>
    <n v="105"/>
    <n v="136"/>
    <n v="310"/>
    <n v="1050"/>
    <n v="1360"/>
    <n v="3.0222222222222221"/>
    <n v="75"/>
    <n v="1.6666666666666667"/>
    <n v="43"/>
    <n v="430"/>
    <n v="0.9555555555555556"/>
    <n v="70"/>
    <n v="7"/>
    <n v="0.15555555555555556"/>
    <n v="370"/>
    <n v="4.1333333333333329"/>
    <n v="37"/>
    <n v="0.82222222222222219"/>
    <n v="99"/>
    <n v="2.2000000000000002"/>
    <n v="305"/>
    <n v="6.7777777777777777"/>
  </r>
  <r>
    <x v="113"/>
    <x v="12"/>
    <x v="223"/>
    <n v="29"/>
    <n v="290"/>
    <n v="56"/>
    <n v="8620"/>
    <n v="288"/>
    <n v="5.1428571428571432"/>
    <n v="182"/>
    <n v="380"/>
    <n v="479"/>
    <n v="59"/>
    <n v="590"/>
    <n v="140"/>
    <n v="1400"/>
    <n v="0.42142857142857143"/>
    <n v="63"/>
    <n v="83"/>
    <n v="0.75903614457831325"/>
    <n v="34"/>
    <n v="85"/>
    <n v="119"/>
    <n v="340"/>
    <n v="850"/>
    <n v="1190"/>
    <n v="2.125"/>
    <n v="27"/>
    <n v="0.48214285714285715"/>
    <n v="16"/>
    <n v="160"/>
    <n v="0.2857142857142857"/>
    <n v="120"/>
    <n v="12"/>
    <n v="0.21428571428571427"/>
    <n v="500"/>
    <n v="2.625"/>
    <n v="50"/>
    <n v="0.8928571428571429"/>
    <n v="104"/>
    <n v="1.8571428571428572"/>
    <n v="486"/>
    <n v="8.6785714285714288"/>
  </r>
  <r>
    <x v="114"/>
    <x v="12"/>
    <x v="224"/>
    <n v="36"/>
    <n v="360"/>
    <n v="78"/>
    <n v="12630"/>
    <n v="389"/>
    <n v="4.9871794871794872"/>
    <n v="100"/>
    <n v="220"/>
    <n v="0.45454545454545453"/>
    <n v="53"/>
    <n v="530"/>
    <n v="134"/>
    <n v="1340"/>
    <n v="0.39552238805970147"/>
    <n v="22"/>
    <n v="25"/>
    <n v="0.88"/>
    <n v="41"/>
    <n v="102"/>
    <n v="143"/>
    <n v="410"/>
    <n v="1020"/>
    <n v="1430"/>
    <n v="1.8333333333333333"/>
    <n v="236"/>
    <n v="3.0256410256410255"/>
    <n v="69"/>
    <n v="690"/>
    <n v="0.88461538461538458"/>
    <n v="20"/>
    <n v="2"/>
    <n v="2.564102564102564E-2"/>
    <n v="860"/>
    <n v="2.7435897435897436"/>
    <n v="86"/>
    <n v="1.1025641025641026"/>
    <n v="127"/>
    <n v="1.6282051282051282"/>
    <n v="275"/>
    <n v="3.5256410256410255"/>
  </r>
  <r>
    <x v="104"/>
    <x v="12"/>
    <x v="225"/>
    <n v="30"/>
    <n v="300"/>
    <n v="81"/>
    <n v="16410"/>
    <n v="394"/>
    <n v="4.8641975308641978"/>
    <n v="178"/>
    <n v="430"/>
    <n v="0.413953488372093"/>
    <n v="149"/>
    <n v="1490"/>
    <n v="351"/>
    <n v="3510"/>
    <n v="0.42450142450142453"/>
    <n v="30"/>
    <n v="33"/>
    <n v="0.90909090909090906"/>
    <n v="17"/>
    <n v="135"/>
    <n v="152"/>
    <n v="170"/>
    <n v="1350"/>
    <n v="1520"/>
    <n v="1.8765432098765431"/>
    <n v="35"/>
    <n v="0.43209876543209874"/>
    <n v="28"/>
    <n v="280"/>
    <n v="0.34567901234567899"/>
    <n v="80"/>
    <n v="8"/>
    <n v="9.8765432098765427E-2"/>
    <n v="120"/>
    <n v="2.3209876543209873"/>
    <n v="12"/>
    <n v="0.14814814814814814"/>
    <n v="97"/>
    <n v="1.1975308641975309"/>
    <n v="535"/>
    <n v="6.6049382716049383"/>
  </r>
  <r>
    <x v="115"/>
    <x v="12"/>
    <x v="226"/>
    <n v="28"/>
    <n v="280"/>
    <n v="46"/>
    <n v="7110"/>
    <n v="171"/>
    <n v="3.7173913043478262"/>
    <n v="64"/>
    <n v="175"/>
    <n v="0.36571428571428571"/>
    <n v="22"/>
    <n v="220"/>
    <n v="71"/>
    <n v="710"/>
    <n v="0.30985915492957744"/>
    <n v="16"/>
    <n v="39"/>
    <n v="0.41025641025641024"/>
    <n v="29"/>
    <n v="71"/>
    <n v="100"/>
    <n v="290"/>
    <n v="710"/>
    <n v="1000"/>
    <n v="2.1739130434782608"/>
    <n v="40"/>
    <n v="0.86956521739130432"/>
    <n v="34"/>
    <n v="340"/>
    <n v="0.73913043478260865"/>
    <n v="60"/>
    <n v="6"/>
    <n v="0.13043478260869565"/>
    <n v="140"/>
    <n v="3.043478260869565"/>
    <n v="14"/>
    <n v="0.30434782608695654"/>
    <n v="27"/>
    <n v="0.58695652173913049"/>
    <n v="166"/>
    <n v="3.6086956521739131"/>
  </r>
  <r>
    <x v="3"/>
    <x v="12"/>
    <x v="227"/>
    <n v="40"/>
    <n v="400"/>
    <n v="39"/>
    <n v="3920"/>
    <n v="128"/>
    <n v="3.2820512820512819"/>
    <n v="45"/>
    <n v="83"/>
    <n v="542"/>
    <n v="1"/>
    <n v="10"/>
    <n v="1"/>
    <n v="10"/>
    <n v="1"/>
    <n v="6"/>
    <n v="13"/>
    <n v="0.46153846153846156"/>
    <n v="24"/>
    <n v="65"/>
    <n v="89"/>
    <n v="240"/>
    <n v="650"/>
    <n v="890"/>
    <n v="2.2820512820512819"/>
    <n v="21"/>
    <n v="0.53846153846153844"/>
    <n v="10"/>
    <n v="100"/>
    <n v="0.25641025641025639"/>
    <n v="160"/>
    <n v="16"/>
    <n v="0.41025641025641024"/>
    <n v="80"/>
    <n v="2.9487179487179485"/>
    <n v="8"/>
    <n v="0.20512820512820512"/>
    <n v="52"/>
    <n v="1.3333333333333333"/>
    <n v="97"/>
    <n v="2.4871794871794872"/>
  </r>
  <r>
    <x v="50"/>
    <x v="12"/>
    <x v="228"/>
    <n v="33"/>
    <n v="330"/>
    <n v="1"/>
    <n v="290"/>
    <n v="3"/>
    <n v="3"/>
    <n v="1"/>
    <n v="11"/>
    <n v="91"/>
    <n v="1"/>
    <n v="10"/>
    <n v="4"/>
    <n v="40"/>
    <n v="0.25"/>
    <n v="2"/>
    <n v="2"/>
    <n v="1"/>
    <n v="5"/>
    <n v="5"/>
    <n v="10"/>
    <n v="50"/>
    <n v="50"/>
    <n v="100"/>
    <n v="10"/>
    <n v="1"/>
    <n v="1"/>
    <n v="0"/>
    <n v="0"/>
    <n v="0"/>
    <n v="0"/>
    <n v="0"/>
    <n v="0"/>
    <n v="20"/>
    <n v="10"/>
    <n v="2"/>
    <n v="2"/>
    <n v="1"/>
    <n v="1"/>
    <n v="5"/>
    <n v="5"/>
  </r>
  <r>
    <x v="0"/>
    <x v="12"/>
    <x v="229"/>
    <n v="39"/>
    <n v="390"/>
    <n v="24"/>
    <n v="2500"/>
    <n v="67"/>
    <n v="2.7916666666666665"/>
    <n v="17"/>
    <n v="53"/>
    <n v="0.32075471698113206"/>
    <n v="0"/>
    <n v="0"/>
    <n v="0"/>
    <n v="0"/>
    <e v="#DIV/0!"/>
    <n v="8"/>
    <n v="19"/>
    <n v="0.42105263157894735"/>
    <n v="24"/>
    <n v="56"/>
    <n v="80"/>
    <n v="240"/>
    <n v="560"/>
    <n v="800"/>
    <n v="3.3333333333333335"/>
    <n v="14"/>
    <n v="0.58333333333333337"/>
    <n v="7"/>
    <n v="70"/>
    <n v="0.29166666666666669"/>
    <n v="140"/>
    <n v="14"/>
    <n v="0.58333333333333337"/>
    <n v="150"/>
    <n v="4.2083333333333339"/>
    <n v="15"/>
    <n v="0.625"/>
    <n v="28"/>
    <n v="1.1666666666666667"/>
    <n v="42"/>
    <n v="1.75"/>
  </r>
  <r>
    <x v="116"/>
    <x v="12"/>
    <x v="230"/>
    <n v="30"/>
    <n v="300"/>
    <n v="57"/>
    <n v="4350"/>
    <n v="84"/>
    <n v="1.4736842105263157"/>
    <n v="50"/>
    <n v="116"/>
    <n v="431"/>
    <n v="14"/>
    <n v="140"/>
    <n v="41"/>
    <n v="410"/>
    <n v="0.34146341463414637"/>
    <n v="11"/>
    <n v="19"/>
    <n v="0.57894736842105265"/>
    <n v="5"/>
    <n v="43"/>
    <n v="48"/>
    <n v="50"/>
    <n v="430"/>
    <n v="480"/>
    <n v="0.84210526315789469"/>
    <n v="29"/>
    <n v="0.50877192982456143"/>
    <n v="13"/>
    <n v="130"/>
    <n v="0.22807017543859648"/>
    <n v="40"/>
    <n v="4"/>
    <n v="7.0175438596491224E-2"/>
    <n v="170"/>
    <n v="1.1403508771929824"/>
    <n v="17"/>
    <n v="0.2982456140350877"/>
    <n v="44"/>
    <n v="0.77192982456140347"/>
    <n v="125"/>
    <n v="2.192982456140351"/>
  </r>
  <r>
    <x v="117"/>
    <x v="12"/>
    <x v="231"/>
    <n v="28"/>
    <n v="280"/>
    <n v="2"/>
    <n v="260"/>
    <n v="-3"/>
    <n v="-1.5"/>
    <n v="0"/>
    <n v="1"/>
    <n v="0"/>
    <n v="0"/>
    <n v="0"/>
    <n v="0"/>
    <n v="0"/>
    <e v="#DIV/0!"/>
    <n v="0"/>
    <n v="0"/>
    <e v="#DIV/0!"/>
    <n v="1"/>
    <n v="2"/>
    <n v="3"/>
    <n v="10"/>
    <n v="20"/>
    <n v="30"/>
    <n v="1.5"/>
    <n v="0"/>
    <n v="0"/>
    <n v="0"/>
    <n v="0"/>
    <n v="0"/>
    <n v="10"/>
    <n v="1"/>
    <n v="0.5"/>
    <n v="30"/>
    <n v="2"/>
    <n v="3"/>
    <n v="1.5"/>
    <n v="3"/>
    <n v="1.5"/>
    <n v="0"/>
    <n v="0"/>
  </r>
  <r>
    <x v="87"/>
    <x v="13"/>
    <x v="232"/>
    <n v="30"/>
    <n v="300"/>
    <n v="77"/>
    <n v="29820"/>
    <n v="1718"/>
    <n v="22.311688311688311"/>
    <n v="743"/>
    <n v="1643"/>
    <n v="0.45222154595252589"/>
    <n v="167"/>
    <n v="1670"/>
    <n v="415"/>
    <n v="4150"/>
    <n v="0.40240963855421685"/>
    <n v="459"/>
    <n v="541"/>
    <n v="0.84842883548983361"/>
    <n v="145"/>
    <n v="477"/>
    <n v="622"/>
    <n v="1450"/>
    <n v="4770"/>
    <n v="6220"/>
    <n v="8.0779220779220786"/>
    <n v="242"/>
    <n v="3.1428571428571428"/>
    <n v="95"/>
    <n v="950"/>
    <n v="1.2337662337662338"/>
    <n v="510"/>
    <n v="51"/>
    <n v="0.66233766233766234"/>
    <n v="1980"/>
    <n v="9.9740259740259738"/>
    <n v="198"/>
    <n v="2.5714285714285716"/>
    <n v="224"/>
    <n v="2.9090909090909092"/>
    <n v="2112"/>
    <n v="27.428571428571427"/>
  </r>
  <r>
    <x v="100"/>
    <x v="13"/>
    <x v="233"/>
    <n v="31"/>
    <n v="310"/>
    <n v="55"/>
    <n v="16620"/>
    <n v="763"/>
    <n v="13.872727272727273"/>
    <n v="191"/>
    <n v="322"/>
    <n v="0.59316770186335399"/>
    <n v="0"/>
    <n v="0"/>
    <n v="1"/>
    <n v="10"/>
    <n v="0"/>
    <n v="98"/>
    <n v="155"/>
    <n v="0.63225806451612898"/>
    <n v="159"/>
    <n v="370"/>
    <n v="529"/>
    <n v="1590"/>
    <n v="3700"/>
    <n v="5290"/>
    <n v="9.6181818181818191"/>
    <n v="59"/>
    <n v="1.0727272727272728"/>
    <n v="36"/>
    <n v="360"/>
    <n v="0.65454545454545454"/>
    <n v="630"/>
    <n v="63"/>
    <n v="1.1454545454545455"/>
    <n v="710"/>
    <n v="11.41818181818182"/>
    <n v="71"/>
    <n v="1.290909090909091"/>
    <n v="145"/>
    <n v="2.6363636363636362"/>
    <n v="480"/>
    <n v="8.7272727272727266"/>
  </r>
  <r>
    <x v="118"/>
    <x v="13"/>
    <x v="234"/>
    <n v="28"/>
    <n v="280"/>
    <n v="42"/>
    <n v="12570"/>
    <n v="435"/>
    <n v="10.357142857142858"/>
    <n v="222"/>
    <n v="502"/>
    <n v="0.44223107569721115"/>
    <n v="30"/>
    <n v="300"/>
    <n v="108"/>
    <n v="1080"/>
    <n v="0.27777777777777779"/>
    <n v="84"/>
    <n v="102"/>
    <n v="0.82352941176470584"/>
    <n v="69"/>
    <n v="153"/>
    <n v="222"/>
    <n v="690"/>
    <n v="1530"/>
    <n v="2220"/>
    <n v="5.2857142857142856"/>
    <n v="45"/>
    <n v="1.0714285714285714"/>
    <n v="14"/>
    <n v="140"/>
    <n v="0.33333333333333331"/>
    <n v="520"/>
    <n v="52"/>
    <n v="1.2380952380952381"/>
    <n v="580"/>
    <n v="6.8571428571428568"/>
    <n v="58"/>
    <n v="1.3809523809523809"/>
    <n v="100"/>
    <n v="2.3809523809523809"/>
    <n v="558"/>
    <n v="13.285714285714286"/>
  </r>
  <r>
    <x v="102"/>
    <x v="13"/>
    <x v="235"/>
    <n v="28"/>
    <n v="280"/>
    <n v="74"/>
    <n v="24210"/>
    <n v="760"/>
    <n v="10.27027027027027"/>
    <n v="396"/>
    <n v="955"/>
    <n v="0.41465968586387436"/>
    <n v="189"/>
    <n v="1890"/>
    <n v="480"/>
    <n v="4800"/>
    <n v="0.39374999999999999"/>
    <n v="90"/>
    <n v="138"/>
    <n v="0.65217391304347827"/>
    <n v="35"/>
    <n v="261"/>
    <n v="296"/>
    <n v="350"/>
    <n v="2610"/>
    <n v="2960"/>
    <n v="4"/>
    <n v="219"/>
    <n v="2.9594594594594597"/>
    <n v="65"/>
    <n v="650"/>
    <n v="0.8783783783783784"/>
    <n v="200"/>
    <n v="20"/>
    <n v="0.27027027027027029"/>
    <n v="1080"/>
    <n v="5.1486486486486491"/>
    <n v="108"/>
    <n v="1.4594594594594594"/>
    <n v="196"/>
    <n v="2.6486486486486487"/>
    <n v="1071"/>
    <n v="14.472972972972974"/>
  </r>
  <r>
    <x v="86"/>
    <x v="13"/>
    <x v="236"/>
    <n v="31"/>
    <n v="310"/>
    <n v="65"/>
    <n v="14660"/>
    <n v="636"/>
    <n v="9.7846153846153854"/>
    <n v="311"/>
    <n v="558"/>
    <n v="557"/>
    <n v="0"/>
    <n v="0"/>
    <n v="0"/>
    <n v="0"/>
    <e v="#DIV/0!"/>
    <n v="150"/>
    <n v="203"/>
    <n v="0.73891625615763545"/>
    <n v="112"/>
    <n v="208"/>
    <n v="320"/>
    <n v="1120"/>
    <n v="2080"/>
    <n v="3200"/>
    <n v="4.9230769230769234"/>
    <n v="34"/>
    <n v="0.52307692307692311"/>
    <n v="23"/>
    <n v="230"/>
    <n v="0.35384615384615387"/>
    <n v="370"/>
    <n v="37"/>
    <n v="0.56923076923076921"/>
    <n v="910"/>
    <n v="5.8461538461538467"/>
    <n v="91"/>
    <n v="1.4"/>
    <n v="159"/>
    <n v="2.4461538461538463"/>
    <n v="772"/>
    <n v="11.876923076923077"/>
  </r>
  <r>
    <x v="88"/>
    <x v="13"/>
    <x v="237"/>
    <n v="30"/>
    <n v="300"/>
    <n v="65"/>
    <n v="20170"/>
    <n v="609"/>
    <n v="9.3692307692307697"/>
    <n v="240"/>
    <n v="608"/>
    <n v="0.39473684210526316"/>
    <n v="62"/>
    <n v="620"/>
    <n v="195"/>
    <n v="1950"/>
    <n v="0.31794871794871793"/>
    <n v="88"/>
    <n v="122"/>
    <n v="0.72131147540983609"/>
    <n v="54"/>
    <n v="143"/>
    <n v="197"/>
    <n v="540"/>
    <n v="1430"/>
    <n v="1970"/>
    <n v="3.0307692307692307"/>
    <n v="365"/>
    <n v="5.615384615384615"/>
    <n v="78"/>
    <n v="780"/>
    <n v="1.2"/>
    <n v="270"/>
    <n v="27"/>
    <n v="0.41538461538461541"/>
    <n v="1290"/>
    <n v="4.6461538461538456"/>
    <n v="129"/>
    <n v="1.9846153846153847"/>
    <n v="157"/>
    <n v="2.4153846153846152"/>
    <n v="630"/>
    <n v="9.6923076923076916"/>
  </r>
  <r>
    <x v="111"/>
    <x v="13"/>
    <x v="238"/>
    <n v="36"/>
    <n v="360"/>
    <n v="32"/>
    <n v="6330"/>
    <n v="194"/>
    <n v="6.0625"/>
    <n v="63"/>
    <n v="123"/>
    <n v="0.51219512195121952"/>
    <n v="0"/>
    <n v="0"/>
    <n v="1"/>
    <n v="10"/>
    <n v="0"/>
    <n v="11"/>
    <n v="19"/>
    <n v="0.57894736842105265"/>
    <n v="36"/>
    <n v="98"/>
    <n v="134"/>
    <n v="360"/>
    <n v="980"/>
    <n v="1340"/>
    <n v="4.1875"/>
    <n v="50"/>
    <n v="1.5625"/>
    <n v="25"/>
    <n v="250"/>
    <n v="0.78125"/>
    <n v="270"/>
    <n v="27"/>
    <n v="0.84375"/>
    <n v="260"/>
    <n v="5.8125"/>
    <n v="26"/>
    <n v="0.8125"/>
    <n v="85"/>
    <n v="2.65625"/>
    <n v="137"/>
    <n v="4.28125"/>
  </r>
  <r>
    <x v="119"/>
    <x v="13"/>
    <x v="239"/>
    <n v="31"/>
    <n v="310"/>
    <n v="31"/>
    <n v="5880"/>
    <n v="181"/>
    <n v="5.838709677419355"/>
    <n v="68"/>
    <n v="160"/>
    <n v="425"/>
    <n v="17"/>
    <n v="170"/>
    <n v="40"/>
    <n v="400"/>
    <n v="0.42499999999999999"/>
    <n v="20"/>
    <n v="24"/>
    <n v="0.83333333333333337"/>
    <n v="10"/>
    <n v="47"/>
    <n v="57"/>
    <n v="100"/>
    <n v="470"/>
    <n v="570"/>
    <n v="1.8387096774193548"/>
    <n v="110"/>
    <n v="3.5483870967741935"/>
    <n v="22"/>
    <n v="220"/>
    <n v="0.70967741935483875"/>
    <n v="30"/>
    <n v="3"/>
    <n v="9.6774193548387094E-2"/>
    <n v="420"/>
    <n v="2.6451612903225805"/>
    <n v="42"/>
    <n v="1.3548387096774193"/>
    <n v="46"/>
    <n v="1.4838709677419355"/>
    <n v="173"/>
    <n v="5.580645161290323"/>
  </r>
  <r>
    <x v="103"/>
    <x v="13"/>
    <x v="240"/>
    <n v="24"/>
    <n v="240"/>
    <n v="74"/>
    <n v="19620"/>
    <n v="430"/>
    <n v="5.8108108108108105"/>
    <n v="183"/>
    <n v="484"/>
    <n v="378"/>
    <n v="76"/>
    <n v="760"/>
    <n v="228"/>
    <n v="2280"/>
    <n v="0.33333333333333331"/>
    <n v="53"/>
    <n v="71"/>
    <n v="0.74647887323943662"/>
    <n v="81"/>
    <n v="227"/>
    <n v="308"/>
    <n v="810"/>
    <n v="2270"/>
    <n v="3080"/>
    <n v="4.1621621621621623"/>
    <n v="129"/>
    <n v="1.7432432432432432"/>
    <n v="92"/>
    <n v="920"/>
    <n v="1.2432432432432432"/>
    <n v="130"/>
    <n v="13"/>
    <n v="0.17567567567567569"/>
    <n v="790"/>
    <n v="5.5810810810810807"/>
    <n v="79"/>
    <n v="1.0675675675675675"/>
    <n v="209"/>
    <n v="2.8243243243243241"/>
    <n v="495"/>
    <n v="6.6891891891891895"/>
  </r>
  <r>
    <x v="114"/>
    <x v="13"/>
    <x v="241"/>
    <n v="37"/>
    <n v="370"/>
    <n v="66"/>
    <n v="12830"/>
    <n v="382"/>
    <n v="5.7878787878787881"/>
    <n v="88"/>
    <n v="191"/>
    <n v="0.4607329842931937"/>
    <n v="65"/>
    <n v="650"/>
    <n v="140"/>
    <n v="1400"/>
    <n v="0.4642857142857143"/>
    <n v="11"/>
    <n v="12"/>
    <n v="0.91666666666666663"/>
    <n v="36"/>
    <n v="93"/>
    <n v="129"/>
    <n v="360"/>
    <n v="930"/>
    <n v="1290"/>
    <n v="1.9545454545454546"/>
    <n v="228"/>
    <n v="3.4545454545454546"/>
    <n v="67"/>
    <n v="670"/>
    <n v="1.0151515151515151"/>
    <n v="20"/>
    <n v="2"/>
    <n v="3.0303030303030304E-2"/>
    <n v="600"/>
    <n v="3"/>
    <n v="60"/>
    <n v="0.90909090909090906"/>
    <n v="132"/>
    <n v="2"/>
    <n v="252"/>
    <n v="3.8181818181818183"/>
  </r>
  <r>
    <x v="120"/>
    <x v="13"/>
    <x v="242"/>
    <n v="22"/>
    <n v="220"/>
    <n v="81"/>
    <n v="18750"/>
    <n v="456"/>
    <n v="5.6296296296296298"/>
    <n v="294"/>
    <n v="687"/>
    <n v="0.42794759825327511"/>
    <n v="130"/>
    <n v="1300"/>
    <n v="358"/>
    <n v="3580"/>
    <n v="0.36312849162011174"/>
    <n v="106"/>
    <n v="128"/>
    <n v="0.828125"/>
    <n v="19"/>
    <n v="102"/>
    <n v="121"/>
    <n v="190"/>
    <n v="1020"/>
    <n v="1210"/>
    <n v="1.4938271604938271"/>
    <n v="66"/>
    <n v="0.81481481481481477"/>
    <n v="44"/>
    <n v="440"/>
    <n v="0.54320987654320985"/>
    <n v="70"/>
    <n v="7"/>
    <n v="8.6419753086419748E-2"/>
    <n v="470"/>
    <n v="2.1234567901234565"/>
    <n v="47"/>
    <n v="0.58024691358024694"/>
    <n v="144"/>
    <n v="1.7777777777777777"/>
    <n v="824"/>
    <n v="10.17283950617284"/>
  </r>
  <r>
    <x v="121"/>
    <x v="13"/>
    <x v="243"/>
    <n v="25"/>
    <n v="250"/>
    <n v="46"/>
    <n v="3300"/>
    <n v="183"/>
    <n v="3.9782608695652173"/>
    <n v="33"/>
    <n v="61"/>
    <n v="0.54098360655737709"/>
    <n v="0"/>
    <n v="0"/>
    <n v="0"/>
    <n v="0"/>
    <e v="#DIV/0!"/>
    <n v="26"/>
    <n v="30"/>
    <n v="0.8666666666666667"/>
    <n v="37"/>
    <n v="92"/>
    <n v="129"/>
    <n v="370"/>
    <n v="920"/>
    <n v="1290"/>
    <n v="2.8043478260869565"/>
    <n v="14"/>
    <n v="0.30434782608695654"/>
    <n v="8"/>
    <n v="80"/>
    <n v="0.17391304347826086"/>
    <n v="300"/>
    <n v="30"/>
    <n v="0.65217391304347827"/>
    <n v="180"/>
    <n v="3.6304347826086958"/>
    <n v="18"/>
    <n v="0.39130434782608697"/>
    <n v="40"/>
    <n v="0.86956521739130432"/>
    <n v="92"/>
    <n v="2"/>
  </r>
  <r>
    <x v="122"/>
    <x v="13"/>
    <x v="244"/>
    <n v="34"/>
    <n v="340"/>
    <n v="29"/>
    <n v="3880"/>
    <n v="93"/>
    <n v="3.2068965517241379"/>
    <n v="56"/>
    <n v="141"/>
    <n v="397"/>
    <n v="17"/>
    <n v="170"/>
    <n v="54"/>
    <n v="540"/>
    <n v="0.31481481481481483"/>
    <n v="10"/>
    <n v="16"/>
    <n v="0.625"/>
    <n v="18"/>
    <n v="41"/>
    <n v="59"/>
    <n v="180"/>
    <n v="410"/>
    <n v="590"/>
    <n v="2.0344827586206895"/>
    <n v="17"/>
    <n v="0.58620689655172409"/>
    <n v="24"/>
    <n v="240"/>
    <n v="0.82758620689655171"/>
    <n v="80"/>
    <n v="8"/>
    <n v="0.27586206896551724"/>
    <n v="190"/>
    <n v="3.1379310344827585"/>
    <n v="19"/>
    <n v="0.65517241379310343"/>
    <n v="44"/>
    <n v="1.5172413793103448"/>
    <n v="139"/>
    <n v="4.7931034482758621"/>
  </r>
  <r>
    <x v="123"/>
    <x v="13"/>
    <x v="245"/>
    <n v="23"/>
    <n v="230"/>
    <n v="41"/>
    <n v="3980"/>
    <n v="115"/>
    <n v="2.8048780487804876"/>
    <n v="60"/>
    <n v="116"/>
    <n v="517"/>
    <n v="0"/>
    <n v="0"/>
    <n v="0"/>
    <n v="0"/>
    <e v="#DIV/0!"/>
    <n v="26"/>
    <n v="48"/>
    <n v="0.54166666666666663"/>
    <n v="38"/>
    <n v="71"/>
    <n v="109"/>
    <n v="380"/>
    <n v="710"/>
    <n v="1090"/>
    <n v="2.6585365853658538"/>
    <n v="8"/>
    <n v="0.1951219512195122"/>
    <n v="6"/>
    <n v="60"/>
    <n v="0.14634146341463414"/>
    <n v="200"/>
    <n v="20"/>
    <n v="0.48780487804878048"/>
    <n v="260"/>
    <n v="3.2926829268292686"/>
    <n v="26"/>
    <n v="0.63414634146341464"/>
    <n v="70"/>
    <n v="1.7073170731707317"/>
    <n v="146"/>
    <n v="3.5609756097560976"/>
  </r>
  <r>
    <x v="124"/>
    <x v="13"/>
    <x v="246"/>
    <n v="26"/>
    <n v="260"/>
    <n v="9"/>
    <n v="700"/>
    <n v="25"/>
    <n v="2.7777777777777777"/>
    <n v="7"/>
    <n v="21"/>
    <n v="333"/>
    <n v="1"/>
    <n v="10"/>
    <n v="6"/>
    <n v="60"/>
    <n v="0.16666666666666666"/>
    <n v="8"/>
    <n v="10"/>
    <n v="0.8"/>
    <n v="2"/>
    <n v="14"/>
    <n v="16"/>
    <n v="20"/>
    <n v="140"/>
    <n v="160"/>
    <n v="1.7777777777777777"/>
    <n v="2"/>
    <n v="0.22222222222222221"/>
    <n v="1"/>
    <n v="10"/>
    <n v="0.1111111111111111"/>
    <n v="60"/>
    <n v="6"/>
    <n v="0.66666666666666663"/>
    <n v="10"/>
    <n v="2.5555555555555554"/>
    <n v="1"/>
    <n v="0.1111111111111111"/>
    <n v="6"/>
    <n v="0.66666666666666663"/>
    <n v="23"/>
    <n v="2.5555555555555554"/>
  </r>
  <r>
    <x v="125"/>
    <x v="13"/>
    <x v="247"/>
    <n v="24"/>
    <n v="240"/>
    <n v="51"/>
    <n v="3720"/>
    <n v="84"/>
    <n v="1.6470588235294117"/>
    <n v="56"/>
    <n v="129"/>
    <n v="0.43410852713178294"/>
    <n v="5"/>
    <n v="50"/>
    <n v="12"/>
    <n v="120"/>
    <n v="0.41666666666666669"/>
    <n v="23"/>
    <n v="39"/>
    <n v="0.58974358974358976"/>
    <n v="13"/>
    <n v="31"/>
    <n v="44"/>
    <n v="130"/>
    <n v="310"/>
    <n v="440"/>
    <n v="0.86274509803921573"/>
    <n v="49"/>
    <n v="0.96078431372549022"/>
    <n v="19"/>
    <n v="190"/>
    <n v="0.37254901960784315"/>
    <n v="10"/>
    <n v="1"/>
    <n v="1.9607843137254902E-2"/>
    <n v="340"/>
    <n v="1.2549019607843137"/>
    <n v="34"/>
    <n v="0.66666666666666663"/>
    <n v="46"/>
    <n v="0.90196078431372551"/>
    <n v="140"/>
    <n v="2.7450980392156863"/>
  </r>
  <r>
    <x v="126"/>
    <x v="13"/>
    <x v="248"/>
    <n v="28"/>
    <n v="280"/>
    <n v="19"/>
    <n v="1480"/>
    <n v="23"/>
    <n v="1.2105263157894737"/>
    <n v="16"/>
    <n v="38"/>
    <n v="0.42105263157894735"/>
    <n v="0"/>
    <n v="0"/>
    <n v="0"/>
    <n v="0"/>
    <e v="#DIV/0!"/>
    <n v="8"/>
    <n v="12"/>
    <n v="0.66666666666666663"/>
    <n v="6"/>
    <n v="9"/>
    <n v="15"/>
    <n v="60"/>
    <n v="90"/>
    <n v="150"/>
    <n v="0.78947368421052633"/>
    <n v="4"/>
    <n v="0.21052631578947367"/>
    <n v="12"/>
    <n v="120"/>
    <n v="0.63157894736842102"/>
    <n v="0"/>
    <n v="0"/>
    <n v="0"/>
    <n v="100"/>
    <n v="1.4210526315789473"/>
    <n v="10"/>
    <n v="0.52631578947368418"/>
    <n v="12"/>
    <n v="0.63157894736842102"/>
    <n v="40"/>
    <n v="2.1052631578947367"/>
  </r>
  <r>
    <x v="127"/>
    <x v="13"/>
    <x v="249"/>
    <n v="26"/>
    <n v="260"/>
    <n v="2"/>
    <n v="20"/>
    <n v="0"/>
    <n v="0"/>
    <n v="0"/>
    <n v="0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x v="14"/>
    <x v="250"/>
    <n v="31"/>
    <n v="310"/>
    <n v="40"/>
    <n v="14280"/>
    <n v="737"/>
    <n v="18.425000000000001"/>
    <n v="358"/>
    <n v="806"/>
    <n v="0.44416873449131511"/>
    <n v="61"/>
    <n v="610"/>
    <n v="179"/>
    <n v="1790"/>
    <n v="0.34078212290502791"/>
    <n v="189"/>
    <n v="237"/>
    <n v="0.79746835443037978"/>
    <n v="72"/>
    <n v="192"/>
    <n v="264"/>
    <n v="720"/>
    <n v="1920"/>
    <n v="2640"/>
    <n v="6.6"/>
    <n v="122"/>
    <n v="3.05"/>
    <n v="40"/>
    <n v="400"/>
    <n v="1"/>
    <n v="170"/>
    <n v="17"/>
    <n v="0.42499999999999999"/>
    <n v="890"/>
    <n v="8.0250000000000004"/>
    <n v="89"/>
    <n v="2.2250000000000001"/>
    <n v="87"/>
    <n v="2.1749999999999998"/>
    <n v="966"/>
    <n v="24.15"/>
  </r>
  <r>
    <x v="128"/>
    <x v="14"/>
    <x v="251"/>
    <n v="26"/>
    <n v="260"/>
    <n v="16"/>
    <n v="4230"/>
    <n v="210"/>
    <n v="13.125"/>
    <n v="73"/>
    <n v="181"/>
    <n v="0.40331491712707185"/>
    <n v="26"/>
    <n v="260"/>
    <n v="70"/>
    <n v="700"/>
    <n v="0.37142857142857144"/>
    <n v="64"/>
    <n v="82"/>
    <n v="0.78048780487804881"/>
    <n v="14"/>
    <n v="59"/>
    <n v="73"/>
    <n v="140"/>
    <n v="590"/>
    <n v="730"/>
    <n v="4.5625"/>
    <n v="57"/>
    <n v="3.5625"/>
    <n v="15"/>
    <n v="150"/>
    <n v="0.9375"/>
    <n v="50"/>
    <n v="5"/>
    <n v="0.3125"/>
    <n v="250"/>
    <n v="5.8125"/>
    <n v="25"/>
    <n v="1.5625"/>
    <n v="25"/>
    <n v="1.5625"/>
    <n v="236"/>
    <n v="14.75"/>
  </r>
  <r>
    <x v="86"/>
    <x v="14"/>
    <x v="252"/>
    <n v="32"/>
    <n v="320"/>
    <n v="36"/>
    <n v="8650"/>
    <n v="419"/>
    <n v="11.638888888888889"/>
    <n v="169"/>
    <n v="311"/>
    <n v="543"/>
    <n v="0"/>
    <n v="0"/>
    <n v="3"/>
    <n v="30"/>
    <n v="0"/>
    <n v="94"/>
    <n v="127"/>
    <n v="0.74015748031496065"/>
    <n v="83"/>
    <n v="162"/>
    <n v="245"/>
    <n v="830"/>
    <n v="1620"/>
    <n v="2450"/>
    <n v="6.8055555555555554"/>
    <n v="37"/>
    <n v="1.0277777777777777"/>
    <n v="20"/>
    <n v="200"/>
    <n v="0.55555555555555558"/>
    <n v="340"/>
    <n v="34"/>
    <n v="0.94444444444444442"/>
    <n v="630"/>
    <n v="8.3055555555555554"/>
    <n v="63"/>
    <n v="1.75"/>
    <n v="111"/>
    <n v="3.0833333333333335"/>
    <n v="432"/>
    <n v="12"/>
  </r>
  <r>
    <x v="118"/>
    <x v="14"/>
    <x v="253"/>
    <n v="29"/>
    <n v="290"/>
    <n v="29"/>
    <n v="7850"/>
    <n v="320"/>
    <n v="11.03448275862069"/>
    <n v="164"/>
    <n v="361"/>
    <n v="0.45429362880886426"/>
    <n v="15"/>
    <n v="150"/>
    <n v="41"/>
    <n v="410"/>
    <n v="0.36585365853658536"/>
    <n v="87"/>
    <n v="107"/>
    <n v="0.81308411214953269"/>
    <n v="32"/>
    <n v="95"/>
    <n v="127"/>
    <n v="320"/>
    <n v="950"/>
    <n v="1270"/>
    <n v="4.3793103448275863"/>
    <n v="46"/>
    <n v="1.5862068965517242"/>
    <n v="2"/>
    <n v="20"/>
    <n v="6.8965517241379309E-2"/>
    <n v="270"/>
    <n v="27"/>
    <n v="0.93103448275862066"/>
    <n v="420"/>
    <n v="5.3793103448275863"/>
    <n v="42"/>
    <n v="1.4482758620689655"/>
    <n v="53"/>
    <n v="1.8275862068965518"/>
    <n v="430"/>
    <n v="14.827586206896552"/>
  </r>
  <r>
    <x v="129"/>
    <x v="14"/>
    <x v="254"/>
    <n v="23"/>
    <n v="230"/>
    <n v="45"/>
    <n v="14570"/>
    <n v="425"/>
    <n v="9.4444444444444446"/>
    <n v="204"/>
    <n v="511"/>
    <n v="399"/>
    <n v="62"/>
    <n v="620"/>
    <n v="176"/>
    <n v="1760"/>
    <n v="0.35227272727272729"/>
    <n v="63"/>
    <n v="78"/>
    <n v="0.80769230769230771"/>
    <n v="37"/>
    <n v="153"/>
    <n v="190"/>
    <n v="370"/>
    <n v="1530"/>
    <n v="1900"/>
    <n v="4.2222222222222223"/>
    <n v="150"/>
    <n v="3.3333333333333335"/>
    <n v="52"/>
    <n v="520"/>
    <n v="1.1555555555555554"/>
    <n v="120"/>
    <n v="12"/>
    <n v="0.26666666666666666"/>
    <n v="610"/>
    <n v="5.6444444444444439"/>
    <n v="61"/>
    <n v="1.3555555555555556"/>
    <n v="129"/>
    <n v="2.8666666666666667"/>
    <n v="533"/>
    <n v="11.844444444444445"/>
  </r>
  <r>
    <x v="130"/>
    <x v="14"/>
    <x v="255"/>
    <n v="33"/>
    <n v="330"/>
    <n v="42"/>
    <n v="12700"/>
    <n v="374"/>
    <n v="8.9047619047619051"/>
    <n v="147"/>
    <n v="354"/>
    <n v="0.4152542372881356"/>
    <n v="59"/>
    <n v="590"/>
    <n v="142"/>
    <n v="1420"/>
    <n v="0.41549295774647887"/>
    <n v="29"/>
    <n v="32"/>
    <n v="0.90625"/>
    <n v="19"/>
    <n v="105"/>
    <n v="124"/>
    <n v="190"/>
    <n v="1050"/>
    <n v="1240"/>
    <n v="2.9523809523809526"/>
    <n v="198"/>
    <n v="4.7142857142857144"/>
    <n v="31"/>
    <n v="310"/>
    <n v="0.73809523809523814"/>
    <n v="0"/>
    <n v="0"/>
    <n v="0"/>
    <n v="750"/>
    <n v="3.6904761904761907"/>
    <n v="75"/>
    <n v="1.7857142857142858"/>
    <n v="76"/>
    <n v="1.8095238095238095"/>
    <n v="382"/>
    <n v="9.0952380952380949"/>
  </r>
  <r>
    <x v="121"/>
    <x v="14"/>
    <x v="256"/>
    <n v="26"/>
    <n v="260"/>
    <n v="61"/>
    <n v="9760"/>
    <n v="501"/>
    <n v="8.2131147540983598"/>
    <n v="144"/>
    <n v="301"/>
    <n v="0.47840531561461797"/>
    <n v="0"/>
    <n v="0"/>
    <n v="0"/>
    <n v="0"/>
    <e v="#DIV/0!"/>
    <n v="50"/>
    <n v="64"/>
    <n v="0.78125"/>
    <n v="101"/>
    <n v="237"/>
    <n v="338"/>
    <n v="1010"/>
    <n v="2370"/>
    <n v="3380"/>
    <n v="5.5409836065573774"/>
    <n v="75"/>
    <n v="1.2295081967213115"/>
    <n v="37"/>
    <n v="370"/>
    <n v="0.60655737704918034"/>
    <n v="650"/>
    <n v="65"/>
    <n v="1.0655737704918034"/>
    <n v="590"/>
    <n v="7.2131147540983616"/>
    <n v="59"/>
    <n v="0.96721311475409832"/>
    <n v="122"/>
    <n v="2"/>
    <n v="338"/>
    <n v="5.5409836065573774"/>
  </r>
  <r>
    <x v="102"/>
    <x v="14"/>
    <x v="257"/>
    <n v="29"/>
    <n v="290"/>
    <n v="24"/>
    <n v="6190"/>
    <n v="171"/>
    <n v="7.125"/>
    <n v="101"/>
    <n v="251"/>
    <n v="0.40239043824701193"/>
    <n v="32"/>
    <n v="320"/>
    <n v="90"/>
    <n v="900"/>
    <n v="0.35555555555555557"/>
    <n v="27"/>
    <n v="39"/>
    <n v="0.69230769230769229"/>
    <n v="4"/>
    <n v="54"/>
    <n v="58"/>
    <n v="40"/>
    <n v="540"/>
    <n v="580"/>
    <n v="2.4166666666666665"/>
    <n v="81"/>
    <n v="3.375"/>
    <n v="18"/>
    <n v="180"/>
    <n v="0.75"/>
    <n v="40"/>
    <n v="4"/>
    <n v="0.16666666666666666"/>
    <n v="450"/>
    <n v="3.333333333333333"/>
    <n v="45"/>
    <n v="1.875"/>
    <n v="44"/>
    <n v="1.8333333333333333"/>
    <n v="261"/>
    <n v="10.875"/>
  </r>
  <r>
    <x v="103"/>
    <x v="14"/>
    <x v="258"/>
    <n v="25"/>
    <n v="250"/>
    <n v="24"/>
    <n v="6250"/>
    <n v="168"/>
    <n v="7"/>
    <n v="88"/>
    <n v="215"/>
    <n v="409"/>
    <n v="23"/>
    <n v="230"/>
    <n v="66"/>
    <n v="660"/>
    <n v="0.34848484848484851"/>
    <n v="25"/>
    <n v="37"/>
    <n v="0.67567567567567566"/>
    <n v="22"/>
    <n v="59"/>
    <n v="81"/>
    <n v="220"/>
    <n v="590"/>
    <n v="810"/>
    <n v="3.375"/>
    <n v="78"/>
    <n v="3.25"/>
    <n v="30"/>
    <n v="300"/>
    <n v="1.25"/>
    <n v="30"/>
    <n v="3"/>
    <n v="0.125"/>
    <n v="420"/>
    <n v="4.75"/>
    <n v="42"/>
    <n v="1.75"/>
    <n v="67"/>
    <n v="2.7916666666666665"/>
    <n v="224"/>
    <n v="9.3333333333333339"/>
  </r>
  <r>
    <x v="131"/>
    <x v="14"/>
    <x v="259"/>
    <n v="32"/>
    <n v="320"/>
    <n v="41"/>
    <n v="8580"/>
    <n v="280"/>
    <n v="6.8292682926829267"/>
    <n v="105"/>
    <n v="243"/>
    <n v="432"/>
    <n v="0"/>
    <n v="0"/>
    <n v="1"/>
    <n v="10"/>
    <n v="0"/>
    <n v="38"/>
    <n v="82"/>
    <n v="0.46341463414634149"/>
    <n v="89"/>
    <n v="159"/>
    <n v="248"/>
    <n v="890"/>
    <n v="1590"/>
    <n v="2480"/>
    <n v="6.0487804878048781"/>
    <n v="65"/>
    <n v="1.5853658536585367"/>
    <n v="21"/>
    <n v="210"/>
    <n v="0.51219512195121952"/>
    <n v="520"/>
    <n v="52"/>
    <n v="1.2682926829268293"/>
    <n v="570"/>
    <n v="7.8292682926829267"/>
    <n v="57"/>
    <n v="1.3902439024390243"/>
    <n v="115"/>
    <n v="2.8048780487804876"/>
    <n v="248"/>
    <n v="6.0487804878048781"/>
  </r>
  <r>
    <x v="120"/>
    <x v="14"/>
    <x v="260"/>
    <n v="23"/>
    <n v="230"/>
    <n v="70"/>
    <n v="16810"/>
    <n v="451"/>
    <n v="6.4428571428571431"/>
    <n v="279"/>
    <n v="717"/>
    <n v="0.38912133891213391"/>
    <n v="121"/>
    <n v="1210"/>
    <n v="354"/>
    <n v="3540"/>
    <n v="0.34180790960451979"/>
    <n v="125"/>
    <n v="156"/>
    <n v="0.80128205128205132"/>
    <n v="12"/>
    <n v="144"/>
    <n v="156"/>
    <n v="120"/>
    <n v="1440"/>
    <n v="1560"/>
    <n v="2.2285714285714286"/>
    <n v="127"/>
    <n v="1.8142857142857143"/>
    <n v="20"/>
    <n v="200"/>
    <n v="0.2857142857142857"/>
    <n v="140"/>
    <n v="14"/>
    <n v="0.2"/>
    <n v="820"/>
    <n v="2.7142857142857144"/>
    <n v="82"/>
    <n v="1.1714285714285715"/>
    <n v="119"/>
    <n v="1.7"/>
    <n v="804"/>
    <n v="11.485714285714286"/>
  </r>
  <r>
    <x v="132"/>
    <x v="14"/>
    <x v="261"/>
    <n v="29"/>
    <n v="290"/>
    <n v="82"/>
    <n v="17850"/>
    <n v="526"/>
    <n v="6.4146341463414638"/>
    <n v="257"/>
    <n v="592"/>
    <n v="0.4341216216216216"/>
    <n v="15"/>
    <n v="150"/>
    <n v="42"/>
    <n v="420"/>
    <n v="0.35714285714285715"/>
    <n v="127"/>
    <n v="153"/>
    <n v="0.83006535947712423"/>
    <n v="98"/>
    <n v="226"/>
    <n v="324"/>
    <n v="980"/>
    <n v="2260"/>
    <n v="3240"/>
    <n v="3.9512195121951219"/>
    <n v="140"/>
    <n v="1.7073170731707317"/>
    <n v="32"/>
    <n v="320"/>
    <n v="0.3902439024390244"/>
    <n v="440"/>
    <n v="44"/>
    <n v="0.53658536585365857"/>
    <n v="1040"/>
    <n v="4.8780487804878048"/>
    <n v="104"/>
    <n v="1.2682926829268293"/>
    <n v="205"/>
    <n v="2.5"/>
    <n v="656"/>
    <n v="8"/>
  </r>
  <r>
    <x v="133"/>
    <x v="14"/>
    <x v="262"/>
    <n v="22"/>
    <n v="220"/>
    <n v="76"/>
    <n v="18650"/>
    <n v="479"/>
    <n v="6.3026315789473681"/>
    <n v="187"/>
    <n v="432"/>
    <n v="0.43287037037037035"/>
    <n v="35"/>
    <n v="350"/>
    <n v="116"/>
    <n v="1160"/>
    <n v="0.30172413793103448"/>
    <n v="61"/>
    <n v="78"/>
    <n v="0.78205128205128205"/>
    <n v="29"/>
    <n v="147"/>
    <n v="176"/>
    <n v="290"/>
    <n v="1470"/>
    <n v="1760"/>
    <n v="2.3157894736842106"/>
    <n v="226"/>
    <n v="2.9736842105263159"/>
    <n v="93"/>
    <n v="930"/>
    <n v="1.2236842105263157"/>
    <n v="90"/>
    <n v="9"/>
    <n v="0.11842105263157894"/>
    <n v="830"/>
    <n v="3.6578947368421053"/>
    <n v="83"/>
    <n v="1.0921052631578947"/>
    <n v="150"/>
    <n v="1.9736842105263157"/>
    <n v="470"/>
    <n v="6.1842105263157894"/>
  </r>
  <r>
    <x v="134"/>
    <x v="14"/>
    <x v="263"/>
    <n v="24"/>
    <n v="240"/>
    <n v="68"/>
    <n v="12870"/>
    <n v="409"/>
    <n v="6.0147058823529411"/>
    <n v="152"/>
    <n v="331"/>
    <n v="459"/>
    <n v="18"/>
    <n v="180"/>
    <n v="60"/>
    <n v="600"/>
    <n v="0.3"/>
    <n v="76"/>
    <n v="97"/>
    <n v="0.78350515463917525"/>
    <n v="79"/>
    <n v="222"/>
    <n v="301"/>
    <n v="790"/>
    <n v="2220"/>
    <n v="3010"/>
    <n v="4.4264705882352944"/>
    <n v="68"/>
    <n v="1"/>
    <n v="27"/>
    <n v="270"/>
    <n v="0.39705882352941174"/>
    <n v="220"/>
    <n v="22"/>
    <n v="0.3235294117647059"/>
    <n v="600"/>
    <n v="5.1470588235294121"/>
    <n v="60"/>
    <n v="0.88235294117647056"/>
    <n v="147"/>
    <n v="2.1617647058823528"/>
    <n v="398"/>
    <n v="5.8529411764705879"/>
  </r>
  <r>
    <x v="135"/>
    <x v="14"/>
    <x v="264"/>
    <n v="35"/>
    <n v="350"/>
    <n v="32"/>
    <n v="5440"/>
    <n v="192"/>
    <n v="6"/>
    <n v="57"/>
    <n v="130"/>
    <n v="438"/>
    <n v="0"/>
    <n v="0"/>
    <n v="0"/>
    <n v="0"/>
    <e v="#DIV/0!"/>
    <n v="14"/>
    <n v="20"/>
    <n v="0.7"/>
    <n v="53"/>
    <n v="115"/>
    <n v="168"/>
    <n v="530"/>
    <n v="1150"/>
    <n v="1680"/>
    <n v="5.25"/>
    <n v="29"/>
    <n v="0.90625"/>
    <n v="14"/>
    <n v="140"/>
    <n v="0.4375"/>
    <n v="410"/>
    <n v="41"/>
    <n v="1.28125"/>
    <n v="390"/>
    <n v="6.96875"/>
    <n v="39"/>
    <n v="1.21875"/>
    <n v="70"/>
    <n v="2.1875"/>
    <n v="128"/>
    <n v="4"/>
  </r>
  <r>
    <x v="114"/>
    <x v="14"/>
    <x v="265"/>
    <n v="38"/>
    <n v="380"/>
    <n v="43"/>
    <n v="7950"/>
    <n v="241"/>
    <n v="5.6046511627906979"/>
    <n v="68"/>
    <n v="161"/>
    <n v="0.42236024844720499"/>
    <n v="43"/>
    <n v="430"/>
    <n v="115"/>
    <n v="1150"/>
    <n v="0.37391304347826088"/>
    <n v="22"/>
    <n v="26"/>
    <n v="0.84615384615384615"/>
    <n v="18"/>
    <n v="62"/>
    <n v="80"/>
    <n v="180"/>
    <n v="620"/>
    <n v="800"/>
    <n v="1.8604651162790697"/>
    <n v="104"/>
    <n v="2.4186046511627906"/>
    <n v="52"/>
    <n v="520"/>
    <n v="1.2093023255813953"/>
    <n v="10"/>
    <n v="1"/>
    <n v="2.3255813953488372E-2"/>
    <n v="470"/>
    <n v="3.0930232558139537"/>
    <n v="47"/>
    <n v="1.0930232558139534"/>
    <n v="53"/>
    <n v="1.2325581395348837"/>
    <n v="201"/>
    <n v="4.6744186046511631"/>
  </r>
  <r>
    <x v="136"/>
    <x v="14"/>
    <x v="266"/>
    <n v="27"/>
    <n v="270"/>
    <n v="40"/>
    <n v="10400"/>
    <n v="217"/>
    <n v="5.4249999999999998"/>
    <n v="137"/>
    <n v="316"/>
    <n v="434"/>
    <n v="7"/>
    <n v="70"/>
    <n v="21"/>
    <n v="210"/>
    <n v="0.33333333333333331"/>
    <n v="49"/>
    <n v="66"/>
    <n v="0.74242424242424243"/>
    <n v="37"/>
    <n v="83"/>
    <n v="120"/>
    <n v="370"/>
    <n v="830"/>
    <n v="1200"/>
    <n v="3"/>
    <n v="49"/>
    <n v="1.2250000000000001"/>
    <n v="26"/>
    <n v="260"/>
    <n v="0.65"/>
    <n v="80"/>
    <n v="8"/>
    <n v="0.2"/>
    <n v="570"/>
    <n v="3.85"/>
    <n v="57"/>
    <n v="1.425"/>
    <n v="63"/>
    <n v="1.575"/>
    <n v="330"/>
    <n v="8.25"/>
  </r>
  <r>
    <x v="137"/>
    <x v="14"/>
    <x v="267"/>
    <n v="22"/>
    <n v="220"/>
    <n v="12"/>
    <n v="2330"/>
    <n v="41"/>
    <n v="3.4166666666666665"/>
    <n v="32"/>
    <n v="90"/>
    <n v="0.35555555555555557"/>
    <n v="10"/>
    <n v="100"/>
    <n v="24"/>
    <n v="240"/>
    <n v="0.41666666666666669"/>
    <n v="15"/>
    <n v="20"/>
    <n v="0.75"/>
    <n v="15"/>
    <n v="19"/>
    <n v="34"/>
    <n v="150"/>
    <n v="190"/>
    <n v="340"/>
    <n v="2.8333333333333335"/>
    <n v="18"/>
    <n v="1.5"/>
    <n v="6"/>
    <n v="60"/>
    <n v="0.5"/>
    <n v="10"/>
    <n v="1"/>
    <n v="8.3333333333333329E-2"/>
    <n v="240"/>
    <n v="3.416666666666667"/>
    <n v="24"/>
    <n v="2"/>
    <n v="20"/>
    <n v="1.6666666666666667"/>
    <n v="89"/>
    <n v="7.416666666666667"/>
  </r>
  <r>
    <x v="138"/>
    <x v="14"/>
    <x v="268"/>
    <n v="24"/>
    <n v="240"/>
    <n v="39"/>
    <n v="6470"/>
    <n v="132"/>
    <n v="3.3846153846153846"/>
    <n v="76"/>
    <n v="214"/>
    <n v="0.35514018691588783"/>
    <n v="22"/>
    <n v="220"/>
    <n v="84"/>
    <n v="840"/>
    <n v="0.26190476190476192"/>
    <n v="36"/>
    <n v="48"/>
    <n v="0.75"/>
    <n v="22"/>
    <n v="75"/>
    <n v="97"/>
    <n v="220"/>
    <n v="750"/>
    <n v="970"/>
    <n v="2.4871794871794872"/>
    <n v="36"/>
    <n v="0.92307692307692313"/>
    <n v="24"/>
    <n v="240"/>
    <n v="0.61538461538461542"/>
    <n v="120"/>
    <n v="12"/>
    <n v="0.30769230769230771"/>
    <n v="400"/>
    <n v="3.4102564102564106"/>
    <n v="40"/>
    <n v="1.0256410256410255"/>
    <n v="57"/>
    <n v="1.4615384615384615"/>
    <n v="210"/>
    <n v="5.384615384615385"/>
  </r>
  <r>
    <x v="139"/>
    <x v="14"/>
    <x v="269"/>
    <n v="24"/>
    <n v="240"/>
    <n v="51"/>
    <n v="6720"/>
    <n v="150"/>
    <n v="2.9411764705882355"/>
    <n v="84"/>
    <n v="209"/>
    <n v="402"/>
    <n v="11"/>
    <n v="110"/>
    <n v="30"/>
    <n v="300"/>
    <n v="0.36666666666666664"/>
    <n v="20"/>
    <n v="26"/>
    <n v="0.76923076923076927"/>
    <n v="31"/>
    <n v="75"/>
    <n v="106"/>
    <n v="310"/>
    <n v="750"/>
    <n v="1060"/>
    <n v="2.0784313725490198"/>
    <n v="40"/>
    <n v="0.78431372549019607"/>
    <n v="15"/>
    <n v="150"/>
    <n v="0.29411764705882354"/>
    <n v="110"/>
    <n v="11"/>
    <n v="0.21568627450980393"/>
    <n v="350"/>
    <n v="2.5882352941176472"/>
    <n v="35"/>
    <n v="0.68627450980392157"/>
    <n v="55"/>
    <n v="1.0784313725490196"/>
    <n v="199"/>
    <n v="3.9019607843137254"/>
  </r>
  <r>
    <x v="87"/>
    <x v="15"/>
    <x v="270"/>
    <n v="32"/>
    <n v="320"/>
    <n v="72"/>
    <n v="25300"/>
    <n v="1363"/>
    <n v="18.930555555555557"/>
    <n v="567"/>
    <n v="1307"/>
    <n v="0.4338179035960214"/>
    <n v="105"/>
    <n v="1050"/>
    <n v="310"/>
    <n v="3100"/>
    <n v="0.33870967741935482"/>
    <n v="334"/>
    <n v="403"/>
    <n v="0.8287841191066998"/>
    <n v="98"/>
    <n v="458"/>
    <n v="556"/>
    <n v="980"/>
    <n v="4580"/>
    <n v="5560"/>
    <n v="7.7222222222222223"/>
    <n v="299"/>
    <n v="4.1527777777777777"/>
    <n v="62"/>
    <n v="620"/>
    <n v="0.86111111111111116"/>
    <n v="380"/>
    <n v="38"/>
    <n v="0.52777777777777779"/>
    <n v="1760"/>
    <n v="9.1111111111111107"/>
    <n v="176"/>
    <n v="2.4444444444444446"/>
    <n v="180"/>
    <n v="2.5"/>
    <n v="1573"/>
    <n v="21.847222222222221"/>
  </r>
  <r>
    <x v="140"/>
    <x v="15"/>
    <x v="271"/>
    <n v="20"/>
    <n v="200"/>
    <n v="72"/>
    <n v="20470"/>
    <n v="957"/>
    <n v="13.291666666666666"/>
    <n v="373"/>
    <n v="886"/>
    <n v="0.42099322799097066"/>
    <n v="81"/>
    <n v="810"/>
    <n v="243"/>
    <n v="2430"/>
    <n v="0.33333333333333331"/>
    <n v="201"/>
    <n v="240"/>
    <n v="0.83750000000000002"/>
    <n v="132"/>
    <n v="394"/>
    <n v="526"/>
    <n v="1320"/>
    <n v="3940"/>
    <n v="5260"/>
    <n v="7.3055555555555554"/>
    <n v="94"/>
    <n v="1.3055555555555556"/>
    <n v="53"/>
    <n v="530"/>
    <n v="0.73611111111111116"/>
    <n v="1340"/>
    <n v="134"/>
    <n v="1.8611111111111112"/>
    <n v="1210"/>
    <n v="9.9027777777777786"/>
    <n v="121"/>
    <n v="1.6805555555555556"/>
    <n v="205"/>
    <n v="2.8472222222222223"/>
    <n v="1028"/>
    <n v="14.277777777777779"/>
  </r>
  <r>
    <x v="141"/>
    <x v="15"/>
    <x v="272"/>
    <n v="28"/>
    <n v="280"/>
    <n v="82"/>
    <n v="22190"/>
    <n v="1050"/>
    <n v="12.804878048780488"/>
    <n v="357"/>
    <n v="662"/>
    <n v="0.5392749244712991"/>
    <n v="0"/>
    <n v="0"/>
    <n v="1"/>
    <n v="10"/>
    <n v="0"/>
    <n v="128"/>
    <n v="161"/>
    <n v="0.79503105590062106"/>
    <n v="268"/>
    <n v="334"/>
    <n v="602"/>
    <n v="2680"/>
    <n v="3340"/>
    <n v="6020"/>
    <n v="7.3414634146341466"/>
    <n v="114"/>
    <n v="1.3902439024390243"/>
    <n v="16"/>
    <n v="160"/>
    <n v="0.1951219512195122"/>
    <n v="1290"/>
    <n v="129"/>
    <n v="1.5731707317073171"/>
    <n v="1330"/>
    <n v="9.1097560975609753"/>
    <n v="133"/>
    <n v="1.6219512195121952"/>
    <n v="182"/>
    <n v="2.2195121951219514"/>
    <n v="842"/>
    <n v="10.268292682926829"/>
  </r>
  <r>
    <x v="142"/>
    <x v="15"/>
    <x v="273"/>
    <n v="30"/>
    <n v="300"/>
    <n v="71"/>
    <n v="23710"/>
    <n v="664"/>
    <n v="9.352112676056338"/>
    <n v="354"/>
    <n v="799"/>
    <n v="0.44305381727158949"/>
    <n v="91"/>
    <n v="910"/>
    <n v="238"/>
    <n v="2380"/>
    <n v="0.38235294117647056"/>
    <n v="110"/>
    <n v="131"/>
    <n v="0.83969465648854957"/>
    <n v="23"/>
    <n v="243"/>
    <n v="266"/>
    <n v="230"/>
    <n v="2430"/>
    <n v="2660"/>
    <n v="3.7464788732394365"/>
    <n v="144"/>
    <n v="2.028169014084507"/>
    <n v="25"/>
    <n v="250"/>
    <n v="0.352112676056338"/>
    <n v="100"/>
    <n v="10"/>
    <n v="0.14084507042253522"/>
    <n v="820"/>
    <n v="4.23943661971831"/>
    <n v="82"/>
    <n v="1.1549295774647887"/>
    <n v="142"/>
    <n v="2"/>
    <n v="909"/>
    <n v="12.80281690140845"/>
  </r>
  <r>
    <x v="130"/>
    <x v="15"/>
    <x v="274"/>
    <n v="34"/>
    <n v="340"/>
    <n v="72"/>
    <n v="20240"/>
    <n v="667"/>
    <n v="9.2638888888888893"/>
    <n v="209"/>
    <n v="455"/>
    <n v="0.45934065934065932"/>
    <n v="84"/>
    <n v="840"/>
    <n v="203"/>
    <n v="2030"/>
    <n v="0.41379310344827586"/>
    <n v="42"/>
    <n v="48"/>
    <n v="0.875"/>
    <n v="22"/>
    <n v="207"/>
    <n v="229"/>
    <n v="220"/>
    <n v="2070"/>
    <n v="2290"/>
    <n v="3.1805555555555554"/>
    <n v="298"/>
    <n v="4.1388888888888893"/>
    <n v="63"/>
    <n v="630"/>
    <n v="0.875"/>
    <n v="70"/>
    <n v="7"/>
    <n v="9.7222222222222224E-2"/>
    <n v="870"/>
    <n v="4.1527777777777777"/>
    <n v="87"/>
    <n v="1.2083333333333333"/>
    <n v="135"/>
    <n v="1.875"/>
    <n v="544"/>
    <n v="7.5555555555555554"/>
  </r>
  <r>
    <x v="143"/>
    <x v="15"/>
    <x v="275"/>
    <n v="25"/>
    <n v="250"/>
    <n v="80"/>
    <n v="14350"/>
    <n v="652"/>
    <n v="8.15"/>
    <n v="254"/>
    <n v="565"/>
    <n v="45"/>
    <n v="44"/>
    <n v="440"/>
    <n v="150"/>
    <n v="1500"/>
    <n v="0.29333333333333333"/>
    <n v="194"/>
    <n v="256"/>
    <n v="0.7578125"/>
    <n v="47"/>
    <n v="249"/>
    <n v="296"/>
    <n v="470"/>
    <n v="2490"/>
    <n v="2960"/>
    <n v="3.7"/>
    <n v="75"/>
    <n v="0.9375"/>
    <n v="29"/>
    <n v="290"/>
    <n v="0.36249999999999999"/>
    <n v="90"/>
    <n v="9"/>
    <n v="0.1125"/>
    <n v="610"/>
    <n v="4.1749999999999998"/>
    <n v="61"/>
    <n v="0.76249999999999996"/>
    <n v="69"/>
    <n v="0.86250000000000004"/>
    <n v="746"/>
    <n v="9.3249999999999993"/>
  </r>
  <r>
    <x v="129"/>
    <x v="15"/>
    <x v="276"/>
    <n v="24"/>
    <n v="240"/>
    <n v="82"/>
    <n v="20330"/>
    <n v="596"/>
    <n v="7.2682926829268295"/>
    <n v="231"/>
    <n v="588"/>
    <n v="393"/>
    <n v="77"/>
    <n v="770"/>
    <n v="224"/>
    <n v="2240"/>
    <n v="0.34375"/>
    <n v="86"/>
    <n v="114"/>
    <n v="0.75438596491228072"/>
    <n v="43"/>
    <n v="245"/>
    <n v="288"/>
    <n v="430"/>
    <n v="2450"/>
    <n v="2880"/>
    <n v="3.5121951219512195"/>
    <n v="207"/>
    <n v="2.524390243902439"/>
    <n v="77"/>
    <n v="770"/>
    <n v="0.93902439024390238"/>
    <n v="220"/>
    <n v="22"/>
    <n v="0.26829268292682928"/>
    <n v="610"/>
    <n v="4.7195121951219514"/>
    <n v="61"/>
    <n v="0.74390243902439024"/>
    <n v="177"/>
    <n v="2.1585365853658538"/>
    <n v="625"/>
    <n v="7.6219512195121952"/>
  </r>
  <r>
    <x v="144"/>
    <x v="15"/>
    <x v="277"/>
    <n v="26"/>
    <n v="260"/>
    <n v="65"/>
    <n v="7640"/>
    <n v="376"/>
    <n v="5.7846153846153845"/>
    <n v="129"/>
    <n v="271"/>
    <n v="0.47601476014760147"/>
    <n v="5"/>
    <n v="50"/>
    <n v="22"/>
    <n v="220"/>
    <n v="0.22727272727272727"/>
    <n v="46"/>
    <n v="60"/>
    <n v="0.76666666666666672"/>
    <n v="76"/>
    <n v="174"/>
    <n v="250"/>
    <n v="760"/>
    <n v="1740"/>
    <n v="2500"/>
    <n v="3.8461538461538463"/>
    <n v="72"/>
    <n v="1.1076923076923078"/>
    <n v="20"/>
    <n v="200"/>
    <n v="0.30769230769230771"/>
    <n v="490"/>
    <n v="49"/>
    <n v="0.75384615384615383"/>
    <n v="610"/>
    <n v="4.907692307692308"/>
    <n v="61"/>
    <n v="0.93846153846153846"/>
    <n v="107"/>
    <n v="1.6461538461538461"/>
    <n v="309"/>
    <n v="4.7538461538461538"/>
  </r>
  <r>
    <x v="136"/>
    <x v="15"/>
    <x v="278"/>
    <n v="28"/>
    <n v="280"/>
    <n v="59"/>
    <n v="13130"/>
    <n v="301"/>
    <n v="5.101694915254237"/>
    <n v="169"/>
    <n v="382"/>
    <n v="442"/>
    <n v="44"/>
    <n v="440"/>
    <n v="109"/>
    <n v="1090"/>
    <n v="0.40366972477064222"/>
    <n v="102"/>
    <n v="119"/>
    <n v="0.8571428571428571"/>
    <n v="34"/>
    <n v="97"/>
    <n v="131"/>
    <n v="340"/>
    <n v="970"/>
    <n v="1310"/>
    <n v="2.2203389830508473"/>
    <n v="53"/>
    <n v="0.89830508474576276"/>
    <n v="22"/>
    <n v="220"/>
    <n v="0.3728813559322034"/>
    <n v="70"/>
    <n v="7"/>
    <n v="0.11864406779661017"/>
    <n v="570"/>
    <n v="2.7118644067796609"/>
    <n v="57"/>
    <n v="0.96610169491525422"/>
    <n v="109"/>
    <n v="1.847457627118644"/>
    <n v="484"/>
    <n v="8.203389830508474"/>
  </r>
  <r>
    <x v="145"/>
    <x v="15"/>
    <x v="279"/>
    <n v="23"/>
    <n v="230"/>
    <n v="76"/>
    <n v="12650"/>
    <n v="358"/>
    <n v="4.7105263157894735"/>
    <n v="154"/>
    <n v="391"/>
    <n v="394"/>
    <n v="22"/>
    <n v="220"/>
    <n v="100"/>
    <n v="1000"/>
    <n v="0.22"/>
    <n v="96"/>
    <n v="123"/>
    <n v="0.78048780487804881"/>
    <n v="23"/>
    <n v="120"/>
    <n v="143"/>
    <n v="230"/>
    <n v="1200"/>
    <n v="1430"/>
    <n v="1.881578947368421"/>
    <n v="177"/>
    <n v="2.3289473684210527"/>
    <n v="50"/>
    <n v="500"/>
    <n v="0.65789473684210531"/>
    <n v="100"/>
    <n v="10"/>
    <n v="0.13157894736842105"/>
    <n v="870"/>
    <n v="2.6710526315789473"/>
    <n v="87"/>
    <n v="1.1447368421052631"/>
    <n v="97"/>
    <n v="1.2763157894736843"/>
    <n v="426"/>
    <n v="5.6052631578947372"/>
  </r>
  <r>
    <x v="146"/>
    <x v="15"/>
    <x v="280"/>
    <n v="32"/>
    <n v="320"/>
    <n v="61"/>
    <n v="9080"/>
    <n v="263"/>
    <n v="4.3114754098360653"/>
    <n v="106"/>
    <n v="277"/>
    <n v="383"/>
    <n v="52"/>
    <n v="520"/>
    <n v="143"/>
    <n v="1430"/>
    <n v="0.36363636363636365"/>
    <n v="32"/>
    <n v="39"/>
    <n v="0.82051282051282048"/>
    <n v="26"/>
    <n v="123"/>
    <n v="149"/>
    <n v="260"/>
    <n v="1230"/>
    <n v="1490"/>
    <n v="2.442622950819672"/>
    <n v="84"/>
    <n v="1.3770491803278688"/>
    <n v="34"/>
    <n v="340"/>
    <n v="0.55737704918032782"/>
    <n v="50"/>
    <n v="5"/>
    <n v="8.1967213114754092E-2"/>
    <n v="440"/>
    <n v="3.081967213114754"/>
    <n v="44"/>
    <n v="0.72131147540983609"/>
    <n v="83"/>
    <n v="1.360655737704918"/>
    <n v="296"/>
    <n v="4.8524590163934427"/>
  </r>
  <r>
    <x v="147"/>
    <x v="15"/>
    <x v="281"/>
    <n v="26"/>
    <n v="260"/>
    <n v="48"/>
    <n v="5260"/>
    <n v="169"/>
    <n v="3.5208333333333335"/>
    <n v="84"/>
    <n v="205"/>
    <n v="0.40975609756097559"/>
    <n v="0"/>
    <n v="0"/>
    <n v="2"/>
    <n v="20"/>
    <n v="0"/>
    <n v="19"/>
    <n v="23"/>
    <n v="0.82608695652173914"/>
    <n v="31"/>
    <n v="95"/>
    <n v="126"/>
    <n v="310"/>
    <n v="950"/>
    <n v="1260"/>
    <n v="2.625"/>
    <n v="47"/>
    <n v="0.97916666666666663"/>
    <n v="8"/>
    <n v="80"/>
    <n v="0.16666666666666666"/>
    <n v="360"/>
    <n v="36"/>
    <n v="0.75"/>
    <n v="430"/>
    <n v="3.5416666666666665"/>
    <n v="43"/>
    <n v="0.89583333333333337"/>
    <n v="67"/>
    <n v="1.3958333333333333"/>
    <n v="187"/>
    <n v="3.8958333333333335"/>
  </r>
  <r>
    <x v="148"/>
    <x v="15"/>
    <x v="282"/>
    <n v="23"/>
    <n v="230"/>
    <n v="2"/>
    <n v="60"/>
    <n v="4"/>
    <n v="2"/>
    <n v="3"/>
    <n v="4"/>
    <n v="0.75"/>
    <n v="0"/>
    <n v="0"/>
    <n v="1"/>
    <n v="10"/>
    <n v="0"/>
    <n v="0"/>
    <n v="0"/>
    <e v="#DIV/0!"/>
    <n v="0"/>
    <n v="1"/>
    <n v="1"/>
    <n v="0"/>
    <n v="10"/>
    <n v="10"/>
    <n v="0.5"/>
    <n v="0"/>
    <n v="0"/>
    <n v="0"/>
    <n v="0"/>
    <n v="0"/>
    <n v="0"/>
    <n v="0"/>
    <n v="0"/>
    <n v="0"/>
    <n v="0.5"/>
    <n v="0"/>
    <n v="0"/>
    <n v="2"/>
    <n v="1"/>
    <n v="6"/>
    <n v="3"/>
  </r>
  <r>
    <x v="149"/>
    <x v="15"/>
    <x v="283"/>
    <n v="27"/>
    <n v="270"/>
    <n v="2"/>
    <n v="50"/>
    <n v="4"/>
    <n v="2"/>
    <n v="1"/>
    <n v="1"/>
    <n v="10"/>
    <n v="1"/>
    <n v="10"/>
    <n v="1"/>
    <n v="10"/>
    <n v="1"/>
    <n v="4"/>
    <n v="5"/>
    <n v="0.8"/>
    <n v="0"/>
    <n v="0"/>
    <n v="0"/>
    <n v="0"/>
    <n v="0"/>
    <n v="0"/>
    <n v="0"/>
    <n v="0"/>
    <n v="0"/>
    <n v="0"/>
    <n v="0"/>
    <n v="0"/>
    <n v="0"/>
    <n v="0"/>
    <n v="0"/>
    <n v="10"/>
    <n v="0"/>
    <n v="1"/>
    <n v="0.5"/>
    <n v="1"/>
    <n v="0.5"/>
    <n v="7"/>
    <n v="3.5"/>
  </r>
  <r>
    <x v="138"/>
    <x v="15"/>
    <x v="284"/>
    <n v="25"/>
    <n v="250"/>
    <n v="17"/>
    <n v="1540"/>
    <n v="14"/>
    <n v="0.82352941176470584"/>
    <n v="12"/>
    <n v="40"/>
    <n v="0.3"/>
    <n v="4"/>
    <n v="40"/>
    <n v="15"/>
    <n v="150"/>
    <n v="0.26666666666666666"/>
    <n v="3"/>
    <n v="4"/>
    <n v="0.75"/>
    <n v="4"/>
    <n v="22"/>
    <n v="26"/>
    <n v="40"/>
    <n v="220"/>
    <n v="260"/>
    <n v="1.5294117647058822"/>
    <n v="6"/>
    <n v="0.35294117647058826"/>
    <n v="2"/>
    <n v="20"/>
    <n v="0.11764705882352941"/>
    <n v="30"/>
    <n v="3"/>
    <n v="0.17647058823529413"/>
    <n v="90"/>
    <n v="1.8235294117647058"/>
    <n v="9"/>
    <n v="0.52941176470588236"/>
    <n v="16"/>
    <n v="0.94117647058823528"/>
    <n v="31"/>
    <n v="1.8235294117647058"/>
  </r>
  <r>
    <x v="131"/>
    <x v="15"/>
    <x v="285"/>
    <n v="33"/>
    <n v="330"/>
    <n v="29"/>
    <n v="2040"/>
    <n v="20"/>
    <n v="0.68965517241379315"/>
    <n v="19"/>
    <n v="53"/>
    <n v="358"/>
    <n v="0"/>
    <n v="0"/>
    <n v="0"/>
    <n v="0"/>
    <e v="#DIV/0!"/>
    <n v="14"/>
    <n v="27"/>
    <n v="0.51851851851851849"/>
    <n v="23"/>
    <n v="26"/>
    <n v="49"/>
    <n v="230"/>
    <n v="260"/>
    <n v="490"/>
    <n v="1.6896551724137931"/>
    <n v="12"/>
    <n v="0.41379310344827586"/>
    <n v="6"/>
    <n v="60"/>
    <n v="0.20689655172413793"/>
    <n v="70"/>
    <n v="7"/>
    <n v="0.2413793103448276"/>
    <n v="150"/>
    <n v="2.1379310344827589"/>
    <n v="15"/>
    <n v="0.51724137931034486"/>
    <n v="44"/>
    <n v="1.5172413793103448"/>
    <n v="52"/>
    <n v="1.7931034482758621"/>
  </r>
  <r>
    <x v="87"/>
    <x v="16"/>
    <x v="286"/>
    <n v="33"/>
    <n v="330"/>
    <n v="74"/>
    <n v="25380"/>
    <n v="1205"/>
    <n v="16.283783783783782"/>
    <n v="602"/>
    <n v="1389"/>
    <n v="0.43340532757379407"/>
    <n v="151"/>
    <n v="1510"/>
    <n v="421"/>
    <n v="4210"/>
    <n v="0.35866983372921613"/>
    <n v="304"/>
    <n v="365"/>
    <n v="0.83287671232876714"/>
    <n v="62"/>
    <n v="376"/>
    <n v="438"/>
    <n v="620"/>
    <n v="3760"/>
    <n v="4380"/>
    <n v="5.9189189189189193"/>
    <n v="213"/>
    <n v="2.8783783783783785"/>
    <n v="60"/>
    <n v="600"/>
    <n v="0.81081081081081086"/>
    <n v="340"/>
    <n v="34"/>
    <n v="0.45945945945945948"/>
    <n v="1530"/>
    <n v="7.1891891891891895"/>
    <n v="153"/>
    <n v="2.0675675675675675"/>
    <n v="198"/>
    <n v="2.6756756756756759"/>
    <n v="1659"/>
    <n v="22.418918918918919"/>
  </r>
  <r>
    <x v="150"/>
    <x v="16"/>
    <x v="287"/>
    <n v="28"/>
    <n v="280"/>
    <n v="64"/>
    <n v="20820"/>
    <n v="964"/>
    <n v="15.0625"/>
    <n v="460"/>
    <n v="977"/>
    <n v="0.47082906857727735"/>
    <n v="13"/>
    <n v="130"/>
    <n v="60"/>
    <n v="600"/>
    <n v="0.21666666666666667"/>
    <n v="221"/>
    <n v="253"/>
    <n v="0.87351778656126478"/>
    <n v="66"/>
    <n v="180"/>
    <n v="246"/>
    <n v="660"/>
    <n v="1800"/>
    <n v="2460"/>
    <n v="3.84375"/>
    <n v="283"/>
    <n v="4.421875"/>
    <n v="44"/>
    <n v="440"/>
    <n v="0.6875"/>
    <n v="170"/>
    <n v="17"/>
    <n v="0.265625"/>
    <n v="1470"/>
    <n v="4.796875"/>
    <n v="147"/>
    <n v="2.296875"/>
    <n v="84"/>
    <n v="1.3125"/>
    <n v="1154"/>
    <n v="18.03125"/>
  </r>
  <r>
    <x v="140"/>
    <x v="16"/>
    <x v="288"/>
    <n v="21"/>
    <n v="210"/>
    <n v="66"/>
    <n v="21640"/>
    <n v="986"/>
    <n v="14.939393939393939"/>
    <n v="443"/>
    <n v="985"/>
    <n v="0.44974619289340101"/>
    <n v="112"/>
    <n v="1120"/>
    <n v="314"/>
    <n v="3140"/>
    <n v="0.35668789808917195"/>
    <n v="198"/>
    <n v="252"/>
    <n v="0.7857142857142857"/>
    <n v="111"/>
    <n v="364"/>
    <n v="475"/>
    <n v="1110"/>
    <n v="3640"/>
    <n v="4750"/>
    <n v="7.1969696969696972"/>
    <n v="97"/>
    <n v="1.4696969696969697"/>
    <n v="47"/>
    <n v="470"/>
    <n v="0.71212121212121215"/>
    <n v="1290"/>
    <n v="129"/>
    <n v="1.9545454545454546"/>
    <n v="1180"/>
    <n v="9.8636363636363633"/>
    <n v="118"/>
    <n v="1.7878787878787878"/>
    <n v="244"/>
    <n v="3.6969696969696968"/>
    <n v="1196"/>
    <n v="18.121212121212121"/>
  </r>
  <r>
    <x v="151"/>
    <x v="16"/>
    <x v="289"/>
    <n v="23"/>
    <n v="230"/>
    <n v="72"/>
    <n v="13240"/>
    <n v="759"/>
    <n v="10.541666666666666"/>
    <n v="246"/>
    <n v="465"/>
    <n v="0.52903225806451615"/>
    <n v="4"/>
    <n v="40"/>
    <n v="15"/>
    <n v="150"/>
    <n v="0.26666666666666666"/>
    <n v="91"/>
    <n v="125"/>
    <n v="0.72799999999999998"/>
    <n v="170"/>
    <n v="332"/>
    <n v="502"/>
    <n v="1700"/>
    <n v="3320"/>
    <n v="5020"/>
    <n v="6.9722222222222223"/>
    <n v="96"/>
    <n v="1.3333333333333333"/>
    <n v="41"/>
    <n v="410"/>
    <n v="0.56944444444444442"/>
    <n v="360"/>
    <n v="36"/>
    <n v="0.5"/>
    <n v="1000"/>
    <n v="8.0416666666666661"/>
    <n v="100"/>
    <n v="1.3888888888888888"/>
    <n v="150"/>
    <n v="2.0833333333333335"/>
    <n v="587"/>
    <n v="8.1527777777777786"/>
  </r>
  <r>
    <x v="152"/>
    <x v="16"/>
    <x v="290"/>
    <n v="32"/>
    <n v="320"/>
    <n v="46"/>
    <n v="10150"/>
    <n v="473"/>
    <n v="10.282608695652174"/>
    <n v="99"/>
    <n v="202"/>
    <n v="0.49009900990099009"/>
    <n v="0"/>
    <n v="0"/>
    <n v="1"/>
    <n v="10"/>
    <n v="0"/>
    <n v="34"/>
    <n v="78"/>
    <n v="0.4358974358974359"/>
    <n v="162"/>
    <n v="241"/>
    <n v="403"/>
    <n v="1620"/>
    <n v="2410"/>
    <n v="4030"/>
    <n v="8.7608695652173907"/>
    <n v="103"/>
    <n v="2.2391304347826089"/>
    <n v="30"/>
    <n v="300"/>
    <n v="0.65217391304347827"/>
    <n v="370"/>
    <n v="37"/>
    <n v="0.80434782608695654"/>
    <n v="580"/>
    <n v="10.217391304347826"/>
    <n v="58"/>
    <n v="1.2608695652173914"/>
    <n v="127"/>
    <n v="2.7608695652173911"/>
    <n v="232"/>
    <n v="5.0434782608695654"/>
  </r>
  <r>
    <x v="153"/>
    <x v="16"/>
    <x v="291"/>
    <n v="31"/>
    <n v="310"/>
    <n v="77"/>
    <n v="24590"/>
    <n v="772"/>
    <n v="10.025974025974026"/>
    <n v="321"/>
    <n v="704"/>
    <n v="0.45596590909090912"/>
    <n v="108"/>
    <n v="1080"/>
    <n v="269"/>
    <n v="2690"/>
    <n v="0.40148698884758366"/>
    <n v="85"/>
    <n v="98"/>
    <n v="0.86734693877551017"/>
    <n v="53"/>
    <n v="206"/>
    <n v="259"/>
    <n v="530"/>
    <n v="2060"/>
    <n v="2590"/>
    <n v="3.3636363636363638"/>
    <n v="179"/>
    <n v="2.3246753246753249"/>
    <n v="81"/>
    <n v="810"/>
    <n v="1.051948051948052"/>
    <n v="240"/>
    <n v="24"/>
    <n v="0.31168831168831168"/>
    <n v="690"/>
    <n v="4.7272727272727275"/>
    <n v="69"/>
    <n v="0.89610389610389607"/>
    <n v="141"/>
    <n v="1.8311688311688312"/>
    <n v="835"/>
    <n v="10.844155844155845"/>
  </r>
  <r>
    <x v="144"/>
    <x v="16"/>
    <x v="292"/>
    <n v="27"/>
    <n v="270"/>
    <n v="79"/>
    <n v="12290"/>
    <n v="725"/>
    <n v="9.1772151898734169"/>
    <n v="215"/>
    <n v="413"/>
    <n v="0.52058111380145278"/>
    <n v="2"/>
    <n v="20"/>
    <n v="17"/>
    <n v="170"/>
    <n v="0.11764705882352941"/>
    <n v="64"/>
    <n v="83"/>
    <n v="0.77108433734939763"/>
    <n v="157"/>
    <n v="282"/>
    <n v="439"/>
    <n v="1570"/>
    <n v="2820"/>
    <n v="4390"/>
    <n v="5.556962025316456"/>
    <n v="117"/>
    <n v="1.481012658227848"/>
    <n v="36"/>
    <n v="360"/>
    <n v="0.45569620253164556"/>
    <n v="1040"/>
    <n v="104"/>
    <n v="1.3164556962025316"/>
    <n v="760"/>
    <n v="7.3291139240506329"/>
    <n v="76"/>
    <n v="0.96202531645569622"/>
    <n v="174"/>
    <n v="2.2025316455696204"/>
    <n v="496"/>
    <n v="6.2784810126582276"/>
  </r>
  <r>
    <x v="154"/>
    <x v="16"/>
    <x v="293"/>
    <n v="27"/>
    <n v="270"/>
    <n v="58"/>
    <n v="14280"/>
    <n v="505"/>
    <n v="8.7068965517241388"/>
    <n v="163"/>
    <n v="429"/>
    <n v="38"/>
    <n v="68"/>
    <n v="680"/>
    <n v="200"/>
    <n v="2000"/>
    <n v="0.34"/>
    <n v="102"/>
    <n v="135"/>
    <n v="0.75555555555555554"/>
    <n v="21"/>
    <n v="131"/>
    <n v="152"/>
    <n v="210"/>
    <n v="1310"/>
    <n v="1520"/>
    <n v="2.6206896551724137"/>
    <n v="287"/>
    <n v="4.9482758620689653"/>
    <n v="55"/>
    <n v="550"/>
    <n v="0.94827586206896552"/>
    <n v="40"/>
    <n v="4"/>
    <n v="6.8965517241379309E-2"/>
    <n v="1060"/>
    <n v="3.6379310344827585"/>
    <n v="106"/>
    <n v="1.8275862068965518"/>
    <n v="84"/>
    <n v="1.4482758620689655"/>
    <n v="496"/>
    <n v="8.5517241379310338"/>
  </r>
  <r>
    <x v="155"/>
    <x v="16"/>
    <x v="294"/>
    <n v="28"/>
    <n v="280"/>
    <n v="82"/>
    <n v="16390"/>
    <n v="558"/>
    <n v="6.8048780487804876"/>
    <n v="233"/>
    <n v="538"/>
    <n v="0.43308550185873607"/>
    <n v="97"/>
    <n v="970"/>
    <n v="273"/>
    <n v="2730"/>
    <n v="0.35531135531135533"/>
    <n v="66"/>
    <n v="80"/>
    <n v="0.82499999999999996"/>
    <n v="27"/>
    <n v="198"/>
    <n v="225"/>
    <n v="270"/>
    <n v="1980"/>
    <n v="2250"/>
    <n v="2.7439024390243905"/>
    <n v="102"/>
    <n v="1.2439024390243902"/>
    <n v="65"/>
    <n v="650"/>
    <n v="0.79268292682926833"/>
    <n v="310"/>
    <n v="31"/>
    <n v="0.37804878048780488"/>
    <n v="660"/>
    <n v="3.9146341463414638"/>
    <n v="66"/>
    <n v="0.80487804878048785"/>
    <n v="109"/>
    <n v="1.3292682926829269"/>
    <n v="629"/>
    <n v="7.6707317073170733"/>
  </r>
  <r>
    <x v="136"/>
    <x v="16"/>
    <x v="295"/>
    <n v="29"/>
    <n v="290"/>
    <n v="46"/>
    <n v="9680"/>
    <n v="213"/>
    <n v="4.6304347826086953"/>
    <n v="97"/>
    <n v="244"/>
    <n v="398"/>
    <n v="38"/>
    <n v="380"/>
    <n v="85"/>
    <n v="850"/>
    <n v="0.44705882352941179"/>
    <n v="43"/>
    <n v="51"/>
    <n v="0.84313725490196079"/>
    <n v="32"/>
    <n v="110"/>
    <n v="142"/>
    <n v="320"/>
    <n v="1100"/>
    <n v="1420"/>
    <n v="3.0869565217391304"/>
    <n v="35"/>
    <n v="0.76086956521739135"/>
    <n v="21"/>
    <n v="210"/>
    <n v="0.45652173913043476"/>
    <n v="50"/>
    <n v="5"/>
    <n v="0.10869565217391304"/>
    <n v="250"/>
    <n v="3.652173913043478"/>
    <n v="25"/>
    <n v="0.54347826086956519"/>
    <n v="85"/>
    <n v="1.8478260869565217"/>
    <n v="275"/>
    <n v="5.9782608695652177"/>
  </r>
  <r>
    <x v="156"/>
    <x v="16"/>
    <x v="296"/>
    <n v="27"/>
    <n v="270"/>
    <n v="68"/>
    <n v="10160"/>
    <n v="306"/>
    <n v="4.5"/>
    <n v="158"/>
    <n v="369"/>
    <n v="0.42818428184281843"/>
    <n v="54"/>
    <n v="540"/>
    <n v="168"/>
    <n v="1680"/>
    <n v="0.32142857142857145"/>
    <n v="55"/>
    <n v="68"/>
    <n v="0.80882352941176472"/>
    <n v="47"/>
    <n v="79"/>
    <n v="126"/>
    <n v="470"/>
    <n v="790"/>
    <n v="1260"/>
    <n v="1.8529411764705883"/>
    <n v="69"/>
    <n v="1.0147058823529411"/>
    <n v="29"/>
    <n v="290"/>
    <n v="0.4264705882352941"/>
    <n v="110"/>
    <n v="11"/>
    <n v="0.16176470588235295"/>
    <n v="510"/>
    <n v="2.4411764705882355"/>
    <n v="51"/>
    <n v="0.75"/>
    <n v="79"/>
    <n v="1.161764705882353"/>
    <n v="425"/>
    <n v="6.25"/>
  </r>
  <r>
    <x v="157"/>
    <x v="16"/>
    <x v="297"/>
    <n v="24"/>
    <n v="240"/>
    <n v="18"/>
    <n v="2250"/>
    <n v="67"/>
    <n v="3.7222222222222223"/>
    <n v="28"/>
    <n v="72"/>
    <n v="0.3888888888888889"/>
    <n v="10"/>
    <n v="100"/>
    <n v="32"/>
    <n v="320"/>
    <n v="0.3125"/>
    <n v="29"/>
    <n v="31"/>
    <n v="0.93548387096774188"/>
    <n v="6"/>
    <n v="21"/>
    <n v="27"/>
    <n v="60"/>
    <n v="210"/>
    <n v="270"/>
    <n v="1.5"/>
    <n v="28"/>
    <n v="1.5555555555555556"/>
    <n v="6"/>
    <n v="60"/>
    <n v="0.33333333333333331"/>
    <n v="10"/>
    <n v="1"/>
    <n v="5.5555555555555552E-2"/>
    <n v="160"/>
    <n v="1.8888888888888888"/>
    <n v="16"/>
    <n v="0.88888888888888884"/>
    <n v="28"/>
    <n v="1.5555555555555556"/>
    <n v="95"/>
    <n v="5.2777777777777777"/>
  </r>
  <r>
    <x v="158"/>
    <x v="16"/>
    <x v="298"/>
    <n v="24"/>
    <n v="240"/>
    <n v="52"/>
    <n v="8570"/>
    <n v="182"/>
    <n v="3.5"/>
    <n v="82"/>
    <n v="217"/>
    <n v="0.37788018433179721"/>
    <n v="23"/>
    <n v="230"/>
    <n v="86"/>
    <n v="860"/>
    <n v="0.26744186046511625"/>
    <n v="28"/>
    <n v="43"/>
    <n v="0.65116279069767447"/>
    <n v="12"/>
    <n v="86"/>
    <n v="98"/>
    <n v="120"/>
    <n v="860"/>
    <n v="980"/>
    <n v="1.8846153846153846"/>
    <n v="107"/>
    <n v="2.0576923076923075"/>
    <n v="34"/>
    <n v="340"/>
    <n v="0.65384615384615385"/>
    <n v="80"/>
    <n v="8"/>
    <n v="0.15384615384615385"/>
    <n v="560"/>
    <n v="2.6923076923076925"/>
    <n v="56"/>
    <n v="1.0769230769230769"/>
    <n v="74"/>
    <n v="1.4230769230769231"/>
    <n v="215"/>
    <n v="4.134615384615385"/>
  </r>
  <r>
    <x v="159"/>
    <x v="16"/>
    <x v="299"/>
    <n v="25"/>
    <n v="250"/>
    <n v="32"/>
    <n v="3310"/>
    <n v="97"/>
    <n v="3.03125"/>
    <n v="39"/>
    <n v="86"/>
    <n v="0.45348837209302323"/>
    <n v="1"/>
    <n v="10"/>
    <n v="7"/>
    <n v="70"/>
    <n v="0.14285714285714285"/>
    <n v="19"/>
    <n v="26"/>
    <n v="0.73076923076923073"/>
    <n v="22"/>
    <n v="42"/>
    <n v="64"/>
    <n v="220"/>
    <n v="420"/>
    <n v="640"/>
    <n v="2"/>
    <n v="8"/>
    <n v="0.25"/>
    <n v="15"/>
    <n v="150"/>
    <n v="0.46875"/>
    <n v="80"/>
    <n v="8"/>
    <n v="0.25"/>
    <n v="120"/>
    <n v="2.71875"/>
    <n v="12"/>
    <n v="0.375"/>
    <n v="30"/>
    <n v="0.9375"/>
    <n v="98"/>
    <n v="3.0625"/>
  </r>
  <r>
    <x v="160"/>
    <x v="16"/>
    <x v="300"/>
    <n v="24"/>
    <n v="240"/>
    <n v="21"/>
    <n v="1700"/>
    <n v="49"/>
    <n v="2.3333333333333335"/>
    <n v="16"/>
    <n v="30"/>
    <n v="533"/>
    <n v="0"/>
    <n v="0"/>
    <n v="0"/>
    <n v="0"/>
    <e v="#DIV/0!"/>
    <n v="8"/>
    <n v="19"/>
    <n v="0.42105263157894735"/>
    <n v="23"/>
    <n v="28"/>
    <n v="51"/>
    <n v="230"/>
    <n v="280"/>
    <n v="510"/>
    <n v="2.4285714285714284"/>
    <n v="10"/>
    <n v="0.47619047619047616"/>
    <n v="4"/>
    <n v="40"/>
    <n v="0.19047619047619047"/>
    <n v="40"/>
    <n v="4"/>
    <n v="0.19047619047619047"/>
    <n v="120"/>
    <n v="2.8095238095238093"/>
    <n v="12"/>
    <n v="0.5714285714285714"/>
    <n v="23"/>
    <n v="1.0952380952380953"/>
    <n v="40"/>
    <n v="1.9047619047619047"/>
  </r>
  <r>
    <x v="146"/>
    <x v="16"/>
    <x v="301"/>
    <n v="33"/>
    <n v="330"/>
    <n v="42"/>
    <n v="4080"/>
    <n v="95"/>
    <n v="2.2619047619047619"/>
    <n v="42"/>
    <n v="136"/>
    <n v="309"/>
    <n v="23"/>
    <n v="230"/>
    <n v="74"/>
    <n v="740"/>
    <n v="0.3108108108108108"/>
    <n v="17"/>
    <n v="24"/>
    <n v="0.70833333333333337"/>
    <n v="12"/>
    <n v="47"/>
    <n v="59"/>
    <n v="120"/>
    <n v="470"/>
    <n v="590"/>
    <n v="1.4047619047619047"/>
    <n v="52"/>
    <n v="1.2380952380952381"/>
    <n v="13"/>
    <n v="130"/>
    <n v="0.30952380952380953"/>
    <n v="20"/>
    <n v="2"/>
    <n v="4.7619047619047616E-2"/>
    <n v="160"/>
    <n v="1.7619047619047619"/>
    <n v="16"/>
    <n v="0.38095238095238093"/>
    <n v="38"/>
    <n v="0.90476190476190477"/>
    <n v="124"/>
    <n v="2.9523809523809526"/>
  </r>
  <r>
    <x v="161"/>
    <x v="17"/>
    <x v="302"/>
    <n v="26"/>
    <n v="260"/>
    <n v="71"/>
    <n v="18300"/>
    <n v="1330"/>
    <n v="18.732394366197184"/>
    <n v="422"/>
    <n v="713"/>
    <n v="592"/>
    <n v="0"/>
    <n v="0"/>
    <n v="2"/>
    <n v="20"/>
    <n v="0"/>
    <n v="156"/>
    <n v="184"/>
    <n v="0.84782608695652173"/>
    <n v="273"/>
    <n v="507"/>
    <n v="780"/>
    <n v="2730"/>
    <n v="5070"/>
    <n v="7800"/>
    <n v="10.985915492957746"/>
    <n v="105"/>
    <n v="1.4788732394366197"/>
    <n v="36"/>
    <n v="360"/>
    <n v="0.50704225352112675"/>
    <n v="370"/>
    <n v="37"/>
    <n v="0.52112676056338025"/>
    <n v="1220"/>
    <n v="12.014084507042252"/>
    <n v="122"/>
    <n v="1.7183098591549295"/>
    <n v="187"/>
    <n v="2.6338028169014085"/>
    <n v="1000"/>
    <n v="14.084507042253522"/>
  </r>
  <r>
    <x v="140"/>
    <x v="17"/>
    <x v="303"/>
    <n v="22"/>
    <n v="220"/>
    <n v="48"/>
    <n v="15530"/>
    <n v="822"/>
    <n v="17.125"/>
    <n v="390"/>
    <n v="889"/>
    <n v="0.43869516310461193"/>
    <n v="90"/>
    <n v="900"/>
    <n v="228"/>
    <n v="2280"/>
    <n v="0.39473684210526316"/>
    <n v="218"/>
    <n v="275"/>
    <n v="0.79272727272727272"/>
    <n v="62"/>
    <n v="254"/>
    <n v="316"/>
    <n v="620"/>
    <n v="2540"/>
    <n v="3160"/>
    <n v="6.583333333333333"/>
    <n v="57"/>
    <n v="1.1875"/>
    <n v="36"/>
    <n v="360"/>
    <n v="0.75"/>
    <n v="1150"/>
    <n v="115"/>
    <n v="2.3958333333333335"/>
    <n v="930"/>
    <n v="9.7291666666666661"/>
    <n v="93"/>
    <n v="1.9375"/>
    <n v="141"/>
    <n v="2.9375"/>
    <n v="1088"/>
    <n v="22.666666666666668"/>
  </r>
  <r>
    <x v="120"/>
    <x v="17"/>
    <x v="304"/>
    <n v="26"/>
    <n v="260"/>
    <n v="57"/>
    <n v="18850"/>
    <n v="703"/>
    <n v="12.333333333333334"/>
    <n v="360"/>
    <n v="856"/>
    <n v="0.42056074766355139"/>
    <n v="130"/>
    <n v="1300"/>
    <n v="410"/>
    <n v="4100"/>
    <n v="0.31707317073170732"/>
    <n v="146"/>
    <n v="179"/>
    <n v="0.81564245810055869"/>
    <n v="32"/>
    <n v="192"/>
    <n v="224"/>
    <n v="320"/>
    <n v="1920"/>
    <n v="2240"/>
    <n v="3.9298245614035086"/>
    <n v="155"/>
    <n v="2.7192982456140351"/>
    <n v="62"/>
    <n v="620"/>
    <n v="1.0877192982456141"/>
    <n v="100"/>
    <n v="10"/>
    <n v="0.17543859649122806"/>
    <n v="920"/>
    <n v="5.192982456140351"/>
    <n v="92"/>
    <n v="1.6140350877192982"/>
    <n v="123"/>
    <n v="2.1578947368421053"/>
    <n v="996"/>
    <n v="17.473684210526315"/>
  </r>
  <r>
    <x v="162"/>
    <x v="17"/>
    <x v="305"/>
    <n v="25"/>
    <n v="250"/>
    <n v="36"/>
    <n v="7850"/>
    <n v="433"/>
    <n v="12.027777777777779"/>
    <n v="193"/>
    <n v="384"/>
    <n v="0.50260416666666663"/>
    <n v="38"/>
    <n v="380"/>
    <n v="105"/>
    <n v="1050"/>
    <n v="0.3619047619047619"/>
    <n v="37"/>
    <n v="57"/>
    <n v="0.64912280701754388"/>
    <n v="13"/>
    <n v="58"/>
    <n v="71"/>
    <n v="130"/>
    <n v="580"/>
    <n v="710"/>
    <n v="1.9722222222222223"/>
    <n v="170"/>
    <n v="4.7222222222222223"/>
    <n v="24"/>
    <n v="240"/>
    <n v="0.66666666666666663"/>
    <n v="40"/>
    <n v="4"/>
    <n v="0.1111111111111111"/>
    <n v="430"/>
    <n v="2.75"/>
    <n v="43"/>
    <n v="1.1944444444444444"/>
    <n v="43"/>
    <n v="1.1944444444444444"/>
    <n v="461"/>
    <n v="12.805555555555555"/>
  </r>
  <r>
    <x v="163"/>
    <x v="17"/>
    <x v="306"/>
    <n v="29"/>
    <n v="290"/>
    <n v="74"/>
    <n v="16530"/>
    <n v="871"/>
    <n v="11.77027027027027"/>
    <n v="409"/>
    <n v="807"/>
    <n v="0.50681536555142503"/>
    <n v="34"/>
    <n v="340"/>
    <n v="86"/>
    <n v="860"/>
    <n v="0.39534883720930231"/>
    <n v="124"/>
    <n v="159"/>
    <n v="0.77987421383647804"/>
    <n v="97"/>
    <n v="317"/>
    <n v="414"/>
    <n v="970"/>
    <n v="3170"/>
    <n v="4140"/>
    <n v="5.5945945945945947"/>
    <n v="123"/>
    <n v="1.6621621621621621"/>
    <n v="36"/>
    <n v="360"/>
    <n v="0.48648648648648651"/>
    <n v="430"/>
    <n v="43"/>
    <n v="0.58108108108108103"/>
    <n v="1430"/>
    <n v="6.6621621621621623"/>
    <n v="143"/>
    <n v="1.9324324324324325"/>
    <n v="145"/>
    <n v="1.9594594594594594"/>
    <n v="976"/>
    <n v="13.189189189189189"/>
  </r>
  <r>
    <x v="144"/>
    <x v="17"/>
    <x v="307"/>
    <n v="28"/>
    <n v="280"/>
    <n v="77"/>
    <n v="13870"/>
    <n v="831"/>
    <n v="10.792207792207792"/>
    <n v="224"/>
    <n v="384"/>
    <n v="0.58333333333333337"/>
    <n v="4"/>
    <n v="40"/>
    <n v="17"/>
    <n v="170"/>
    <n v="0.23529411764705882"/>
    <n v="98"/>
    <n v="127"/>
    <n v="0.77165354330708658"/>
    <n v="121"/>
    <n v="349"/>
    <n v="470"/>
    <n v="1210"/>
    <n v="3490"/>
    <n v="4700"/>
    <n v="6.1038961038961039"/>
    <n v="158"/>
    <n v="2.051948051948052"/>
    <n v="36"/>
    <n v="360"/>
    <n v="0.46753246753246752"/>
    <n v="980"/>
    <n v="98"/>
    <n v="1.2727272727272727"/>
    <n v="1000"/>
    <n v="7.8441558441558445"/>
    <n v="100"/>
    <n v="1.2987012987012987"/>
    <n v="192"/>
    <n v="2.4935064935064934"/>
    <n v="550"/>
    <n v="7.1428571428571432"/>
  </r>
  <r>
    <x v="153"/>
    <x v="17"/>
    <x v="308"/>
    <n v="32"/>
    <n v="320"/>
    <n v="76"/>
    <n v="23100"/>
    <n v="799"/>
    <n v="10.513157894736842"/>
    <n v="343"/>
    <n v="755"/>
    <n v="0.45430463576158941"/>
    <n v="113"/>
    <n v="1130"/>
    <n v="278"/>
    <n v="2780"/>
    <n v="0.40647482014388492"/>
    <n v="114"/>
    <n v="124"/>
    <n v="0.91935483870967738"/>
    <n v="30"/>
    <n v="194"/>
    <n v="224"/>
    <n v="300"/>
    <n v="1940"/>
    <n v="2240"/>
    <n v="2.9473684210526314"/>
    <n v="180"/>
    <n v="2.3684210526315788"/>
    <n v="80"/>
    <n v="800"/>
    <n v="1.0526315789473684"/>
    <n v="170"/>
    <n v="17"/>
    <n v="0.22368421052631579"/>
    <n v="840"/>
    <n v="4.223684210526315"/>
    <n v="84"/>
    <n v="1.1052631578947369"/>
    <n v="109"/>
    <n v="1.4342105263157894"/>
    <n v="913"/>
    <n v="12.013157894736842"/>
  </r>
  <r>
    <x v="164"/>
    <x v="17"/>
    <x v="309"/>
    <n v="34"/>
    <n v="340"/>
    <n v="62"/>
    <n v="15480"/>
    <n v="565"/>
    <n v="9.112903225806452"/>
    <n v="189"/>
    <n v="443"/>
    <n v="427"/>
    <n v="25"/>
    <n v="250"/>
    <n v="86"/>
    <n v="860"/>
    <n v="0.29069767441860467"/>
    <n v="63"/>
    <n v="75"/>
    <n v="0.84"/>
    <n v="22"/>
    <n v="169"/>
    <n v="191"/>
    <n v="220"/>
    <n v="1690"/>
    <n v="1910"/>
    <n v="3.0806451612903225"/>
    <n v="348"/>
    <n v="5.612903225806452"/>
    <n v="35"/>
    <n v="350"/>
    <n v="0.56451612903225812"/>
    <n v="40"/>
    <n v="4"/>
    <n v="6.4516129032258063E-2"/>
    <n v="1150"/>
    <n v="3.709677419354839"/>
    <n v="115"/>
    <n v="1.8548387096774193"/>
    <n v="98"/>
    <n v="1.5806451612903225"/>
    <n v="466"/>
    <n v="7.5161290322580649"/>
  </r>
  <r>
    <x v="165"/>
    <x v="17"/>
    <x v="310"/>
    <n v="23"/>
    <n v="230"/>
    <n v="17"/>
    <n v="2900"/>
    <n v="116"/>
    <n v="6.8235294117647056"/>
    <n v="49"/>
    <n v="100"/>
    <n v="49"/>
    <n v="11"/>
    <n v="110"/>
    <n v="33"/>
    <n v="330"/>
    <n v="0.33333333333333331"/>
    <n v="19"/>
    <n v="27"/>
    <n v="0.70370370370370372"/>
    <n v="21"/>
    <n v="38"/>
    <n v="59"/>
    <n v="210"/>
    <n v="380"/>
    <n v="590"/>
    <n v="3.4705882352941178"/>
    <n v="15"/>
    <n v="0.88235294117647056"/>
    <n v="19"/>
    <n v="190"/>
    <n v="1.1176470588235294"/>
    <n v="40"/>
    <n v="4"/>
    <n v="0.23529411764705882"/>
    <n v="180"/>
    <n v="4.8235294117647065"/>
    <n v="18"/>
    <n v="1.0588235294117647"/>
    <n v="32"/>
    <n v="1.8823529411764706"/>
    <n v="128"/>
    <n v="7.5294117647058822"/>
  </r>
  <r>
    <x v="166"/>
    <x v="17"/>
    <x v="311"/>
    <n v="22"/>
    <n v="220"/>
    <n v="22"/>
    <n v="4930"/>
    <n v="145"/>
    <n v="6.5909090909090908"/>
    <n v="75"/>
    <n v="204"/>
    <n v="0.36764705882352944"/>
    <n v="9"/>
    <n v="90"/>
    <n v="46"/>
    <n v="460"/>
    <n v="0.19565217391304349"/>
    <n v="35"/>
    <n v="51"/>
    <n v="0.68627450980392157"/>
    <n v="10"/>
    <n v="48"/>
    <n v="58"/>
    <n v="100"/>
    <n v="480"/>
    <n v="580"/>
    <n v="2.6363636363636362"/>
    <n v="85"/>
    <n v="3.8636363636363638"/>
    <n v="20"/>
    <n v="200"/>
    <n v="0.90909090909090906"/>
    <n v="70"/>
    <n v="7"/>
    <n v="0.31818181818181818"/>
    <n v="410"/>
    <n v="3.8636363636363633"/>
    <n v="41"/>
    <n v="1.8636363636363635"/>
    <n v="33"/>
    <n v="1.5"/>
    <n v="194"/>
    <n v="8.8181818181818183"/>
  </r>
  <r>
    <x v="167"/>
    <x v="17"/>
    <x v="312"/>
    <n v="22"/>
    <n v="220"/>
    <n v="20"/>
    <n v="3260"/>
    <n v="127"/>
    <n v="6.35"/>
    <n v="49"/>
    <n v="125"/>
    <n v="0.39200000000000002"/>
    <n v="28"/>
    <n v="280"/>
    <n v="79"/>
    <n v="790"/>
    <n v="0.35443037974683544"/>
    <n v="8"/>
    <n v="11"/>
    <n v="0.72727272727272729"/>
    <n v="11"/>
    <n v="53"/>
    <n v="64"/>
    <n v="110"/>
    <n v="530"/>
    <n v="640"/>
    <n v="3.2"/>
    <n v="26"/>
    <n v="1.3"/>
    <n v="6"/>
    <n v="60"/>
    <n v="0.3"/>
    <n v="160"/>
    <n v="16"/>
    <n v="0.8"/>
    <n v="120"/>
    <n v="4.3000000000000007"/>
    <n v="12"/>
    <n v="0.6"/>
    <n v="28"/>
    <n v="1.4"/>
    <n v="134"/>
    <n v="6.7"/>
  </r>
  <r>
    <x v="168"/>
    <x v="17"/>
    <x v="313"/>
    <n v="26"/>
    <n v="260"/>
    <n v="55"/>
    <n v="11720"/>
    <n v="304"/>
    <n v="5.5272727272727273"/>
    <n v="151"/>
    <n v="328"/>
    <n v="0.46036585365853661"/>
    <n v="53"/>
    <n v="530"/>
    <n v="137"/>
    <n v="1370"/>
    <n v="0.38686131386861317"/>
    <n v="40"/>
    <n v="53"/>
    <n v="0.75471698113207553"/>
    <n v="33"/>
    <n v="101"/>
    <n v="134"/>
    <n v="330"/>
    <n v="1010"/>
    <n v="1340"/>
    <n v="2.4363636363636365"/>
    <n v="50"/>
    <n v="0.90909090909090906"/>
    <n v="10"/>
    <n v="100"/>
    <n v="0.18181818181818182"/>
    <n v="120"/>
    <n v="12"/>
    <n v="0.21818181818181817"/>
    <n v="340"/>
    <n v="2.8363636363636364"/>
    <n v="34"/>
    <n v="0.61818181818181817"/>
    <n v="73"/>
    <n v="1.3272727272727274"/>
    <n v="395"/>
    <n v="7.1818181818181817"/>
  </r>
  <r>
    <x v="169"/>
    <x v="17"/>
    <x v="314"/>
    <n v="19"/>
    <n v="190"/>
    <n v="78"/>
    <n v="17060"/>
    <n v="324"/>
    <n v="4.1538461538461542"/>
    <n v="182"/>
    <n v="500"/>
    <n v="0.36399999999999999"/>
    <n v="50"/>
    <n v="500"/>
    <n v="157"/>
    <n v="1570"/>
    <n v="0.31847133757961782"/>
    <n v="49"/>
    <n v="68"/>
    <n v="0.72058823529411764"/>
    <n v="37"/>
    <n v="140"/>
    <n v="177"/>
    <n v="370"/>
    <n v="1400"/>
    <n v="1770"/>
    <n v="2.2692307692307692"/>
    <n v="250"/>
    <n v="3.2051282051282053"/>
    <n v="65"/>
    <n v="650"/>
    <n v="0.83333333333333337"/>
    <n v="180"/>
    <n v="18"/>
    <n v="0.23076923076923078"/>
    <n v="1310"/>
    <n v="3.333333333333333"/>
    <n v="131"/>
    <n v="1.6794871794871795"/>
    <n v="181"/>
    <n v="2.3205128205128207"/>
    <n v="463"/>
    <n v="5.9358974358974361"/>
  </r>
  <r>
    <x v="151"/>
    <x v="17"/>
    <x v="315"/>
    <n v="24"/>
    <n v="240"/>
    <n v="26"/>
    <n v="2330"/>
    <n v="108"/>
    <n v="4.1538461538461542"/>
    <n v="49"/>
    <n v="81"/>
    <n v="0.60493827160493829"/>
    <n v="1"/>
    <n v="10"/>
    <n v="5"/>
    <n v="50"/>
    <n v="0.2"/>
    <n v="12"/>
    <n v="28"/>
    <n v="0.42857142857142855"/>
    <n v="22"/>
    <n v="45"/>
    <n v="67"/>
    <n v="220"/>
    <n v="450"/>
    <n v="670"/>
    <n v="2.5769230769230771"/>
    <n v="21"/>
    <n v="0.80769230769230771"/>
    <n v="8"/>
    <n v="80"/>
    <n v="0.30769230769230771"/>
    <n v="70"/>
    <n v="7"/>
    <n v="0.26923076923076922"/>
    <n v="260"/>
    <n v="3.1538461538461542"/>
    <n v="26"/>
    <n v="1"/>
    <n v="32"/>
    <n v="1.2307692307692308"/>
    <n v="111"/>
    <n v="4.2692307692307692"/>
  </r>
  <r>
    <x v="170"/>
    <x v="17"/>
    <x v="316"/>
    <n v="24"/>
    <n v="240"/>
    <n v="44"/>
    <n v="4740"/>
    <n v="164"/>
    <n v="3.7272727272727271"/>
    <n v="72"/>
    <n v="161"/>
    <n v="0.44720496894409939"/>
    <n v="22"/>
    <n v="220"/>
    <n v="68"/>
    <n v="680"/>
    <n v="0.3235294117647059"/>
    <n v="16"/>
    <n v="23"/>
    <n v="0.69565217391304346"/>
    <n v="9"/>
    <n v="75"/>
    <n v="84"/>
    <n v="90"/>
    <n v="750"/>
    <n v="840"/>
    <n v="1.9090909090909092"/>
    <n v="31"/>
    <n v="0.70454545454545459"/>
    <n v="12"/>
    <n v="120"/>
    <n v="0.27272727272727271"/>
    <n v="20"/>
    <n v="2"/>
    <n v="4.5454545454545456E-2"/>
    <n v="170"/>
    <n v="2.2272727272727275"/>
    <n v="17"/>
    <n v="0.38636363636363635"/>
    <n v="34"/>
    <n v="0.77272727272727271"/>
    <n v="182"/>
    <n v="4.1363636363636367"/>
  </r>
  <r>
    <x v="136"/>
    <x v="17"/>
    <x v="317"/>
    <n v="30"/>
    <n v="300"/>
    <n v="73"/>
    <n v="13530"/>
    <n v="212"/>
    <n v="2.904109589041096"/>
    <n v="102"/>
    <n v="267"/>
    <n v="382"/>
    <n v="50"/>
    <n v="500"/>
    <n v="124"/>
    <n v="1240"/>
    <n v="0.40322580645161288"/>
    <n v="44"/>
    <n v="53"/>
    <n v="0.83018867924528306"/>
    <n v="44"/>
    <n v="131"/>
    <n v="175"/>
    <n v="440"/>
    <n v="1310"/>
    <n v="1750"/>
    <n v="2.3972602739726026"/>
    <n v="44"/>
    <n v="0.60273972602739723"/>
    <n v="30"/>
    <n v="300"/>
    <n v="0.41095890410958902"/>
    <n v="140"/>
    <n v="14"/>
    <n v="0.19178082191780821"/>
    <n v="410"/>
    <n v="3"/>
    <n v="41"/>
    <n v="0.56164383561643838"/>
    <n v="134"/>
    <n v="1.8356164383561644"/>
    <n v="298"/>
    <n v="4.0821917808219181"/>
  </r>
  <r>
    <x v="158"/>
    <x v="17"/>
    <x v="318"/>
    <n v="25"/>
    <n v="250"/>
    <n v="29"/>
    <n v="3850"/>
    <n v="84"/>
    <n v="2.896551724137931"/>
    <n v="20"/>
    <n v="59"/>
    <n v="0.33898305084745761"/>
    <n v="11"/>
    <n v="110"/>
    <n v="33"/>
    <n v="330"/>
    <n v="0.33333333333333331"/>
    <n v="20"/>
    <n v="26"/>
    <n v="0.76923076923076927"/>
    <n v="5"/>
    <n v="25"/>
    <n v="30"/>
    <n v="50"/>
    <n v="250"/>
    <n v="300"/>
    <n v="1.0344827586206897"/>
    <n v="47"/>
    <n v="1.6206896551724137"/>
    <n v="26"/>
    <n v="260"/>
    <n v="0.89655172413793105"/>
    <n v="60"/>
    <n v="6"/>
    <n v="0.20689655172413793"/>
    <n v="180"/>
    <n v="2.1379310344827589"/>
    <n v="18"/>
    <n v="0.62068965517241381"/>
    <n v="33"/>
    <n v="1.1379310344827587"/>
    <n v="71"/>
    <n v="2.4482758620689653"/>
  </r>
  <r>
    <x v="152"/>
    <x v="17"/>
    <x v="319"/>
    <n v="33"/>
    <n v="330"/>
    <n v="7"/>
    <n v="400"/>
    <n v="18"/>
    <n v="2.5714285714285716"/>
    <n v="5"/>
    <n v="10"/>
    <n v="0.5"/>
    <n v="0"/>
    <n v="0"/>
    <n v="0"/>
    <n v="0"/>
    <e v="#DIV/0!"/>
    <n v="2"/>
    <n v="4"/>
    <n v="0.5"/>
    <n v="6"/>
    <n v="8"/>
    <n v="14"/>
    <n v="60"/>
    <n v="80"/>
    <n v="140"/>
    <n v="2"/>
    <n v="4"/>
    <n v="0.5714285714285714"/>
    <n v="2"/>
    <n v="20"/>
    <n v="0.2857142857142857"/>
    <n v="20"/>
    <n v="2"/>
    <n v="0.2857142857142857"/>
    <n v="40"/>
    <n v="2.5714285714285712"/>
    <n v="4"/>
    <n v="0.5714285714285714"/>
    <n v="5"/>
    <n v="0.7142857142857143"/>
    <n v="12"/>
    <n v="1.7142857142857142"/>
  </r>
  <r>
    <x v="171"/>
    <x v="17"/>
    <x v="320"/>
    <n v="32"/>
    <n v="320"/>
    <n v="13"/>
    <n v="1670"/>
    <n v="33"/>
    <n v="2.5384615384615383"/>
    <n v="17"/>
    <n v="53"/>
    <n v="0.32075471698113206"/>
    <n v="2"/>
    <n v="20"/>
    <n v="11"/>
    <n v="110"/>
    <n v="0.18181818181818182"/>
    <n v="12"/>
    <n v="15"/>
    <n v="0.8"/>
    <n v="1"/>
    <n v="17"/>
    <n v="18"/>
    <n v="10"/>
    <n v="170"/>
    <n v="180"/>
    <n v="1.3846153846153846"/>
    <n v="27"/>
    <n v="2.0769230769230771"/>
    <n v="7"/>
    <n v="70"/>
    <n v="0.53846153846153844"/>
    <n v="10"/>
    <n v="1"/>
    <n v="7.6923076923076927E-2"/>
    <n v="150"/>
    <n v="2"/>
    <n v="15"/>
    <n v="1.1538461538461537"/>
    <n v="14"/>
    <n v="1.0769230769230769"/>
    <n v="48"/>
    <n v="3.6923076923076925"/>
  </r>
  <r>
    <x v="172"/>
    <x v="17"/>
    <x v="321"/>
    <n v="23"/>
    <n v="230"/>
    <n v="18"/>
    <n v="2390"/>
    <n v="37"/>
    <n v="2.0555555555555554"/>
    <n v="33"/>
    <n v="72"/>
    <n v="0.45833333333333331"/>
    <n v="2"/>
    <n v="20"/>
    <n v="9"/>
    <n v="90"/>
    <n v="0.22222222222222221"/>
    <n v="12"/>
    <n v="18"/>
    <n v="0.66666666666666663"/>
    <n v="10"/>
    <n v="31"/>
    <n v="41"/>
    <n v="100"/>
    <n v="310"/>
    <n v="410"/>
    <n v="2.2777777777777777"/>
    <n v="16"/>
    <n v="0.88888888888888884"/>
    <n v="2"/>
    <n v="20"/>
    <n v="0.1111111111111111"/>
    <n v="40"/>
    <n v="4"/>
    <n v="0.22222222222222221"/>
    <n v="160"/>
    <n v="2.6111111111111112"/>
    <n v="16"/>
    <n v="0.88888888888888884"/>
    <n v="45"/>
    <n v="2.5"/>
    <n v="80"/>
    <n v="4.4444444444444446"/>
  </r>
  <r>
    <x v="156"/>
    <x v="17"/>
    <x v="322"/>
    <n v="28"/>
    <n v="280"/>
    <n v="1"/>
    <n v="20"/>
    <n v="-2"/>
    <n v="-2"/>
    <n v="0"/>
    <n v="2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3"/>
    <x v="18"/>
    <x v="323"/>
    <n v="26"/>
    <n v="260"/>
    <n v="71"/>
    <n v="26670"/>
    <n v="1679"/>
    <n v="23.64788732394366"/>
    <n v="602"/>
    <n v="1321"/>
    <n v="0.45571536714610145"/>
    <n v="160"/>
    <n v="1600"/>
    <n v="389"/>
    <n v="3890"/>
    <n v="0.41131105398457585"/>
    <n v="348"/>
    <n v="429"/>
    <n v="0.81118881118881114"/>
    <n v="84"/>
    <n v="640"/>
    <n v="724"/>
    <n v="840"/>
    <n v="6400"/>
    <n v="7240"/>
    <n v="10.19718309859155"/>
    <n v="427"/>
    <n v="6.0140845070422539"/>
    <n v="64"/>
    <n v="640"/>
    <n v="0.90140845070422537"/>
    <n v="180"/>
    <n v="18"/>
    <n v="0.25352112676056338"/>
    <n v="2410"/>
    <n v="11.352112676056338"/>
    <n v="241"/>
    <n v="3.3943661971830985"/>
    <n v="225"/>
    <n v="3.1690140845070425"/>
    <n v="1712"/>
    <n v="24.112676056338028"/>
  </r>
  <r>
    <x v="150"/>
    <x v="18"/>
    <x v="324"/>
    <n v="32"/>
    <n v="320"/>
    <n v="35"/>
    <n v="9370"/>
    <n v="498"/>
    <n v="14.228571428571428"/>
    <n v="208"/>
    <n v="427"/>
    <n v="0.48711943793911006"/>
    <n v="37"/>
    <n v="370"/>
    <n v="90"/>
    <n v="900"/>
    <n v="0.41111111111111109"/>
    <n v="68"/>
    <n v="77"/>
    <n v="0.88311688311688308"/>
    <n v="14"/>
    <n v="87"/>
    <n v="101"/>
    <n v="140"/>
    <n v="870"/>
    <n v="1010"/>
    <n v="2.8857142857142857"/>
    <n v="146"/>
    <n v="4.1714285714285717"/>
    <n v="31"/>
    <n v="310"/>
    <n v="0.88571428571428568"/>
    <n v="150"/>
    <n v="15"/>
    <n v="0.42857142857142855"/>
    <n v="490"/>
    <n v="4.2"/>
    <n v="49"/>
    <n v="1.4"/>
    <n v="39"/>
    <n v="1.1142857142857143"/>
    <n v="521"/>
    <n v="14.885714285714286"/>
  </r>
  <r>
    <x v="174"/>
    <x v="18"/>
    <x v="325"/>
    <n v="21"/>
    <n v="210"/>
    <n v="72"/>
    <n v="25110"/>
    <n v="978"/>
    <n v="13.583333333333334"/>
    <n v="467"/>
    <n v="1060"/>
    <n v="0.44056603773584907"/>
    <n v="124"/>
    <n v="1240"/>
    <n v="309"/>
    <n v="3090"/>
    <n v="0.40129449838187703"/>
    <n v="206"/>
    <n v="276"/>
    <n v="0.74637681159420288"/>
    <n v="68"/>
    <n v="346"/>
    <n v="414"/>
    <n v="680"/>
    <n v="3460"/>
    <n v="4140"/>
    <n v="5.75"/>
    <n v="217"/>
    <n v="3.0138888888888888"/>
    <n v="53"/>
    <n v="530"/>
    <n v="0.73611111111111116"/>
    <n v="200"/>
    <n v="20"/>
    <n v="0.27777777777777779"/>
    <n v="1390"/>
    <n v="6.7638888888888893"/>
    <n v="139"/>
    <n v="1.9305555555555556"/>
    <n v="188"/>
    <n v="2.6111111111111112"/>
    <n v="1264"/>
    <n v="17.555555555555557"/>
  </r>
  <r>
    <x v="175"/>
    <x v="18"/>
    <x v="326"/>
    <n v="23"/>
    <n v="230"/>
    <n v="31"/>
    <n v="8530"/>
    <n v="405"/>
    <n v="13.064516129032258"/>
    <n v="115"/>
    <n v="176"/>
    <n v="0.65340909090909094"/>
    <n v="0"/>
    <n v="0"/>
    <n v="0"/>
    <n v="0"/>
    <e v="#DIV/0!"/>
    <n v="26"/>
    <n v="53"/>
    <n v="0.49056603773584906"/>
    <n v="113"/>
    <n v="139"/>
    <n v="252"/>
    <n v="1130"/>
    <n v="1390"/>
    <n v="2520"/>
    <n v="8.129032258064516"/>
    <n v="17"/>
    <n v="0.54838709677419351"/>
    <n v="35"/>
    <n v="350"/>
    <n v="1.1290322580645162"/>
    <n v="450"/>
    <n v="45"/>
    <n v="1.4516129032258065"/>
    <n v="260"/>
    <n v="10.70967741935484"/>
    <n v="26"/>
    <n v="0.83870967741935487"/>
    <n v="86"/>
    <n v="2.774193548387097"/>
    <n v="256"/>
    <n v="8.258064516129032"/>
  </r>
  <r>
    <x v="176"/>
    <x v="18"/>
    <x v="327"/>
    <n v="29"/>
    <n v="290"/>
    <n v="49"/>
    <n v="12550"/>
    <n v="544"/>
    <n v="11.102040816326531"/>
    <n v="210"/>
    <n v="500"/>
    <n v="0.42"/>
    <n v="102"/>
    <n v="1020"/>
    <n v="246"/>
    <n v="2460"/>
    <n v="0.41463414634146339"/>
    <n v="101"/>
    <n v="118"/>
    <n v="0.85593220338983056"/>
    <n v="21"/>
    <n v="206"/>
    <n v="227"/>
    <n v="210"/>
    <n v="2060"/>
    <n v="2270"/>
    <n v="4.6326530612244898"/>
    <n v="107"/>
    <n v="2.1836734693877551"/>
    <n v="31"/>
    <n v="310"/>
    <n v="0.63265306122448983"/>
    <n v="140"/>
    <n v="14"/>
    <n v="0.2857142857142857"/>
    <n v="490"/>
    <n v="5.5510204081632653"/>
    <n v="49"/>
    <n v="1"/>
    <n v="102"/>
    <n v="2.0816326530612246"/>
    <n v="623"/>
    <n v="12.714285714285714"/>
  </r>
  <r>
    <x v="177"/>
    <x v="18"/>
    <x v="328"/>
    <n v="27"/>
    <n v="270"/>
    <n v="64"/>
    <n v="15470"/>
    <n v="641"/>
    <n v="10.015625"/>
    <n v="137"/>
    <n v="223"/>
    <n v="0.61434977578475336"/>
    <n v="0"/>
    <n v="0"/>
    <n v="3"/>
    <n v="30"/>
    <n v="0"/>
    <n v="50"/>
    <n v="70"/>
    <n v="0.7142857142857143"/>
    <n v="142"/>
    <n v="265"/>
    <n v="407"/>
    <n v="1420"/>
    <n v="2650"/>
    <n v="4070"/>
    <n v="6.359375"/>
    <n v="46"/>
    <n v="0.71875"/>
    <n v="70"/>
    <n v="700"/>
    <n v="1.09375"/>
    <n v="1410"/>
    <n v="141"/>
    <n v="2.203125"/>
    <n v="650"/>
    <n v="9.65625"/>
    <n v="65"/>
    <n v="1.015625"/>
    <n v="176"/>
    <n v="2.75"/>
    <n v="324"/>
    <n v="5.0625"/>
  </r>
  <r>
    <x v="178"/>
    <x v="18"/>
    <x v="329"/>
    <n v="36"/>
    <n v="360"/>
    <n v="45"/>
    <n v="9360"/>
    <n v="412"/>
    <n v="9.155555555555555"/>
    <n v="99"/>
    <n v="158"/>
    <n v="627"/>
    <n v="3"/>
    <n v="30"/>
    <n v="15"/>
    <n v="150"/>
    <n v="0.2"/>
    <n v="40"/>
    <n v="55"/>
    <n v="0.72727272727272729"/>
    <n v="99"/>
    <n v="151"/>
    <n v="250"/>
    <n v="990"/>
    <n v="1510"/>
    <n v="2500"/>
    <n v="5.5555555555555554"/>
    <n v="36"/>
    <n v="0.8"/>
    <n v="31"/>
    <n v="310"/>
    <n v="0.68888888888888888"/>
    <n v="490"/>
    <n v="49"/>
    <n v="1.0888888888888888"/>
    <n v="220"/>
    <n v="7.333333333333333"/>
    <n v="22"/>
    <n v="0.48888888888888887"/>
    <n v="99"/>
    <n v="2.2000000000000002"/>
    <n v="241"/>
    <n v="5.3555555555555552"/>
  </r>
  <r>
    <x v="179"/>
    <x v="18"/>
    <x v="330"/>
    <n v="30"/>
    <n v="300"/>
    <n v="65"/>
    <n v="19490"/>
    <n v="585"/>
    <n v="9"/>
    <n v="248"/>
    <n v="561"/>
    <n v="0.44206773618538325"/>
    <n v="163"/>
    <n v="1630"/>
    <n v="398"/>
    <n v="3980"/>
    <n v="0.40954773869346733"/>
    <n v="50"/>
    <n v="55"/>
    <n v="0.90909090909090906"/>
    <n v="16"/>
    <n v="207"/>
    <n v="223"/>
    <n v="160"/>
    <n v="2070"/>
    <n v="2230"/>
    <n v="3.4307692307692306"/>
    <n v="99"/>
    <n v="1.523076923076923"/>
    <n v="52"/>
    <n v="520"/>
    <n v="0.8"/>
    <n v="110"/>
    <n v="11"/>
    <n v="0.16923076923076924"/>
    <n v="450"/>
    <n v="4.4000000000000004"/>
    <n v="45"/>
    <n v="0.69230769230769229"/>
    <n v="146"/>
    <n v="2.2461538461538462"/>
    <n v="709"/>
    <n v="10.907692307692308"/>
  </r>
  <r>
    <x v="180"/>
    <x v="18"/>
    <x v="331"/>
    <n v="27"/>
    <n v="270"/>
    <n v="63"/>
    <n v="14840"/>
    <n v="508"/>
    <n v="8.0634920634920633"/>
    <n v="269"/>
    <n v="622"/>
    <n v="0.432475884244373"/>
    <n v="28"/>
    <n v="280"/>
    <n v="98"/>
    <n v="980"/>
    <n v="0.2857142857142857"/>
    <n v="73"/>
    <n v="107"/>
    <n v="0.68224299065420557"/>
    <n v="64"/>
    <n v="152"/>
    <n v="216"/>
    <n v="640"/>
    <n v="1520"/>
    <n v="2160"/>
    <n v="3.4285714285714284"/>
    <n v="203"/>
    <n v="3.2222222222222223"/>
    <n v="47"/>
    <n v="470"/>
    <n v="0.74603174603174605"/>
    <n v="90"/>
    <n v="9"/>
    <n v="0.14285714285714285"/>
    <n v="1030"/>
    <n v="4.3174603174603172"/>
    <n v="103"/>
    <n v="1.6349206349206349"/>
    <n v="116"/>
    <n v="1.8412698412698412"/>
    <n v="639"/>
    <n v="10.142857142857142"/>
  </r>
  <r>
    <x v="181"/>
    <x v="18"/>
    <x v="332"/>
    <n v="22"/>
    <n v="220"/>
    <n v="64"/>
    <n v="12440"/>
    <n v="495"/>
    <n v="7.734375"/>
    <n v="229"/>
    <n v="580"/>
    <n v="0.39482758620689656"/>
    <n v="118"/>
    <n v="1180"/>
    <n v="303"/>
    <n v="3030"/>
    <n v="0.38943894389438943"/>
    <n v="155"/>
    <n v="174"/>
    <n v="0.89080459770114939"/>
    <n v="25"/>
    <n v="112"/>
    <n v="137"/>
    <n v="250"/>
    <n v="1120"/>
    <n v="1370"/>
    <n v="2.140625"/>
    <n v="127"/>
    <n v="1.984375"/>
    <n v="30"/>
    <n v="300"/>
    <n v="0.46875"/>
    <n v="120"/>
    <n v="12"/>
    <n v="0.1875"/>
    <n v="580"/>
    <n v="2.796875"/>
    <n v="58"/>
    <n v="0.90625"/>
    <n v="114"/>
    <n v="1.78125"/>
    <n v="731"/>
    <n v="11.421875"/>
  </r>
  <r>
    <x v="182"/>
    <x v="18"/>
    <x v="333"/>
    <n v="28"/>
    <n v="280"/>
    <n v="21"/>
    <n v="4420"/>
    <n v="120"/>
    <n v="5.7142857142857144"/>
    <n v="58"/>
    <n v="135"/>
    <n v="0.42962962962962964"/>
    <n v="28"/>
    <n v="280"/>
    <n v="77"/>
    <n v="770"/>
    <n v="0.36363636363636365"/>
    <n v="10"/>
    <n v="14"/>
    <n v="0.7142857142857143"/>
    <n v="5"/>
    <n v="42"/>
    <n v="47"/>
    <n v="50"/>
    <n v="420"/>
    <n v="470"/>
    <n v="2.2380952380952381"/>
    <n v="42"/>
    <n v="2"/>
    <n v="12"/>
    <n v="120"/>
    <n v="0.5714285714285714"/>
    <n v="0"/>
    <n v="0"/>
    <n v="0"/>
    <n v="220"/>
    <n v="2.8095238095238093"/>
    <n v="22"/>
    <n v="1.0476190476190477"/>
    <n v="32"/>
    <n v="1.5238095238095237"/>
    <n v="154"/>
    <n v="7.333333333333333"/>
  </r>
  <r>
    <x v="183"/>
    <x v="18"/>
    <x v="334"/>
    <n v="23"/>
    <n v="230"/>
    <n v="62"/>
    <n v="6830"/>
    <n v="262"/>
    <n v="4.225806451612903"/>
    <n v="104"/>
    <n v="209"/>
    <n v="498"/>
    <n v="26"/>
    <n v="260"/>
    <n v="85"/>
    <n v="850"/>
    <n v="0.30588235294117649"/>
    <n v="19"/>
    <n v="26"/>
    <n v="0.73076923076923073"/>
    <n v="26"/>
    <n v="112"/>
    <n v="138"/>
    <n v="260"/>
    <n v="1120"/>
    <n v="1380"/>
    <n v="2.225806451612903"/>
    <n v="29"/>
    <n v="0.46774193548387094"/>
    <n v="17"/>
    <n v="170"/>
    <n v="0.27419354838709675"/>
    <n v="150"/>
    <n v="15"/>
    <n v="0.24193548387096775"/>
    <n v="230"/>
    <n v="2.7419354838709675"/>
    <n v="23"/>
    <n v="0.37096774193548387"/>
    <n v="55"/>
    <n v="0.88709677419354838"/>
    <n v="253"/>
    <n v="4.080645161290323"/>
  </r>
  <r>
    <x v="184"/>
    <x v="18"/>
    <x v="335"/>
    <n v="21"/>
    <n v="210"/>
    <n v="42"/>
    <n v="4640"/>
    <n v="116"/>
    <n v="2.7619047619047619"/>
    <n v="56"/>
    <n v="143"/>
    <n v="0.39160839160839161"/>
    <n v="35"/>
    <n v="350"/>
    <n v="89"/>
    <n v="890"/>
    <n v="0.39325842696629215"/>
    <n v="16"/>
    <n v="20"/>
    <n v="0.8"/>
    <n v="10"/>
    <n v="51"/>
    <n v="61"/>
    <n v="100"/>
    <n v="510"/>
    <n v="610"/>
    <n v="1.4523809523809523"/>
    <n v="19"/>
    <n v="0.45238095238095238"/>
    <n v="12"/>
    <n v="120"/>
    <n v="0.2857142857142857"/>
    <n v="60"/>
    <n v="6"/>
    <n v="0.14285714285714285"/>
    <n v="170"/>
    <n v="1.8809523809523809"/>
    <n v="17"/>
    <n v="0.40476190476190477"/>
    <n v="37"/>
    <n v="0.88095238095238093"/>
    <n v="163"/>
    <n v="3.8809523809523809"/>
  </r>
  <r>
    <x v="185"/>
    <x v="18"/>
    <x v="336"/>
    <n v="28"/>
    <n v="280"/>
    <n v="9"/>
    <n v="520"/>
    <n v="23"/>
    <n v="2.5555555555555554"/>
    <n v="5"/>
    <n v="7"/>
    <n v="714"/>
    <n v="0"/>
    <n v="0"/>
    <n v="0"/>
    <n v="0"/>
    <e v="#DIV/0!"/>
    <n v="1"/>
    <n v="2"/>
    <n v="0.5"/>
    <n v="2"/>
    <n v="9"/>
    <n v="11"/>
    <n v="20"/>
    <n v="90"/>
    <n v="110"/>
    <n v="1.2222222222222223"/>
    <n v="1"/>
    <n v="0.1111111111111111"/>
    <n v="1"/>
    <n v="10"/>
    <n v="0.1111111111111111"/>
    <n v="60"/>
    <n v="6"/>
    <n v="0.66666666666666663"/>
    <n v="0"/>
    <n v="2"/>
    <n v="0"/>
    <n v="0"/>
    <n v="4"/>
    <n v="0.44444444444444442"/>
    <n v="11"/>
    <n v="1.2222222222222223"/>
  </r>
  <r>
    <x v="169"/>
    <x v="18"/>
    <x v="337"/>
    <n v="22"/>
    <n v="220"/>
    <n v="33"/>
    <n v="3220"/>
    <n v="45"/>
    <n v="1.3636363636363635"/>
    <n v="29"/>
    <n v="79"/>
    <n v="0.36708860759493672"/>
    <n v="23"/>
    <n v="230"/>
    <n v="48"/>
    <n v="480"/>
    <n v="0.47916666666666669"/>
    <n v="8"/>
    <n v="18"/>
    <n v="0.44444444444444442"/>
    <n v="6"/>
    <n v="25"/>
    <n v="31"/>
    <n v="60"/>
    <n v="250"/>
    <n v="310"/>
    <n v="0.93939393939393945"/>
    <n v="19"/>
    <n v="0.5757575757575758"/>
    <n v="18"/>
    <n v="180"/>
    <n v="0.54545454545454541"/>
    <n v="40"/>
    <n v="4"/>
    <n v="0.12121212121212122"/>
    <n v="110"/>
    <n v="1.606060606060606"/>
    <n v="11"/>
    <n v="0.33333333333333331"/>
    <n v="45"/>
    <n v="1.3636363636363635"/>
    <n v="89"/>
    <n v="2.6969696969696968"/>
  </r>
  <r>
    <x v="186"/>
    <x v="18"/>
    <x v="338"/>
    <n v="23"/>
    <n v="230"/>
    <n v="3"/>
    <n v="280"/>
    <n v="3"/>
    <n v="1"/>
    <n v="2"/>
    <n v="10"/>
    <n v="0.2"/>
    <n v="0"/>
    <n v="0"/>
    <n v="4"/>
    <n v="40"/>
    <n v="0"/>
    <n v="5"/>
    <n v="6"/>
    <n v="0.83333333333333337"/>
    <n v="0"/>
    <n v="2"/>
    <n v="2"/>
    <n v="0"/>
    <n v="20"/>
    <n v="20"/>
    <n v="0.66666666666666663"/>
    <n v="3"/>
    <n v="1"/>
    <n v="3"/>
    <n v="30"/>
    <n v="1"/>
    <n v="0"/>
    <n v="0"/>
    <n v="0"/>
    <n v="10"/>
    <n v="1.6666666666666665"/>
    <n v="1"/>
    <n v="0.33333333333333331"/>
    <n v="4"/>
    <n v="1.3333333333333333"/>
    <n v="9"/>
    <n v="3"/>
  </r>
  <r>
    <x v="187"/>
    <x v="18"/>
    <x v="339"/>
    <n v="22"/>
    <n v="220"/>
    <n v="4"/>
    <n v="70"/>
    <n v="3"/>
    <n v="0.75"/>
    <n v="0"/>
    <n v="1"/>
    <n v="0"/>
    <n v="0"/>
    <n v="0"/>
    <n v="0"/>
    <n v="0"/>
    <e v="#DIV/0!"/>
    <n v="2"/>
    <n v="2"/>
    <n v="1"/>
    <n v="1"/>
    <n v="1"/>
    <n v="2"/>
    <n v="10"/>
    <n v="10"/>
    <n v="20"/>
    <n v="0.5"/>
    <n v="1"/>
    <n v="0.25"/>
    <n v="0"/>
    <n v="0"/>
    <n v="0"/>
    <n v="0"/>
    <n v="0"/>
    <n v="0"/>
    <n v="10"/>
    <n v="0.5"/>
    <n v="1"/>
    <n v="0.25"/>
    <n v="0"/>
    <n v="0"/>
    <n v="2"/>
    <n v="0.5"/>
  </r>
  <r>
    <x v="188"/>
    <x v="18"/>
    <x v="340"/>
    <n v="25"/>
    <n v="250"/>
    <n v="17"/>
    <n v="340"/>
    <n v="-5"/>
    <n v="-0.29411764705882354"/>
    <n v="1"/>
    <n v="9"/>
    <n v="0.1111111111111111"/>
    <n v="0"/>
    <n v="0"/>
    <n v="8"/>
    <n v="80"/>
    <n v="0"/>
    <n v="0"/>
    <n v="0"/>
    <e v="#DIV/0!"/>
    <n v="0"/>
    <n v="5"/>
    <n v="5"/>
    <n v="0"/>
    <n v="50"/>
    <n v="50"/>
    <n v="0.29411764705882354"/>
    <n v="1"/>
    <n v="5.8823529411764705E-2"/>
    <n v="0"/>
    <n v="0"/>
    <n v="0"/>
    <n v="0"/>
    <n v="0"/>
    <n v="0"/>
    <n v="10"/>
    <n v="0.29411764705882354"/>
    <n v="1"/>
    <n v="5.8823529411764705E-2"/>
    <n v="4"/>
    <n v="0.23529411764705882"/>
    <n v="2"/>
    <n v="0.11764705882352941"/>
  </r>
  <r>
    <x v="189"/>
    <x v="18"/>
    <x v="341"/>
    <n v="23"/>
    <n v="230"/>
    <n v="8"/>
    <n v="160"/>
    <n v="-3"/>
    <n v="-0.375"/>
    <n v="0"/>
    <n v="4"/>
    <n v="0"/>
    <n v="0"/>
    <n v="0"/>
    <n v="1"/>
    <n v="10"/>
    <n v="0"/>
    <n v="3"/>
    <n v="4"/>
    <n v="0.75"/>
    <n v="0"/>
    <n v="2"/>
    <n v="2"/>
    <n v="0"/>
    <n v="20"/>
    <n v="20"/>
    <n v="0.25"/>
    <n v="1"/>
    <n v="0.125"/>
    <n v="0"/>
    <n v="0"/>
    <n v="0"/>
    <n v="0"/>
    <n v="0"/>
    <n v="0"/>
    <n v="30"/>
    <n v="0.25"/>
    <n v="3"/>
    <n v="0.375"/>
    <n v="1"/>
    <n v="0.125"/>
    <n v="3"/>
    <n v="0.375"/>
  </r>
  <r>
    <x v="173"/>
    <x v="19"/>
    <x v="342"/>
    <n v="27"/>
    <n v="270"/>
    <n v="72"/>
    <n v="25440"/>
    <n v="1343"/>
    <n v="18.652777777777779"/>
    <n v="512"/>
    <n v="1246"/>
    <n v="0.41091492776886035"/>
    <n v="120"/>
    <n v="1200"/>
    <n v="390"/>
    <n v="3900"/>
    <n v="0.30769230769230771"/>
    <n v="303"/>
    <n v="401"/>
    <n v="0.75561097256857856"/>
    <n v="125"/>
    <n v="591"/>
    <n v="716"/>
    <n v="1250"/>
    <n v="5910"/>
    <n v="7160"/>
    <n v="9.9444444444444446"/>
    <n v="370"/>
    <n v="5.1388888888888893"/>
    <n v="53"/>
    <n v="530"/>
    <n v="0.73611111111111116"/>
    <n v="390"/>
    <n v="39"/>
    <n v="0.54166666666666663"/>
    <n v="2450"/>
    <n v="11.222222222222221"/>
    <n v="245"/>
    <n v="3.4027777777777777"/>
    <n v="205"/>
    <n v="2.8472222222222223"/>
    <n v="1447"/>
    <n v="20.097222222222221"/>
  </r>
  <r>
    <x v="175"/>
    <x v="19"/>
    <x v="343"/>
    <n v="24"/>
    <n v="240"/>
    <n v="72"/>
    <n v="18480"/>
    <n v="1026"/>
    <n v="14.25"/>
    <n v="261"/>
    <n v="343"/>
    <n v="0.76093294460641403"/>
    <n v="0"/>
    <n v="0"/>
    <n v="0"/>
    <n v="0"/>
    <e v="#DIV/0!"/>
    <n v="88"/>
    <n v="181"/>
    <n v="0.48618784530386738"/>
    <n v="295"/>
    <n v="322"/>
    <n v="617"/>
    <n v="2950"/>
    <n v="3220"/>
    <n v="6170"/>
    <n v="8.5694444444444446"/>
    <n v="38"/>
    <n v="0.52777777777777779"/>
    <n v="58"/>
    <n v="580"/>
    <n v="0.80555555555555558"/>
    <n v="1330"/>
    <n v="133"/>
    <n v="1.8472222222222223"/>
    <n v="600"/>
    <n v="11.222222222222221"/>
    <n v="60"/>
    <n v="0.83333333333333337"/>
    <n v="195"/>
    <n v="2.7083333333333335"/>
    <n v="610"/>
    <n v="8.4722222222222214"/>
  </r>
  <r>
    <x v="174"/>
    <x v="19"/>
    <x v="344"/>
    <n v="22"/>
    <n v="220"/>
    <n v="70"/>
    <n v="24170"/>
    <n v="961"/>
    <n v="13.728571428571428"/>
    <n v="487"/>
    <n v="1194"/>
    <n v="0.40787269681742044"/>
    <n v="138"/>
    <n v="1380"/>
    <n v="404"/>
    <n v="4040"/>
    <n v="0.34158415841584161"/>
    <n v="290"/>
    <n v="406"/>
    <n v="0.7142857142857143"/>
    <n v="66"/>
    <n v="342"/>
    <n v="408"/>
    <n v="660"/>
    <n v="3420"/>
    <n v="4080"/>
    <n v="5.8285714285714283"/>
    <n v="208"/>
    <n v="2.9714285714285715"/>
    <n v="43"/>
    <n v="430"/>
    <n v="0.61428571428571432"/>
    <n v="160"/>
    <n v="16"/>
    <n v="0.22857142857142856"/>
    <n v="1510"/>
    <n v="6.6714285714285708"/>
    <n v="151"/>
    <n v="2.157142857142857"/>
    <n v="142"/>
    <n v="2.0285714285714285"/>
    <n v="1402"/>
    <n v="20.028571428571428"/>
  </r>
  <r>
    <x v="150"/>
    <x v="19"/>
    <x v="345"/>
    <n v="33"/>
    <n v="330"/>
    <n v="26"/>
    <n v="6360"/>
    <n v="319"/>
    <n v="12.26923076923077"/>
    <n v="122"/>
    <n v="274"/>
    <n v="0.44525547445255476"/>
    <n v="37"/>
    <n v="370"/>
    <n v="92"/>
    <n v="920"/>
    <n v="0.40217391304347827"/>
    <n v="30"/>
    <n v="31"/>
    <n v="0.967741935483871"/>
    <n v="21"/>
    <n v="57"/>
    <n v="78"/>
    <n v="210"/>
    <n v="570"/>
    <n v="780"/>
    <n v="3"/>
    <n v="103"/>
    <n v="3.9615384615384617"/>
    <n v="22"/>
    <n v="220"/>
    <n v="0.84615384615384615"/>
    <n v="120"/>
    <n v="12"/>
    <n v="0.46153846153846156"/>
    <n v="390"/>
    <n v="4.3076923076923075"/>
    <n v="39"/>
    <n v="1.5"/>
    <n v="15"/>
    <n v="0.57692307692307687"/>
    <n v="311"/>
    <n v="11.961538461538462"/>
  </r>
  <r>
    <x v="176"/>
    <x v="19"/>
    <x v="346"/>
    <n v="30"/>
    <n v="300"/>
    <n v="81"/>
    <n v="23180"/>
    <n v="895"/>
    <n v="11.049382716049383"/>
    <n v="285"/>
    <n v="728"/>
    <n v="0.39148351648351648"/>
    <n v="157"/>
    <n v="1570"/>
    <n v="389"/>
    <n v="3890"/>
    <n v="0.40359897172236503"/>
    <n v="217"/>
    <n v="264"/>
    <n v="0.82196969696969702"/>
    <n v="47"/>
    <n v="350"/>
    <n v="397"/>
    <n v="470"/>
    <n v="3500"/>
    <n v="3970"/>
    <n v="4.9012345679012341"/>
    <n v="239"/>
    <n v="2.9506172839506171"/>
    <n v="85"/>
    <n v="850"/>
    <n v="1.0493827160493827"/>
    <n v="260"/>
    <n v="26"/>
    <n v="0.32098765432098764"/>
    <n v="910"/>
    <n v="6.2716049382716044"/>
    <n v="91"/>
    <n v="1.1234567901234569"/>
    <n v="215"/>
    <n v="2.6543209876543208"/>
    <n v="944"/>
    <n v="11.654320987654321"/>
  </r>
  <r>
    <x v="190"/>
    <x v="19"/>
    <x v="347"/>
    <n v="32"/>
    <n v="320"/>
    <n v="37"/>
    <n v="9480"/>
    <n v="389"/>
    <n v="10.513513513513514"/>
    <n v="149"/>
    <n v="370"/>
    <n v="403"/>
    <n v="73"/>
    <n v="730"/>
    <n v="199"/>
    <n v="1990"/>
    <n v="0.36683417085427134"/>
    <n v="60"/>
    <n v="71"/>
    <n v="0.84507042253521125"/>
    <n v="14"/>
    <n v="97"/>
    <n v="111"/>
    <n v="140"/>
    <n v="970"/>
    <n v="1110"/>
    <n v="3"/>
    <n v="131"/>
    <n v="3.5405405405405403"/>
    <n v="26"/>
    <n v="260"/>
    <n v="0.70270270270270274"/>
    <n v="70"/>
    <n v="7"/>
    <n v="0.1891891891891892"/>
    <n v="480"/>
    <n v="3.8918918918918921"/>
    <n v="48"/>
    <n v="1.2972972972972974"/>
    <n v="37"/>
    <n v="1"/>
    <n v="431"/>
    <n v="11.648648648648649"/>
  </r>
  <r>
    <x v="181"/>
    <x v="19"/>
    <x v="348"/>
    <n v="23"/>
    <n v="230"/>
    <n v="78"/>
    <n v="18020"/>
    <n v="731"/>
    <n v="9.3717948717948723"/>
    <n v="284"/>
    <n v="724"/>
    <n v="0.39226519337016574"/>
    <n v="137"/>
    <n v="1370"/>
    <n v="396"/>
    <n v="3960"/>
    <n v="0.34595959595959597"/>
    <n v="177"/>
    <n v="201"/>
    <n v="0.88059701492537312"/>
    <n v="31"/>
    <n v="216"/>
    <n v="247"/>
    <n v="310"/>
    <n v="2160"/>
    <n v="2470"/>
    <n v="3.1666666666666665"/>
    <n v="275"/>
    <n v="3.5256410256410255"/>
    <n v="54"/>
    <n v="540"/>
    <n v="0.69230769230769229"/>
    <n v="30"/>
    <n v="3"/>
    <n v="3.8461538461538464E-2"/>
    <n v="990"/>
    <n v="3.8974358974358974"/>
    <n v="99"/>
    <n v="1.2692307692307692"/>
    <n v="167"/>
    <n v="2.141025641025641"/>
    <n v="882"/>
    <n v="11.307692307692308"/>
  </r>
  <r>
    <x v="191"/>
    <x v="19"/>
    <x v="349"/>
    <n v="29"/>
    <n v="290"/>
    <n v="80"/>
    <n v="23580"/>
    <n v="724"/>
    <n v="9.0500000000000007"/>
    <n v="402"/>
    <n v="965"/>
    <n v="0.41658031088082903"/>
    <n v="241"/>
    <n v="2410"/>
    <n v="619"/>
    <n v="6190"/>
    <n v="0.38933764135702748"/>
    <n v="80"/>
    <n v="113"/>
    <n v="0.70796460176991149"/>
    <n v="34"/>
    <n v="176"/>
    <n v="210"/>
    <n v="340"/>
    <n v="1760"/>
    <n v="2100"/>
    <n v="2.625"/>
    <n v="171"/>
    <n v="2.1375000000000002"/>
    <n v="79"/>
    <n v="790"/>
    <n v="0.98750000000000004"/>
    <n v="200"/>
    <n v="20"/>
    <n v="0.25"/>
    <n v="1050"/>
    <n v="3.8624999999999998"/>
    <n v="105"/>
    <n v="1.3125"/>
    <n v="180"/>
    <n v="2.25"/>
    <n v="1125"/>
    <n v="14.0625"/>
  </r>
  <r>
    <x v="183"/>
    <x v="19"/>
    <x v="350"/>
    <n v="24"/>
    <n v="240"/>
    <n v="72"/>
    <n v="12300"/>
    <n v="641"/>
    <n v="8.9027777777777786"/>
    <n v="251"/>
    <n v="473"/>
    <n v="531"/>
    <n v="52"/>
    <n v="520"/>
    <n v="169"/>
    <n v="1690"/>
    <n v="0.30769230769230771"/>
    <n v="94"/>
    <n v="124"/>
    <n v="0.75806451612903225"/>
    <n v="69"/>
    <n v="199"/>
    <n v="268"/>
    <n v="690"/>
    <n v="1990"/>
    <n v="2680"/>
    <n v="3.7222222222222223"/>
    <n v="77"/>
    <n v="1.0694444444444444"/>
    <n v="25"/>
    <n v="250"/>
    <n v="0.34722222222222221"/>
    <n v="330"/>
    <n v="33"/>
    <n v="0.45833333333333331"/>
    <n v="560"/>
    <n v="4.5277777777777777"/>
    <n v="56"/>
    <n v="0.77777777777777779"/>
    <n v="102"/>
    <n v="1.4166666666666667"/>
    <n v="648"/>
    <n v="9"/>
  </r>
  <r>
    <x v="177"/>
    <x v="19"/>
    <x v="351"/>
    <n v="28"/>
    <n v="280"/>
    <n v="25"/>
    <n v="5620"/>
    <n v="186"/>
    <n v="7.44"/>
    <n v="32"/>
    <n v="60"/>
    <n v="0.53333333333333333"/>
    <n v="0"/>
    <n v="0"/>
    <n v="3"/>
    <n v="30"/>
    <n v="0"/>
    <n v="21"/>
    <n v="30"/>
    <n v="0.7"/>
    <n v="48"/>
    <n v="93"/>
    <n v="141"/>
    <n v="480"/>
    <n v="930"/>
    <n v="1410"/>
    <n v="5.64"/>
    <n v="23"/>
    <n v="0.92"/>
    <n v="30"/>
    <n v="300"/>
    <n v="1.2"/>
    <n v="310"/>
    <n v="31"/>
    <n v="1.24"/>
    <n v="200"/>
    <n v="8.08"/>
    <n v="20"/>
    <n v="0.8"/>
    <n v="67"/>
    <n v="2.68"/>
    <n v="85"/>
    <n v="3.4"/>
  </r>
  <r>
    <x v="178"/>
    <x v="19"/>
    <x v="352"/>
    <n v="37"/>
    <n v="370"/>
    <n v="52"/>
    <n v="9460"/>
    <n v="298"/>
    <n v="5.7307692307692308"/>
    <n v="86"/>
    <n v="166"/>
    <n v="518"/>
    <n v="15"/>
    <n v="150"/>
    <n v="38"/>
    <n v="380"/>
    <n v="0.39473684210526316"/>
    <n v="42"/>
    <n v="52"/>
    <n v="0.80769230769230771"/>
    <n v="88"/>
    <n v="141"/>
    <n v="229"/>
    <n v="880"/>
    <n v="1410"/>
    <n v="2290"/>
    <n v="4.4038461538461542"/>
    <n v="32"/>
    <n v="0.61538461538461542"/>
    <n v="22"/>
    <n v="220"/>
    <n v="0.42307692307692307"/>
    <n v="400"/>
    <n v="40"/>
    <n v="0.76923076923076927"/>
    <n v="270"/>
    <n v="5.5961538461538467"/>
    <n v="27"/>
    <n v="0.51923076923076927"/>
    <n v="137"/>
    <n v="2.6346153846153846"/>
    <n v="229"/>
    <n v="4.4038461538461542"/>
  </r>
  <r>
    <x v="192"/>
    <x v="19"/>
    <x v="353"/>
    <n v="23"/>
    <n v="230"/>
    <n v="41"/>
    <n v="5550"/>
    <n v="195"/>
    <n v="4.7560975609756095"/>
    <n v="39"/>
    <n v="54"/>
    <n v="0.72222222222222221"/>
    <n v="0"/>
    <n v="0"/>
    <n v="0"/>
    <n v="0"/>
    <e v="#DIV/0!"/>
    <n v="12"/>
    <n v="29"/>
    <n v="0.41379310344827586"/>
    <n v="61"/>
    <n v="108"/>
    <n v="169"/>
    <n v="610"/>
    <n v="1080"/>
    <n v="1690"/>
    <n v="4.1219512195121952"/>
    <n v="21"/>
    <n v="0.51219512195121952"/>
    <n v="11"/>
    <n v="110"/>
    <n v="0.26829268292682928"/>
    <n v="220"/>
    <n v="22"/>
    <n v="0.53658536585365857"/>
    <n v="200"/>
    <n v="4.9268292682926829"/>
    <n v="20"/>
    <n v="0.48780487804878048"/>
    <n v="66"/>
    <n v="1.6097560975609757"/>
    <n v="90"/>
    <n v="2.1951219512195124"/>
  </r>
  <r>
    <x v="193"/>
    <x v="19"/>
    <x v="354"/>
    <n v="22"/>
    <n v="220"/>
    <n v="15"/>
    <n v="2160"/>
    <n v="69"/>
    <n v="4.5999999999999996"/>
    <n v="27"/>
    <n v="65"/>
    <n v="415"/>
    <n v="8"/>
    <n v="80"/>
    <n v="31"/>
    <n v="310"/>
    <n v="0.25806451612903225"/>
    <n v="29"/>
    <n v="32"/>
    <n v="0.90625"/>
    <n v="5"/>
    <n v="16"/>
    <n v="21"/>
    <n v="50"/>
    <n v="160"/>
    <n v="210"/>
    <n v="1.4"/>
    <n v="10"/>
    <n v="0.66666666666666663"/>
    <n v="12"/>
    <n v="120"/>
    <n v="0.8"/>
    <n v="40"/>
    <n v="4"/>
    <n v="0.26666666666666666"/>
    <n v="130"/>
    <n v="2.4666666666666668"/>
    <n v="13"/>
    <n v="0.8666666666666667"/>
    <n v="15"/>
    <n v="1"/>
    <n v="91"/>
    <n v="6.0666666666666664"/>
  </r>
  <r>
    <x v="194"/>
    <x v="19"/>
    <x v="355"/>
    <n v="22"/>
    <n v="220"/>
    <n v="46"/>
    <n v="7860"/>
    <n v="209"/>
    <n v="4.5434782608695654"/>
    <n v="95"/>
    <n v="235"/>
    <n v="0.40425531914893614"/>
    <n v="72"/>
    <n v="720"/>
    <n v="189"/>
    <n v="1890"/>
    <n v="0.38095238095238093"/>
    <n v="13"/>
    <n v="19"/>
    <n v="0.68421052631578949"/>
    <n v="24"/>
    <n v="70"/>
    <n v="94"/>
    <n v="240"/>
    <n v="700"/>
    <n v="940"/>
    <n v="2.0434782608695654"/>
    <n v="44"/>
    <n v="0.95652173913043481"/>
    <n v="31"/>
    <n v="310"/>
    <n v="0.67391304347826086"/>
    <n v="110"/>
    <n v="11"/>
    <n v="0.2391304347826087"/>
    <n v="280"/>
    <n v="2.956521739130435"/>
    <n v="28"/>
    <n v="0.60869565217391308"/>
    <n v="72"/>
    <n v="1.5652173913043479"/>
    <n v="275"/>
    <n v="5.9782608695652177"/>
  </r>
  <r>
    <x v="184"/>
    <x v="19"/>
    <x v="356"/>
    <n v="22"/>
    <n v="220"/>
    <n v="13"/>
    <n v="1110"/>
    <n v="37"/>
    <n v="2.8461538461538463"/>
    <n v="15"/>
    <n v="40"/>
    <n v="0.375"/>
    <n v="10"/>
    <n v="100"/>
    <n v="28"/>
    <n v="280"/>
    <n v="0.35714285714285715"/>
    <n v="7"/>
    <n v="10"/>
    <n v="0.7"/>
    <n v="8"/>
    <n v="14"/>
    <n v="22"/>
    <n v="80"/>
    <n v="140"/>
    <n v="220"/>
    <n v="1.6923076923076923"/>
    <n v="3"/>
    <n v="0.23076923076923078"/>
    <n v="2"/>
    <n v="20"/>
    <n v="0.15384615384615385"/>
    <n v="10"/>
    <n v="1"/>
    <n v="7.6923076923076927E-2"/>
    <n v="50"/>
    <n v="1.9230769230769231"/>
    <n v="5"/>
    <n v="0.38461538461538464"/>
    <n v="5"/>
    <n v="0.38461538461538464"/>
    <n v="47"/>
    <n v="3.6153846153846154"/>
  </r>
  <r>
    <x v="170"/>
    <x v="19"/>
    <x v="357"/>
    <n v="28"/>
    <n v="280"/>
    <n v="2"/>
    <n v="210"/>
    <n v="5"/>
    <n v="2.5"/>
    <n v="2"/>
    <n v="4"/>
    <n v="0.5"/>
    <n v="0"/>
    <n v="0"/>
    <n v="1"/>
    <n v="10"/>
    <n v="0"/>
    <n v="0"/>
    <n v="0"/>
    <e v="#DIV/0!"/>
    <n v="0"/>
    <n v="2"/>
    <n v="2"/>
    <n v="0"/>
    <n v="20"/>
    <n v="20"/>
    <n v="1"/>
    <n v="1"/>
    <n v="0.5"/>
    <n v="0"/>
    <n v="0"/>
    <n v="0"/>
    <n v="0"/>
    <n v="0"/>
    <n v="0"/>
    <n v="0"/>
    <n v="1"/>
    <n v="0"/>
    <n v="0"/>
    <n v="0"/>
    <n v="0"/>
    <n v="4"/>
    <n v="2"/>
  </r>
  <r>
    <x v="195"/>
    <x v="19"/>
    <x v="358"/>
    <n v="28"/>
    <n v="280"/>
    <n v="10"/>
    <n v="760"/>
    <n v="15"/>
    <n v="1.5"/>
    <n v="6"/>
    <n v="12"/>
    <n v="0.5"/>
    <n v="4"/>
    <n v="40"/>
    <n v="9"/>
    <n v="90"/>
    <n v="0.44444444444444442"/>
    <n v="0"/>
    <n v="0"/>
    <e v="#DIV/0!"/>
    <n v="0"/>
    <n v="8"/>
    <n v="8"/>
    <n v="0"/>
    <n v="80"/>
    <n v="80"/>
    <n v="0.8"/>
    <n v="4"/>
    <n v="0.4"/>
    <n v="1"/>
    <n v="10"/>
    <n v="0.1"/>
    <n v="0"/>
    <n v="0"/>
    <n v="0"/>
    <n v="30"/>
    <n v="0.9"/>
    <n v="3"/>
    <n v="0.3"/>
    <n v="5"/>
    <n v="0.5"/>
    <n v="16"/>
    <n v="1.6"/>
  </r>
  <r>
    <x v="196"/>
    <x v="19"/>
    <x v="359"/>
    <n v="21"/>
    <n v="210"/>
    <n v="40"/>
    <n v="3720"/>
    <n v="57"/>
    <n v="1.425"/>
    <n v="32"/>
    <n v="108"/>
    <n v="0.29629629629629628"/>
    <n v="17"/>
    <n v="170"/>
    <n v="68"/>
    <n v="680"/>
    <n v="0.25"/>
    <n v="8"/>
    <n v="12"/>
    <n v="0.66666666666666663"/>
    <n v="4"/>
    <n v="38"/>
    <n v="42"/>
    <n v="40"/>
    <n v="380"/>
    <n v="420"/>
    <n v="1.05"/>
    <n v="41"/>
    <n v="1.0249999999999999"/>
    <n v="14"/>
    <n v="140"/>
    <n v="0.35"/>
    <n v="10"/>
    <n v="1"/>
    <n v="2.5000000000000001E-2"/>
    <n v="50"/>
    <n v="1.425"/>
    <n v="5"/>
    <n v="0.125"/>
    <n v="45"/>
    <n v="1.125"/>
    <n v="89"/>
    <n v="2.2250000000000001"/>
  </r>
  <r>
    <x v="197"/>
    <x v="19"/>
    <x v="360"/>
    <n v="27"/>
    <n v="270"/>
    <n v="3"/>
    <n v="190"/>
    <n v="1"/>
    <n v="0.33333333333333331"/>
    <n v="1"/>
    <n v="4"/>
    <n v="0.25"/>
    <n v="1"/>
    <n v="10"/>
    <n v="2"/>
    <n v="20"/>
    <n v="0.5"/>
    <n v="2"/>
    <n v="4"/>
    <n v="0.5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n v="0.33333333333333331"/>
    <n v="0"/>
    <n v="0"/>
    <n v="1"/>
    <n v="0.33333333333333331"/>
    <n v="5"/>
    <n v="1.6666666666666667"/>
  </r>
  <r>
    <x v="198"/>
    <x v="19"/>
    <x v="361"/>
    <n v="25"/>
    <n v="250"/>
    <n v="1"/>
    <n v="20"/>
    <n v="0"/>
    <n v="0"/>
    <n v="0"/>
    <n v="0"/>
    <e v="#DIV/0!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9"/>
    <x v="19"/>
    <x v="362"/>
    <n v="22"/>
    <n v="220"/>
    <n v="2"/>
    <n v="80"/>
    <n v="-1"/>
    <n v="-0.5"/>
    <n v="0"/>
    <n v="2"/>
    <n v="0"/>
    <n v="0"/>
    <n v="0"/>
    <n v="0"/>
    <n v="0"/>
    <e v="#DIV/0!"/>
    <n v="0"/>
    <n v="0"/>
    <e v="#DIV/0!"/>
    <n v="1"/>
    <n v="0"/>
    <n v="1"/>
    <n v="10"/>
    <n v="0"/>
    <n v="10"/>
    <n v="0.5"/>
    <n v="1"/>
    <n v="0.5"/>
    <n v="1"/>
    <n v="10"/>
    <n v="0.5"/>
    <n v="0"/>
    <n v="0"/>
    <n v="0"/>
    <n v="10"/>
    <n v="1"/>
    <n v="1"/>
    <n v="0.5"/>
    <n v="1"/>
    <n v="0.5"/>
    <n v="0"/>
    <n v="0"/>
  </r>
  <r>
    <x v="200"/>
    <x v="19"/>
    <x v="363"/>
    <n v="27"/>
    <n v="270"/>
    <n v="1"/>
    <n v="20"/>
    <n v="-1"/>
    <n v="-1"/>
    <n v="0"/>
    <n v="1"/>
    <n v="0"/>
    <n v="0"/>
    <n v="0"/>
    <n v="1"/>
    <n v="10"/>
    <n v="0"/>
    <n v="0"/>
    <n v="0"/>
    <e v="#DIV/0!"/>
    <n v="0"/>
    <n v="0"/>
    <n v="0"/>
    <n v="0"/>
    <n v="0"/>
    <n v="0"/>
    <n v="0"/>
    <n v="0"/>
    <n v="0"/>
    <n v="1"/>
    <n v="10"/>
    <n v="1"/>
    <n v="0"/>
    <n v="0"/>
    <n v="0"/>
    <n v="10"/>
    <n v="1"/>
    <n v="1"/>
    <n v="1"/>
    <n v="0"/>
    <n v="0"/>
    <n v="0"/>
    <n v="0"/>
  </r>
  <r>
    <x v="201"/>
    <x v="19"/>
    <x v="364"/>
    <n v="29"/>
    <n v="290"/>
    <n v="1"/>
    <n v="30"/>
    <n v="-1"/>
    <n v="-1"/>
    <n v="0"/>
    <n v="1"/>
    <n v="0"/>
    <n v="0"/>
    <n v="0"/>
    <n v="1"/>
    <n v="10"/>
    <n v="0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3"/>
    <x v="20"/>
    <x v="365"/>
    <n v="28"/>
    <n v="280"/>
    <n v="77"/>
    <n v="27370"/>
    <n v="1737"/>
    <n v="22.558441558441558"/>
    <n v="658"/>
    <n v="1432"/>
    <n v="0.45949720670391059"/>
    <n v="218"/>
    <n v="2180"/>
    <n v="636"/>
    <n v="6360"/>
    <n v="0.34276729559748426"/>
    <n v="402"/>
    <n v="531"/>
    <n v="0.75706214689265539"/>
    <n v="141"/>
    <n v="626"/>
    <n v="767"/>
    <n v="1410"/>
    <n v="6260"/>
    <n v="7670"/>
    <n v="9.9610389610389607"/>
    <n v="316"/>
    <n v="4.1038961038961039"/>
    <n v="49"/>
    <n v="490"/>
    <n v="0.63636363636363635"/>
    <n v="210"/>
    <n v="21"/>
    <n v="0.27272727272727271"/>
    <n v="2160"/>
    <n v="10.870129870129869"/>
    <n v="216"/>
    <n v="2.8051948051948052"/>
    <n v="233"/>
    <n v="3.0259740259740258"/>
    <n v="1936"/>
    <n v="25.142857142857142"/>
  </r>
  <r>
    <x v="202"/>
    <x v="20"/>
    <x v="366"/>
    <n v="26"/>
    <n v="260"/>
    <n v="68"/>
    <n v="23790"/>
    <n v="1402"/>
    <n v="20.617647058823529"/>
    <n v="587"/>
    <n v="1195"/>
    <n v="0.49121338912133894"/>
    <n v="134"/>
    <n v="1340"/>
    <n v="322"/>
    <n v="3220"/>
    <n v="0.41614906832298137"/>
    <n v="325"/>
    <n v="392"/>
    <n v="0.82908163265306123"/>
    <n v="40"/>
    <n v="201"/>
    <n v="241"/>
    <n v="400"/>
    <n v="2010"/>
    <n v="2410"/>
    <n v="3.5441176470588234"/>
    <n v="421"/>
    <n v="6.1911764705882355"/>
    <n v="61"/>
    <n v="610"/>
    <n v="0.8970588235294118"/>
    <n v="150"/>
    <n v="15"/>
    <n v="0.22058823529411764"/>
    <n v="1420"/>
    <n v="4.6617647058823533"/>
    <n v="142"/>
    <n v="2.0882352941176472"/>
    <n v="152"/>
    <n v="2.2352941176470589"/>
    <n v="1633"/>
    <n v="24.014705882352942"/>
  </r>
  <r>
    <x v="203"/>
    <x v="20"/>
    <x v="367"/>
    <n v="28"/>
    <n v="280"/>
    <n v="25"/>
    <n v="7500"/>
    <n v="391"/>
    <n v="15.64"/>
    <n v="92"/>
    <n v="157"/>
    <n v="0.5859872611464968"/>
    <n v="27"/>
    <n v="270"/>
    <n v="52"/>
    <n v="520"/>
    <n v="0.51923076923076927"/>
    <n v="45"/>
    <n v="57"/>
    <n v="0.78947368421052633"/>
    <n v="47"/>
    <n v="129"/>
    <n v="176"/>
    <n v="470"/>
    <n v="1290"/>
    <n v="1760"/>
    <n v="7.04"/>
    <n v="90"/>
    <n v="3.6"/>
    <n v="34"/>
    <n v="340"/>
    <n v="1.36"/>
    <n v="120"/>
    <n v="12"/>
    <n v="0.48"/>
    <n v="380"/>
    <n v="8.8800000000000008"/>
    <n v="38"/>
    <n v="1.52"/>
    <n v="62"/>
    <n v="2.48"/>
    <n v="256"/>
    <n v="10.24"/>
  </r>
  <r>
    <x v="175"/>
    <x v="20"/>
    <x v="368"/>
    <n v="25"/>
    <n v="250"/>
    <n v="59"/>
    <n v="15890"/>
    <n v="852"/>
    <n v="14.440677966101696"/>
    <n v="188"/>
    <n v="280"/>
    <n v="0.67142857142857137"/>
    <n v="0"/>
    <n v="0"/>
    <n v="0"/>
    <n v="0"/>
    <e v="#DIV/0!"/>
    <n v="59"/>
    <n v="122"/>
    <n v="0.48360655737704916"/>
    <n v="267"/>
    <n v="288"/>
    <n v="555"/>
    <n v="2670"/>
    <n v="2880"/>
    <n v="5550"/>
    <n v="9.4067796610169498"/>
    <n v="53"/>
    <n v="0.89830508474576276"/>
    <n v="56"/>
    <n v="560"/>
    <n v="0.94915254237288138"/>
    <n v="1090"/>
    <n v="109"/>
    <n v="1.847457627118644"/>
    <n v="410"/>
    <n v="12.203389830508476"/>
    <n v="41"/>
    <n v="0.69491525423728817"/>
    <n v="160"/>
    <n v="2.7118644067796609"/>
    <n v="435"/>
    <n v="7.3728813559322033"/>
  </r>
  <r>
    <x v="181"/>
    <x v="20"/>
    <x v="369"/>
    <n v="24"/>
    <n v="240"/>
    <n v="81"/>
    <n v="23440"/>
    <n v="1091"/>
    <n v="13.469135802469136"/>
    <n v="419"/>
    <n v="936"/>
    <n v="0.44764957264957267"/>
    <n v="168"/>
    <n v="1680"/>
    <n v="454"/>
    <n v="4540"/>
    <n v="0.37004405286343611"/>
    <n v="203"/>
    <n v="248"/>
    <n v="0.81854838709677424"/>
    <n v="58"/>
    <n v="279"/>
    <n v="337"/>
    <n v="580"/>
    <n v="2790"/>
    <n v="3370"/>
    <n v="4.1604938271604937"/>
    <n v="279"/>
    <n v="3.4444444444444446"/>
    <n v="80"/>
    <n v="800"/>
    <n v="0.98765432098765427"/>
    <n v="140"/>
    <n v="14"/>
    <n v="0.1728395061728395"/>
    <n v="1000"/>
    <n v="5.3209876543209873"/>
    <n v="100"/>
    <n v="1.2345679012345678"/>
    <n v="166"/>
    <n v="2.0493827160493829"/>
    <n v="1209"/>
    <n v="14.925925925925926"/>
  </r>
  <r>
    <x v="174"/>
    <x v="20"/>
    <x v="370"/>
    <n v="23"/>
    <n v="230"/>
    <n v="73"/>
    <n v="24760"/>
    <n v="935"/>
    <n v="12.808219178082192"/>
    <n v="510"/>
    <n v="1176"/>
    <n v="0.43367346938775508"/>
    <n v="121"/>
    <n v="1210"/>
    <n v="390"/>
    <n v="3900"/>
    <n v="0.31025641025641026"/>
    <n v="290"/>
    <n v="392"/>
    <n v="0.73979591836734693"/>
    <n v="60"/>
    <n v="308"/>
    <n v="368"/>
    <n v="600"/>
    <n v="3080"/>
    <n v="3680"/>
    <n v="5.0410958904109586"/>
    <n v="201"/>
    <n v="2.7534246575342465"/>
    <n v="31"/>
    <n v="310"/>
    <n v="0.42465753424657532"/>
    <n v="150"/>
    <n v="15"/>
    <n v="0.20547945205479451"/>
    <n v="1640"/>
    <n v="5.6712328767123283"/>
    <n v="164"/>
    <n v="2.2465753424657535"/>
    <n v="179"/>
    <n v="2.452054794520548"/>
    <n v="1431"/>
    <n v="19.602739726027398"/>
  </r>
  <r>
    <x v="194"/>
    <x v="20"/>
    <x v="371"/>
    <n v="23"/>
    <n v="230"/>
    <n v="71"/>
    <n v="21210"/>
    <n v="665"/>
    <n v="9.3661971830985919"/>
    <n v="282"/>
    <n v="602"/>
    <n v="0.46843853820598008"/>
    <n v="157"/>
    <n v="1570"/>
    <n v="407"/>
    <n v="4070"/>
    <n v="0.38574938574938578"/>
    <n v="78"/>
    <n v="98"/>
    <n v="0.79591836734693877"/>
    <n v="49"/>
    <n v="180"/>
    <n v="229"/>
    <n v="490"/>
    <n v="1800"/>
    <n v="2290"/>
    <n v="3.2253521126760565"/>
    <n v="150"/>
    <n v="2.112676056338028"/>
    <n v="47"/>
    <n v="470"/>
    <n v="0.6619718309859155"/>
    <n v="260"/>
    <n v="26"/>
    <n v="0.36619718309859156"/>
    <n v="690"/>
    <n v="4.2535211267605639"/>
    <n v="69"/>
    <n v="0.971830985915493"/>
    <n v="177"/>
    <n v="2.492957746478873"/>
    <n v="799"/>
    <n v="11.253521126760564"/>
  </r>
  <r>
    <x v="204"/>
    <x v="20"/>
    <x v="372"/>
    <n v="25"/>
    <n v="250"/>
    <n v="82"/>
    <n v="16280"/>
    <n v="707"/>
    <n v="8.6219512195121943"/>
    <n v="175"/>
    <n v="327"/>
    <n v="0.53516819571865448"/>
    <n v="8"/>
    <n v="80"/>
    <n v="37"/>
    <n v="370"/>
    <n v="0.21621621621621623"/>
    <n v="48"/>
    <n v="71"/>
    <n v="0.676056338028169"/>
    <n v="209"/>
    <n v="327"/>
    <n v="536"/>
    <n v="2090"/>
    <n v="3270"/>
    <n v="5360"/>
    <n v="6.5365853658536581"/>
    <n v="102"/>
    <n v="1.2439024390243902"/>
    <n v="53"/>
    <n v="530"/>
    <n v="0.64634146341463417"/>
    <n v="640"/>
    <n v="64"/>
    <n v="0.78048780487804881"/>
    <n v="660"/>
    <n v="7.963414634146341"/>
    <n v="66"/>
    <n v="0.80487804878048785"/>
    <n v="213"/>
    <n v="2.5975609756097562"/>
    <n v="406"/>
    <n v="4.9512195121951219"/>
  </r>
  <r>
    <x v="183"/>
    <x v="20"/>
    <x v="373"/>
    <n v="25"/>
    <n v="250"/>
    <n v="67"/>
    <n v="10510"/>
    <n v="438"/>
    <n v="6.5373134328358207"/>
    <n v="187"/>
    <n v="419"/>
    <n v="446"/>
    <n v="85"/>
    <n v="850"/>
    <n v="247"/>
    <n v="2470"/>
    <n v="0.34412955465587042"/>
    <n v="38"/>
    <n v="47"/>
    <n v="0.80851063829787229"/>
    <n v="29"/>
    <n v="158"/>
    <n v="187"/>
    <n v="290"/>
    <n v="1580"/>
    <n v="1870"/>
    <n v="2.7910447761194028"/>
    <n v="66"/>
    <n v="0.9850746268656716"/>
    <n v="23"/>
    <n v="230"/>
    <n v="0.34328358208955223"/>
    <n v="120"/>
    <n v="12"/>
    <n v="0.17910447761194029"/>
    <n v="380"/>
    <n v="3.3134328358208953"/>
    <n v="38"/>
    <n v="0.56716417910447758"/>
    <n v="68"/>
    <n v="1.0149253731343284"/>
    <n v="497"/>
    <n v="7.4179104477611943"/>
  </r>
  <r>
    <x v="192"/>
    <x v="20"/>
    <x v="374"/>
    <n v="24"/>
    <n v="240"/>
    <n v="52"/>
    <n v="8120"/>
    <n v="337"/>
    <n v="6.4807692307692308"/>
    <n v="83"/>
    <n v="107"/>
    <n v="0.77570093457943923"/>
    <n v="0"/>
    <n v="0"/>
    <n v="1"/>
    <n v="10"/>
    <n v="0"/>
    <n v="12"/>
    <n v="16"/>
    <n v="0.75"/>
    <n v="99"/>
    <n v="143"/>
    <n v="242"/>
    <n v="990"/>
    <n v="1430"/>
    <n v="2420"/>
    <n v="4.6538461538461542"/>
    <n v="25"/>
    <n v="0.48076923076923078"/>
    <n v="15"/>
    <n v="150"/>
    <n v="0.28846153846153844"/>
    <n v="280"/>
    <n v="28"/>
    <n v="0.53846153846153844"/>
    <n v="270"/>
    <n v="5.4807692307692308"/>
    <n v="27"/>
    <n v="0.51923076923076927"/>
    <n v="96"/>
    <n v="1.8461538461538463"/>
    <n v="178"/>
    <n v="3.4230769230769229"/>
  </r>
  <r>
    <x v="193"/>
    <x v="20"/>
    <x v="375"/>
    <n v="23"/>
    <n v="230"/>
    <n v="20"/>
    <n v="4380"/>
    <n v="116"/>
    <n v="5.8"/>
    <n v="61"/>
    <n v="136"/>
    <n v="449"/>
    <n v="17"/>
    <n v="170"/>
    <n v="56"/>
    <n v="560"/>
    <n v="0.30357142857142855"/>
    <n v="29"/>
    <n v="33"/>
    <n v="0.87878787878787878"/>
    <n v="7"/>
    <n v="24"/>
    <n v="31"/>
    <n v="70"/>
    <n v="240"/>
    <n v="310"/>
    <n v="1.55"/>
    <n v="20"/>
    <n v="1"/>
    <n v="15"/>
    <n v="150"/>
    <n v="0.75"/>
    <n v="80"/>
    <n v="8"/>
    <n v="0.4"/>
    <n v="150"/>
    <n v="2.7"/>
    <n v="15"/>
    <n v="0.75"/>
    <n v="32"/>
    <n v="1.6"/>
    <n v="168"/>
    <n v="8.4"/>
  </r>
  <r>
    <x v="150"/>
    <x v="20"/>
    <x v="376"/>
    <n v="34"/>
    <n v="340"/>
    <n v="27"/>
    <n v="3380"/>
    <n v="111"/>
    <n v="4.1111111111111107"/>
    <n v="61"/>
    <n v="159"/>
    <n v="0.38364779874213839"/>
    <n v="19"/>
    <n v="190"/>
    <n v="63"/>
    <n v="630"/>
    <n v="0.30158730158730157"/>
    <n v="11"/>
    <n v="12"/>
    <n v="0.91666666666666663"/>
    <n v="8"/>
    <n v="32"/>
    <n v="40"/>
    <n v="80"/>
    <n v="320"/>
    <n v="400"/>
    <n v="1.4814814814814814"/>
    <n v="46"/>
    <n v="1.7037037037037037"/>
    <n v="7"/>
    <n v="70"/>
    <n v="0.25925925925925924"/>
    <n v="50"/>
    <n v="5"/>
    <n v="0.18518518518518517"/>
    <n v="220"/>
    <n v="1.9259259259259258"/>
    <n v="22"/>
    <n v="0.81481481481481477"/>
    <n v="18"/>
    <n v="0.66666666666666663"/>
    <n v="152"/>
    <n v="5.6296296296296298"/>
  </r>
  <r>
    <x v="191"/>
    <x v="20"/>
    <x v="377"/>
    <n v="30"/>
    <n v="300"/>
    <n v="27"/>
    <n v="4590"/>
    <n v="88"/>
    <n v="3.2592592592592591"/>
    <n v="56"/>
    <n v="166"/>
    <n v="0.33734939759036142"/>
    <n v="35"/>
    <n v="350"/>
    <n v="114"/>
    <n v="1140"/>
    <n v="0.30701754385964913"/>
    <n v="18"/>
    <n v="21"/>
    <n v="0.8571428571428571"/>
    <n v="4"/>
    <n v="45"/>
    <n v="49"/>
    <n v="40"/>
    <n v="450"/>
    <n v="490"/>
    <n v="1.8148148148148149"/>
    <n v="36"/>
    <n v="1.3333333333333333"/>
    <n v="16"/>
    <n v="160"/>
    <n v="0.59259259259259256"/>
    <n v="30"/>
    <n v="3"/>
    <n v="0.1111111111111111"/>
    <n v="220"/>
    <n v="2.5185185185185186"/>
    <n v="22"/>
    <n v="0.81481481481481477"/>
    <n v="46"/>
    <n v="1.7037037037037037"/>
    <n v="165"/>
    <n v="6.1111111111111107"/>
  </r>
  <r>
    <x v="196"/>
    <x v="20"/>
    <x v="378"/>
    <n v="22"/>
    <n v="220"/>
    <n v="64"/>
    <n v="7600"/>
    <n v="152"/>
    <n v="2.375"/>
    <n v="77"/>
    <n v="215"/>
    <n v="0.35813953488372091"/>
    <n v="40"/>
    <n v="400"/>
    <n v="134"/>
    <n v="1340"/>
    <n v="0.29850746268656714"/>
    <n v="28"/>
    <n v="42"/>
    <n v="0.66666666666666663"/>
    <n v="13"/>
    <n v="37"/>
    <n v="50"/>
    <n v="130"/>
    <n v="370"/>
    <n v="500"/>
    <n v="0.78125"/>
    <n v="72"/>
    <n v="1.125"/>
    <n v="37"/>
    <n v="370"/>
    <n v="0.578125"/>
    <n v="80"/>
    <n v="8"/>
    <n v="0.125"/>
    <n v="250"/>
    <n v="1.484375"/>
    <n v="25"/>
    <n v="0.390625"/>
    <n v="60"/>
    <n v="0.9375"/>
    <n v="222"/>
    <n v="3.46875"/>
  </r>
  <r>
    <x v="205"/>
    <x v="20"/>
    <x v="379"/>
    <n v="26"/>
    <n v="260"/>
    <n v="13"/>
    <n v="400"/>
    <n v="19"/>
    <n v="1.4615384615384615"/>
    <n v="6"/>
    <n v="12"/>
    <n v="0.5"/>
    <n v="6"/>
    <n v="60"/>
    <n v="10"/>
    <n v="100"/>
    <n v="0.6"/>
    <n v="3"/>
    <n v="5"/>
    <n v="0.6"/>
    <n v="0"/>
    <n v="7"/>
    <n v="7"/>
    <n v="0"/>
    <n v="70"/>
    <n v="70"/>
    <n v="0.53846153846153844"/>
    <n v="1"/>
    <n v="7.6923076923076927E-2"/>
    <n v="1"/>
    <n v="10"/>
    <n v="7.6923076923076927E-2"/>
    <n v="0"/>
    <n v="0"/>
    <n v="0"/>
    <n v="20"/>
    <n v="0.61538461538461542"/>
    <n v="2"/>
    <n v="0.15384615384615385"/>
    <n v="1"/>
    <n v="7.6923076923076927E-2"/>
    <n v="21"/>
    <n v="1.6153846153846154"/>
  </r>
  <r>
    <x v="206"/>
    <x v="20"/>
    <x v="380"/>
    <n v="19"/>
    <n v="190"/>
    <n v="3"/>
    <n v="80"/>
    <n v="2"/>
    <n v="0.66666666666666663"/>
    <n v="1"/>
    <n v="4"/>
    <n v="25"/>
    <n v="1"/>
    <n v="10"/>
    <n v="4"/>
    <n v="40"/>
    <n v="0.25"/>
    <n v="0"/>
    <n v="0"/>
    <e v="#DIV/0!"/>
    <n v="0"/>
    <n v="2"/>
    <n v="2"/>
    <n v="0"/>
    <n v="20"/>
    <n v="20"/>
    <n v="0.66666666666666663"/>
    <n v="0"/>
    <n v="0"/>
    <n v="0"/>
    <n v="0"/>
    <n v="0"/>
    <n v="0"/>
    <n v="0"/>
    <n v="0"/>
    <n v="0"/>
    <n v="0.66666666666666663"/>
    <n v="0"/>
    <n v="0"/>
    <n v="0"/>
    <n v="0"/>
    <n v="3"/>
    <n v="1"/>
  </r>
  <r>
    <x v="195"/>
    <x v="20"/>
    <x v="381"/>
    <n v="29"/>
    <n v="290"/>
    <n v="11"/>
    <n v="260"/>
    <n v="3"/>
    <n v="0.27272727272727271"/>
    <n v="1"/>
    <n v="5"/>
    <n v="0.2"/>
    <n v="1"/>
    <n v="10"/>
    <n v="3"/>
    <n v="30"/>
    <n v="0.33333333333333331"/>
    <n v="0"/>
    <n v="0"/>
    <e v="#DIV/0!"/>
    <n v="0"/>
    <n v="4"/>
    <n v="4"/>
    <n v="0"/>
    <n v="40"/>
    <n v="40"/>
    <n v="0.36363636363636365"/>
    <n v="2"/>
    <n v="0.18181818181818182"/>
    <n v="2"/>
    <n v="20"/>
    <n v="0.18181818181818182"/>
    <n v="0"/>
    <n v="0"/>
    <n v="0"/>
    <n v="10"/>
    <n v="0.54545454545454541"/>
    <n v="1"/>
    <n v="9.0909090909090912E-2"/>
    <n v="3"/>
    <n v="0.27272727272727271"/>
    <n v="3"/>
    <n v="0.27272727272727271"/>
  </r>
  <r>
    <x v="202"/>
    <x v="21"/>
    <x v="382"/>
    <n v="27"/>
    <n v="270"/>
    <n v="77"/>
    <n v="27260"/>
    <n v="1828"/>
    <n v="23.740259740259742"/>
    <n v="790"/>
    <n v="1648"/>
    <n v="0.47936893203883496"/>
    <n v="211"/>
    <n v="2110"/>
    <n v="526"/>
    <n v="5260"/>
    <n v="0.40114068441064638"/>
    <n v="421"/>
    <n v="497"/>
    <n v="0.84708249496981891"/>
    <n v="43"/>
    <n v="235"/>
    <n v="278"/>
    <n v="430"/>
    <n v="2350"/>
    <n v="2780"/>
    <n v="3.6103896103896105"/>
    <n v="519"/>
    <n v="6.7402597402597406"/>
    <n v="70"/>
    <n v="700"/>
    <n v="0.90909090909090906"/>
    <n v="130"/>
    <n v="13"/>
    <n v="0.16883116883116883"/>
    <n v="1860"/>
    <n v="4.6883116883116882"/>
    <n v="186"/>
    <n v="2.4155844155844157"/>
    <n v="144"/>
    <n v="1.8701298701298701"/>
    <n v="2212"/>
    <n v="28.727272727272727"/>
  </r>
  <r>
    <x v="173"/>
    <x v="21"/>
    <x v="383"/>
    <n v="29"/>
    <n v="290"/>
    <n v="46"/>
    <n v="16300"/>
    <n v="1000"/>
    <n v="21.739130434782609"/>
    <n v="395"/>
    <n v="836"/>
    <n v="0.47248803827751196"/>
    <n v="76"/>
    <n v="760"/>
    <n v="244"/>
    <n v="2440"/>
    <n v="0.31147540983606559"/>
    <n v="236"/>
    <n v="302"/>
    <n v="0.7814569536423841"/>
    <n v="99"/>
    <n v="324"/>
    <n v="423"/>
    <n v="990"/>
    <n v="3240"/>
    <n v="4230"/>
    <n v="9.195652173913043"/>
    <n v="229"/>
    <n v="4.9782608695652177"/>
    <n v="25"/>
    <n v="250"/>
    <n v="0.54347826086956519"/>
    <n v="120"/>
    <n v="12"/>
    <n v="0.2608695652173913"/>
    <n v="1590"/>
    <n v="10"/>
    <n v="159"/>
    <n v="3.4565217391304346"/>
    <n v="125"/>
    <n v="2.7173913043478262"/>
    <n v="1102"/>
    <n v="23.956521739130434"/>
  </r>
  <r>
    <x v="204"/>
    <x v="21"/>
    <x v="384"/>
    <n v="26"/>
    <n v="260"/>
    <n v="75"/>
    <n v="18960"/>
    <n v="1089"/>
    <n v="14.52"/>
    <n v="235"/>
    <n v="365"/>
    <n v="0.64383561643835618"/>
    <n v="1"/>
    <n v="10"/>
    <n v="3"/>
    <n v="30"/>
    <n v="0.33333333333333331"/>
    <n v="111"/>
    <n v="157"/>
    <n v="0.70700636942675155"/>
    <n v="244"/>
    <n v="382"/>
    <n v="626"/>
    <n v="2440"/>
    <n v="3820"/>
    <n v="6260"/>
    <n v="8.3466666666666658"/>
    <n v="188"/>
    <n v="2.5066666666666668"/>
    <n v="87"/>
    <n v="870"/>
    <n v="1.1599999999999999"/>
    <n v="850"/>
    <n v="85"/>
    <n v="1.1333333333333333"/>
    <n v="930"/>
    <n v="10.639999999999999"/>
    <n v="93"/>
    <n v="1.24"/>
    <n v="210"/>
    <n v="2.8"/>
    <n v="582"/>
    <n v="7.76"/>
  </r>
  <r>
    <x v="203"/>
    <x v="21"/>
    <x v="385"/>
    <n v="29"/>
    <n v="290"/>
    <n v="81"/>
    <n v="27070"/>
    <n v="1168"/>
    <n v="14.419753086419753"/>
    <n v="295"/>
    <n v="679"/>
    <n v="0.43446244477172313"/>
    <n v="80"/>
    <n v="800"/>
    <n v="258"/>
    <n v="2580"/>
    <n v="0.31007751937984496"/>
    <n v="91"/>
    <n v="115"/>
    <n v="0.79130434782608694"/>
    <n v="128"/>
    <n v="547"/>
    <n v="675"/>
    <n v="1280"/>
    <n v="5470"/>
    <n v="6750"/>
    <n v="8.3333333333333339"/>
    <n v="331"/>
    <n v="4.0864197530864201"/>
    <n v="75"/>
    <n v="750"/>
    <n v="0.92592592592592593"/>
    <n v="230"/>
    <n v="23"/>
    <n v="0.2839506172839506"/>
    <n v="1180"/>
    <n v="9.5432098765432105"/>
    <n v="118"/>
    <n v="1.4567901234567902"/>
    <n v="171"/>
    <n v="2.1111111111111112"/>
    <n v="761"/>
    <n v="9.3950617283950617"/>
  </r>
  <r>
    <x v="207"/>
    <x v="21"/>
    <x v="386"/>
    <n v="27"/>
    <n v="270"/>
    <n v="81"/>
    <n v="23600"/>
    <n v="1049"/>
    <n v="12.950617283950617"/>
    <n v="445"/>
    <n v="1004"/>
    <n v="0.44322709163346613"/>
    <n v="283"/>
    <n v="2830"/>
    <n v="705"/>
    <n v="7050"/>
    <n v="0.40141843971631208"/>
    <n v="86"/>
    <n v="114"/>
    <n v="0.75438596491228072"/>
    <n v="63"/>
    <n v="234"/>
    <n v="297"/>
    <n v="630"/>
    <n v="2340"/>
    <n v="2970"/>
    <n v="3.6666666666666665"/>
    <n v="216"/>
    <n v="2.6666666666666665"/>
    <n v="107"/>
    <n v="1070"/>
    <n v="1.3209876543209877"/>
    <n v="360"/>
    <n v="36"/>
    <n v="0.44444444444444442"/>
    <n v="1130"/>
    <n v="5.4320987654320989"/>
    <n v="113"/>
    <n v="1.3950617283950617"/>
    <n v="166"/>
    <n v="2.0493827160493829"/>
    <n v="1259"/>
    <n v="15.543209876543211"/>
  </r>
  <r>
    <x v="174"/>
    <x v="21"/>
    <x v="387"/>
    <n v="24"/>
    <n v="240"/>
    <n v="26"/>
    <n v="7670"/>
    <n v="332"/>
    <n v="12.76923076923077"/>
    <n v="164"/>
    <n v="388"/>
    <n v="0.42268041237113402"/>
    <n v="43"/>
    <n v="430"/>
    <n v="130"/>
    <n v="1300"/>
    <n v="0.33076923076923076"/>
    <n v="103"/>
    <n v="124"/>
    <n v="0.83064516129032262"/>
    <n v="19"/>
    <n v="92"/>
    <n v="111"/>
    <n v="190"/>
    <n v="920"/>
    <n v="1110"/>
    <n v="4.2692307692307692"/>
    <n v="63"/>
    <n v="2.4230769230769229"/>
    <n v="12"/>
    <n v="120"/>
    <n v="0.46153846153846156"/>
    <n v="90"/>
    <n v="9"/>
    <n v="0.34615384615384615"/>
    <n v="470"/>
    <n v="5.0769230769230766"/>
    <n v="47"/>
    <n v="1.8076923076923077"/>
    <n v="45"/>
    <n v="1.7307692307692308"/>
    <n v="474"/>
    <n v="18.23076923076923"/>
  </r>
  <r>
    <x v="208"/>
    <x v="21"/>
    <x v="388"/>
    <n v="26"/>
    <n v="260"/>
    <n v="23"/>
    <n v="8020"/>
    <n v="290"/>
    <n v="12.608695652173912"/>
    <n v="125"/>
    <n v="256"/>
    <n v="0.48828125"/>
    <n v="41"/>
    <n v="410"/>
    <n v="104"/>
    <n v="1040"/>
    <n v="0.39423076923076922"/>
    <n v="34"/>
    <n v="43"/>
    <n v="0.79069767441860461"/>
    <n v="23"/>
    <n v="79"/>
    <n v="102"/>
    <n v="230"/>
    <n v="790"/>
    <n v="1020"/>
    <n v="4.4347826086956523"/>
    <n v="35"/>
    <n v="1.5217391304347827"/>
    <n v="40"/>
    <n v="400"/>
    <n v="1.7391304347826086"/>
    <n v="230"/>
    <n v="23"/>
    <n v="1"/>
    <n v="380"/>
    <n v="7.1739130434782608"/>
    <n v="38"/>
    <n v="1.6521739130434783"/>
    <n v="57"/>
    <n v="2.4782608695652173"/>
    <n v="325"/>
    <n v="14.130434782608695"/>
  </r>
  <r>
    <x v="181"/>
    <x v="21"/>
    <x v="389"/>
    <n v="25"/>
    <n v="250"/>
    <n v="30"/>
    <n v="7200"/>
    <n v="350"/>
    <n v="11.666666666666666"/>
    <n v="152"/>
    <n v="335"/>
    <n v="0.45373134328358211"/>
    <n v="64"/>
    <n v="640"/>
    <n v="162"/>
    <n v="1620"/>
    <n v="0.39506172839506171"/>
    <n v="82"/>
    <n v="94"/>
    <n v="0.87234042553191493"/>
    <n v="5"/>
    <n v="72"/>
    <n v="77"/>
    <n v="50"/>
    <n v="720"/>
    <n v="770"/>
    <n v="2.5666666666666669"/>
    <n v="74"/>
    <n v="2.4666666666666668"/>
    <n v="16"/>
    <n v="160"/>
    <n v="0.53333333333333333"/>
    <n v="30"/>
    <n v="3"/>
    <n v="0.1"/>
    <n v="310"/>
    <n v="3.2"/>
    <n v="31"/>
    <n v="1.0333333333333334"/>
    <n v="44"/>
    <n v="1.4666666666666666"/>
    <n v="450"/>
    <n v="15"/>
  </r>
  <r>
    <x v="175"/>
    <x v="21"/>
    <x v="390"/>
    <n v="26"/>
    <n v="260"/>
    <n v="31"/>
    <n v="7680"/>
    <n v="353"/>
    <n v="11.387096774193548"/>
    <n v="73"/>
    <n v="127"/>
    <n v="0.57480314960629919"/>
    <n v="0"/>
    <n v="0"/>
    <n v="0"/>
    <n v="0"/>
    <e v="#DIV/0!"/>
    <n v="27"/>
    <n v="66"/>
    <n v="0.40909090909090912"/>
    <n v="142"/>
    <n v="121"/>
    <n v="263"/>
    <n v="1420"/>
    <n v="1210"/>
    <n v="2630"/>
    <n v="8.4838709677419359"/>
    <n v="18"/>
    <n v="0.58064516129032262"/>
    <n v="37"/>
    <n v="370"/>
    <n v="1.1935483870967742"/>
    <n v="350"/>
    <n v="35"/>
    <n v="1.1290322580645162"/>
    <n v="250"/>
    <n v="10.806451612903226"/>
    <n v="25"/>
    <n v="0.80645161290322576"/>
    <n v="55"/>
    <n v="1.7741935483870968"/>
    <n v="173"/>
    <n v="5.580645161290323"/>
  </r>
  <r>
    <x v="209"/>
    <x v="21"/>
    <x v="391"/>
    <n v="24"/>
    <n v="240"/>
    <n v="49"/>
    <n v="11870"/>
    <n v="538"/>
    <n v="10.979591836734693"/>
    <n v="157"/>
    <n v="299"/>
    <n v="525"/>
    <n v="13"/>
    <n v="130"/>
    <n v="50"/>
    <n v="500"/>
    <n v="0.26"/>
    <n v="45"/>
    <n v="70"/>
    <n v="0.6428571428571429"/>
    <n v="141"/>
    <n v="210"/>
    <n v="351"/>
    <n v="1410"/>
    <n v="2100"/>
    <n v="3510"/>
    <n v="7.1632653061224492"/>
    <n v="53"/>
    <n v="1.0816326530612246"/>
    <n v="30"/>
    <n v="300"/>
    <n v="0.61224489795918369"/>
    <n v="560"/>
    <n v="56"/>
    <n v="1.1428571428571428"/>
    <n v="540"/>
    <n v="8.9183673469387763"/>
    <n v="54"/>
    <n v="1.1020408163265305"/>
    <n v="103"/>
    <n v="2.1020408163265305"/>
    <n v="372"/>
    <n v="7.591836734693878"/>
  </r>
  <r>
    <x v="196"/>
    <x v="21"/>
    <x v="392"/>
    <n v="23"/>
    <n v="230"/>
    <n v="68"/>
    <n v="13280"/>
    <n v="439"/>
    <n v="6.4558823529411766"/>
    <n v="205"/>
    <n v="454"/>
    <n v="0.45154185022026433"/>
    <n v="109"/>
    <n v="1090"/>
    <n v="266"/>
    <n v="2660"/>
    <n v="0.40977443609022557"/>
    <n v="43"/>
    <n v="50"/>
    <n v="0.86"/>
    <n v="31"/>
    <n v="69"/>
    <n v="100"/>
    <n v="310"/>
    <n v="690"/>
    <n v="1000"/>
    <n v="1.4705882352941178"/>
    <n v="114"/>
    <n v="1.6764705882352942"/>
    <n v="50"/>
    <n v="500"/>
    <n v="0.73529411764705888"/>
    <n v="70"/>
    <n v="7"/>
    <n v="0.10294117647058823"/>
    <n v="300"/>
    <n v="2.3088235294117649"/>
    <n v="30"/>
    <n v="0.44117647058823528"/>
    <n v="108"/>
    <n v="1.588235294117647"/>
    <n v="562"/>
    <n v="8.264705882352942"/>
  </r>
  <r>
    <x v="210"/>
    <x v="21"/>
    <x v="393"/>
    <n v="35"/>
    <n v="350"/>
    <n v="29"/>
    <n v="5570"/>
    <n v="164"/>
    <n v="5.6551724137931032"/>
    <n v="110"/>
    <n v="256"/>
    <n v="43"/>
    <n v="47"/>
    <n v="470"/>
    <n v="127"/>
    <n v="1270"/>
    <n v="0.37007874015748032"/>
    <n v="36"/>
    <n v="45"/>
    <n v="0.8"/>
    <n v="9"/>
    <n v="49"/>
    <n v="58"/>
    <n v="90"/>
    <n v="490"/>
    <n v="580"/>
    <n v="2"/>
    <n v="26"/>
    <n v="0.89655172413793105"/>
    <n v="7"/>
    <n v="70"/>
    <n v="0.2413793103448276"/>
    <n v="10"/>
    <n v="1"/>
    <n v="3.4482758620689655E-2"/>
    <n v="380"/>
    <n v="2.2758620689655173"/>
    <n v="38"/>
    <n v="1.3103448275862069"/>
    <n v="38"/>
    <n v="1.3103448275862069"/>
    <n v="303"/>
    <n v="10.448275862068966"/>
  </r>
  <r>
    <x v="194"/>
    <x v="21"/>
    <x v="394"/>
    <n v="24"/>
    <n v="240"/>
    <n v="45"/>
    <n v="9100"/>
    <n v="230"/>
    <n v="5.1111111111111107"/>
    <n v="113"/>
    <n v="286"/>
    <n v="0.3951048951048951"/>
    <n v="77"/>
    <n v="770"/>
    <n v="212"/>
    <n v="2120"/>
    <n v="0.3632075471698113"/>
    <n v="24"/>
    <n v="34"/>
    <n v="0.70588235294117652"/>
    <n v="14"/>
    <n v="74"/>
    <n v="88"/>
    <n v="140"/>
    <n v="740"/>
    <n v="880"/>
    <n v="1.9555555555555555"/>
    <n v="52"/>
    <n v="1.1555555555555554"/>
    <n v="30"/>
    <n v="300"/>
    <n v="0.66666666666666663"/>
    <n v="30"/>
    <n v="3"/>
    <n v="6.6666666666666666E-2"/>
    <n v="210"/>
    <n v="2.6888888888888887"/>
    <n v="21"/>
    <n v="0.46666666666666667"/>
    <n v="66"/>
    <n v="1.4666666666666666"/>
    <n v="327"/>
    <n v="7.2666666666666666"/>
  </r>
  <r>
    <x v="192"/>
    <x v="21"/>
    <x v="395"/>
    <n v="25"/>
    <n v="250"/>
    <n v="45"/>
    <n v="5850"/>
    <n v="205"/>
    <n v="4.5555555555555554"/>
    <n v="38"/>
    <n v="55"/>
    <n v="0.69090909090909092"/>
    <n v="0"/>
    <n v="0"/>
    <n v="0"/>
    <n v="0"/>
    <e v="#DIV/0!"/>
    <n v="16"/>
    <n v="24"/>
    <n v="0.66666666666666663"/>
    <n v="56"/>
    <n v="91"/>
    <n v="147"/>
    <n v="560"/>
    <n v="910"/>
    <n v="1470"/>
    <n v="3.2666666666666666"/>
    <n v="25"/>
    <n v="0.55555555555555558"/>
    <n v="8"/>
    <n v="80"/>
    <n v="0.17777777777777778"/>
    <n v="190"/>
    <n v="19"/>
    <n v="0.42222222222222222"/>
    <n v="160"/>
    <n v="3.8666666666666667"/>
    <n v="16"/>
    <n v="0.35555555555555557"/>
    <n v="45"/>
    <n v="1"/>
    <n v="92"/>
    <n v="2.0444444444444443"/>
  </r>
  <r>
    <x v="176"/>
    <x v="21"/>
    <x v="396"/>
    <n v="32"/>
    <n v="320"/>
    <n v="23"/>
    <n v="3110"/>
    <n v="68"/>
    <n v="2.9565217391304346"/>
    <n v="50"/>
    <n v="163"/>
    <n v="0.30674846625766872"/>
    <n v="25"/>
    <n v="250"/>
    <n v="83"/>
    <n v="830"/>
    <n v="0.30120481927710846"/>
    <n v="24"/>
    <n v="33"/>
    <n v="0.72727272727272729"/>
    <n v="8"/>
    <n v="32"/>
    <n v="40"/>
    <n v="80"/>
    <n v="320"/>
    <n v="400"/>
    <n v="1.7391304347826086"/>
    <n v="20"/>
    <n v="0.86956521739130432"/>
    <n v="7"/>
    <n v="70"/>
    <n v="0.30434782608695654"/>
    <n v="10"/>
    <n v="1"/>
    <n v="4.3478260869565216E-2"/>
    <n v="160"/>
    <n v="2.0869565217391304"/>
    <n v="16"/>
    <n v="0.69565217391304346"/>
    <n v="11"/>
    <n v="0.47826086956521741"/>
    <n v="149"/>
    <n v="6.4782608695652177"/>
  </r>
  <r>
    <x v="211"/>
    <x v="21"/>
    <x v="397"/>
    <n v="24"/>
    <n v="240"/>
    <n v="9"/>
    <n v="380"/>
    <n v="16"/>
    <n v="1.7777777777777777"/>
    <n v="5"/>
    <n v="9"/>
    <n v="556"/>
    <n v="1"/>
    <n v="10"/>
    <n v="4"/>
    <n v="40"/>
    <n v="0.25"/>
    <n v="2"/>
    <n v="2"/>
    <n v="1"/>
    <n v="3"/>
    <n v="4"/>
    <n v="7"/>
    <n v="30"/>
    <n v="40"/>
    <n v="70"/>
    <n v="0.77777777777777779"/>
    <n v="3"/>
    <n v="0.33333333333333331"/>
    <n v="0"/>
    <n v="0"/>
    <n v="0"/>
    <n v="10"/>
    <n v="1"/>
    <n v="0.1111111111111111"/>
    <n v="10"/>
    <n v="0.88888888888888884"/>
    <n v="1"/>
    <n v="0.1111111111111111"/>
    <n v="3"/>
    <n v="0.33333333333333331"/>
    <n v="13"/>
    <n v="1.4444444444444444"/>
  </r>
  <r>
    <x v="212"/>
    <x v="21"/>
    <x v="398"/>
    <n v="27"/>
    <n v="270"/>
    <n v="6"/>
    <n v="270"/>
    <n v="10"/>
    <n v="1.6666666666666667"/>
    <n v="4"/>
    <n v="9"/>
    <n v="0.44444444444444442"/>
    <n v="1"/>
    <n v="10"/>
    <n v="2"/>
    <n v="20"/>
    <n v="0.5"/>
    <n v="2"/>
    <n v="2"/>
    <n v="1"/>
    <n v="0"/>
    <n v="6"/>
    <n v="6"/>
    <n v="0"/>
    <n v="60"/>
    <n v="60"/>
    <n v="1"/>
    <n v="4"/>
    <n v="0.66666666666666663"/>
    <n v="1"/>
    <n v="10"/>
    <n v="0.16666666666666666"/>
    <n v="0"/>
    <n v="0"/>
    <n v="0"/>
    <n v="0"/>
    <n v="1.1666666666666667"/>
    <n v="0"/>
    <n v="0"/>
    <n v="7"/>
    <n v="1.1666666666666667"/>
    <n v="11"/>
    <n v="1.8333333333333333"/>
  </r>
  <r>
    <x v="213"/>
    <x v="21"/>
    <x v="399"/>
    <n v="26"/>
    <n v="260"/>
    <n v="14"/>
    <n v="610"/>
    <n v="22"/>
    <n v="1.5714285714285714"/>
    <n v="9"/>
    <n v="23"/>
    <n v="0.39130434782608697"/>
    <n v="4"/>
    <n v="40"/>
    <n v="13"/>
    <n v="130"/>
    <n v="0.30769230769230771"/>
    <n v="9"/>
    <n v="11"/>
    <n v="0.81818181818181823"/>
    <n v="0"/>
    <n v="6"/>
    <n v="6"/>
    <n v="0"/>
    <n v="60"/>
    <n v="60"/>
    <n v="0.42857142857142855"/>
    <n v="6"/>
    <n v="0.42857142857142855"/>
    <n v="1"/>
    <n v="10"/>
    <n v="7.1428571428571425E-2"/>
    <n v="0"/>
    <n v="0"/>
    <n v="0"/>
    <n v="30"/>
    <n v="0.5"/>
    <n v="3"/>
    <n v="0.21428571428571427"/>
    <n v="3"/>
    <n v="0.21428571428571427"/>
    <n v="31"/>
    <n v="2.2142857142857144"/>
  </r>
  <r>
    <x v="214"/>
    <x v="21"/>
    <x v="400"/>
    <n v="27"/>
    <n v="270"/>
    <n v="3"/>
    <n v="70"/>
    <n v="3"/>
    <n v="1"/>
    <n v="1"/>
    <n v="2"/>
    <n v="5"/>
    <n v="1"/>
    <n v="10"/>
    <n v="2"/>
    <n v="20"/>
    <n v="0.5"/>
    <n v="0"/>
    <n v="0"/>
    <e v="#DIV/0!"/>
    <n v="0"/>
    <n v="1"/>
    <n v="1"/>
    <n v="0"/>
    <n v="10"/>
    <n v="10"/>
    <n v="0.33333333333333331"/>
    <n v="1"/>
    <n v="0.33333333333333331"/>
    <n v="0"/>
    <n v="0"/>
    <n v="0"/>
    <n v="0"/>
    <n v="0"/>
    <n v="0"/>
    <n v="0"/>
    <n v="0.33333333333333331"/>
    <n v="0"/>
    <n v="0"/>
    <n v="1"/>
    <n v="0.33333333333333331"/>
    <n v="3"/>
    <n v="1"/>
  </r>
  <r>
    <x v="178"/>
    <x v="21"/>
    <x v="401"/>
    <n v="39"/>
    <n v="390"/>
    <n v="16"/>
    <n v="1650"/>
    <n v="12"/>
    <n v="0.75"/>
    <n v="7"/>
    <n v="23"/>
    <n v="304"/>
    <n v="0"/>
    <n v="0"/>
    <n v="6"/>
    <n v="60"/>
    <n v="0"/>
    <n v="2"/>
    <n v="2"/>
    <n v="1"/>
    <n v="10"/>
    <n v="18"/>
    <n v="28"/>
    <n v="100"/>
    <n v="180"/>
    <n v="280"/>
    <n v="1.75"/>
    <n v="9"/>
    <n v="0.5625"/>
    <n v="2"/>
    <n v="20"/>
    <n v="0.125"/>
    <n v="60"/>
    <n v="6"/>
    <n v="0.375"/>
    <n v="50"/>
    <n v="2.25"/>
    <n v="5"/>
    <n v="0.3125"/>
    <n v="28"/>
    <n v="1.75"/>
    <n v="16"/>
    <n v="1"/>
  </r>
  <r>
    <x v="191"/>
    <x v="21"/>
    <x v="402"/>
    <n v="31"/>
    <n v="310"/>
    <n v="3"/>
    <n v="390"/>
    <n v="2"/>
    <n v="0.66666666666666663"/>
    <n v="4"/>
    <n v="20"/>
    <n v="0.2"/>
    <n v="2"/>
    <n v="20"/>
    <n v="15"/>
    <n v="150"/>
    <n v="0.13333333333333333"/>
    <n v="2"/>
    <n v="2"/>
    <n v="1"/>
    <n v="0"/>
    <n v="4"/>
    <n v="4"/>
    <n v="0"/>
    <n v="40"/>
    <n v="40"/>
    <n v="1.3333333333333333"/>
    <n v="3"/>
    <n v="1"/>
    <n v="4"/>
    <n v="40"/>
    <n v="1.3333333333333333"/>
    <n v="0"/>
    <n v="0"/>
    <n v="0"/>
    <n v="10"/>
    <n v="2.6666666666666665"/>
    <n v="1"/>
    <n v="0.33333333333333331"/>
    <n v="4"/>
    <n v="1.3333333333333333"/>
    <n v="12"/>
    <n v="4"/>
  </r>
  <r>
    <x v="215"/>
    <x v="21"/>
    <x v="403"/>
    <n v="26"/>
    <n v="260"/>
    <n v="17"/>
    <n v="460"/>
    <n v="7"/>
    <n v="0.41176470588235292"/>
    <n v="6"/>
    <n v="17"/>
    <n v="353"/>
    <n v="2"/>
    <n v="20"/>
    <n v="10"/>
    <n v="100"/>
    <n v="0.2"/>
    <n v="0"/>
    <n v="2"/>
    <n v="0"/>
    <n v="0"/>
    <n v="5"/>
    <n v="5"/>
    <n v="0"/>
    <n v="50"/>
    <n v="50"/>
    <n v="0.29411764705882354"/>
    <n v="5"/>
    <n v="0.29411764705882354"/>
    <n v="0"/>
    <n v="0"/>
    <n v="0"/>
    <n v="10"/>
    <n v="1"/>
    <n v="5.8823529411764705E-2"/>
    <n v="30"/>
    <n v="0.35294117647058826"/>
    <n v="3"/>
    <n v="0.17647058823529413"/>
    <n v="2"/>
    <n v="0.11764705882352941"/>
    <n v="14"/>
    <n v="0.82352941176470584"/>
  </r>
  <r>
    <x v="195"/>
    <x v="21"/>
    <x v="404"/>
    <n v="30"/>
    <n v="300"/>
    <n v="20"/>
    <n v="450"/>
    <n v="1"/>
    <n v="0.05"/>
    <n v="0"/>
    <n v="6"/>
    <n v="0"/>
    <n v="0"/>
    <n v="0"/>
    <n v="6"/>
    <n v="60"/>
    <n v="0"/>
    <n v="0"/>
    <n v="0"/>
    <e v="#DIV/0!"/>
    <n v="0"/>
    <n v="8"/>
    <n v="8"/>
    <n v="0"/>
    <n v="80"/>
    <n v="80"/>
    <n v="0.4"/>
    <n v="4"/>
    <n v="0.2"/>
    <n v="2"/>
    <n v="20"/>
    <n v="0.1"/>
    <n v="0"/>
    <n v="0"/>
    <n v="0"/>
    <n v="20"/>
    <n v="0.5"/>
    <n v="2"/>
    <n v="0.1"/>
    <n v="5"/>
    <n v="0.25"/>
    <n v="0"/>
    <n v="0"/>
  </r>
  <r>
    <x v="216"/>
    <x v="21"/>
    <x v="405"/>
    <n v="27"/>
    <n v="270"/>
    <n v="3"/>
    <n v="80"/>
    <n v="-1"/>
    <n v="-0.33333333333333331"/>
    <n v="0"/>
    <n v="1"/>
    <n v="0"/>
    <n v="0"/>
    <n v="0"/>
    <n v="1"/>
    <n v="10"/>
    <n v="0"/>
    <n v="0"/>
    <n v="0"/>
    <e v="#DIV/0!"/>
    <n v="0"/>
    <n v="1"/>
    <n v="1"/>
    <n v="0"/>
    <n v="10"/>
    <n v="10"/>
    <n v="0.33333333333333331"/>
    <n v="0"/>
    <n v="0"/>
    <n v="1"/>
    <n v="10"/>
    <n v="0.33333333333333331"/>
    <n v="0"/>
    <n v="0"/>
    <n v="0"/>
    <n v="10"/>
    <n v="0.66666666666666663"/>
    <n v="1"/>
    <n v="0.33333333333333331"/>
    <n v="1"/>
    <n v="0.33333333333333331"/>
    <n v="0"/>
    <n v="0"/>
  </r>
  <r>
    <x v="217"/>
    <x v="21"/>
    <x v="406"/>
    <n v="26"/>
    <n v="260"/>
    <n v="2"/>
    <n v="20"/>
    <n v="-1"/>
    <n v="-0.5"/>
    <n v="0"/>
    <n v="1"/>
    <n v="0"/>
    <n v="0"/>
    <n v="0"/>
    <n v="0"/>
    <n v="0"/>
    <e v="#DIV/0!"/>
    <n v="0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8"/>
    <x v="21"/>
    <x v="407"/>
    <n v="27"/>
    <n v="270"/>
    <n v="8"/>
    <n v="370"/>
    <n v="-5"/>
    <n v="-0.625"/>
    <n v="2"/>
    <n v="10"/>
    <n v="0.2"/>
    <n v="2"/>
    <n v="20"/>
    <n v="7"/>
    <n v="70"/>
    <n v="0.2857142857142857"/>
    <n v="0"/>
    <n v="0"/>
    <e v="#DIV/0!"/>
    <n v="1"/>
    <n v="1"/>
    <n v="2"/>
    <n v="10"/>
    <n v="10"/>
    <n v="20"/>
    <n v="0.25"/>
    <n v="0"/>
    <n v="0"/>
    <n v="0"/>
    <n v="0"/>
    <n v="0"/>
    <n v="20"/>
    <n v="2"/>
    <n v="0.25"/>
    <n v="20"/>
    <n v="0.5"/>
    <n v="2"/>
    <n v="0.25"/>
    <n v="5"/>
    <n v="0.625"/>
    <n v="6"/>
    <n v="0.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x v="0"/>
    <s v="2003-04"/>
  </r>
  <r>
    <x v="1"/>
    <s v="2010-11"/>
  </r>
  <r>
    <x v="0"/>
    <s v="2004-05"/>
  </r>
  <r>
    <x v="2"/>
    <s v="2001-02"/>
  </r>
  <r>
    <x v="3"/>
    <s v="2008-09"/>
  </r>
  <r>
    <x v="4"/>
    <s v="2023-24"/>
  </r>
  <r>
    <x v="0"/>
    <s v="2005-06"/>
  </r>
  <r>
    <x v="4"/>
    <s v="2022-23"/>
  </r>
  <r>
    <x v="5"/>
    <s v="2011-12"/>
  </r>
  <r>
    <x v="6"/>
    <s v="2020-21"/>
  </r>
  <r>
    <x v="3"/>
    <s v="2009-10"/>
  </r>
  <r>
    <x v="2"/>
    <s v="2000-01"/>
  </r>
  <r>
    <x v="1"/>
    <s v="2013-14"/>
  </r>
  <r>
    <x v="7"/>
    <s v="2017-18"/>
  </r>
  <r>
    <x v="8"/>
    <s v="2010-11"/>
  </r>
  <r>
    <x v="1"/>
    <s v="2012-13"/>
  </r>
  <r>
    <x v="0"/>
    <s v="2006-07"/>
  </r>
  <r>
    <x v="9"/>
    <s v="2002-03"/>
  </r>
  <r>
    <x v="6"/>
    <s v="2021-22"/>
  </r>
  <r>
    <x v="6"/>
    <s v="2023-24"/>
  </r>
  <r>
    <x v="10"/>
    <s v="2007-08"/>
  </r>
  <r>
    <x v="11"/>
    <s v="2016-17"/>
  </r>
  <r>
    <x v="12"/>
    <s v="2003-04"/>
  </r>
  <r>
    <x v="9"/>
    <s v="2003-04"/>
  </r>
  <r>
    <x v="13"/>
    <s v="2017-18"/>
  </r>
  <r>
    <x v="14"/>
    <s v="2014-15"/>
  </r>
  <r>
    <x v="0"/>
    <s v="2007-08"/>
  </r>
  <r>
    <x v="15"/>
    <s v="2011-12"/>
  </r>
  <r>
    <x v="12"/>
    <s v="2002-03"/>
  </r>
  <r>
    <x v="16"/>
    <s v="2000-01"/>
  </r>
  <r>
    <x v="17"/>
    <s v="2002-03"/>
  </r>
  <r>
    <x v="12"/>
    <s v="2000-01"/>
  </r>
  <r>
    <x v="18"/>
    <s v="2016-17"/>
  </r>
  <r>
    <x v="10"/>
    <s v="2006-07"/>
  </r>
  <r>
    <x v="10"/>
    <s v="2008-09"/>
  </r>
  <r>
    <x v="10"/>
    <s v="2004-05"/>
  </r>
  <r>
    <x v="18"/>
    <s v="2020-21"/>
  </r>
  <r>
    <x v="19"/>
    <s v="2015-16"/>
  </r>
  <r>
    <x v="14"/>
    <s v="2015-16"/>
  </r>
  <r>
    <x v="6"/>
    <s v="2022-23"/>
  </r>
  <r>
    <x v="20"/>
    <s v="2023-24"/>
  </r>
  <r>
    <x v="21"/>
    <s v="2008-09"/>
  </r>
  <r>
    <x v="18"/>
    <s v="2021-22"/>
  </r>
  <r>
    <x v="22"/>
    <s v="2009-10"/>
  </r>
  <r>
    <x v="17"/>
    <s v="2001-02"/>
  </r>
  <r>
    <x v="23"/>
    <s v="2006-07"/>
  </r>
  <r>
    <x v="24"/>
    <s v="2017-18"/>
  </r>
  <r>
    <x v="10"/>
    <s v="2005-06"/>
  </r>
  <r>
    <x v="21"/>
    <s v="2009-10"/>
  </r>
  <r>
    <x v="25"/>
    <s v="2009-10"/>
  </r>
  <r>
    <x v="19"/>
    <s v="2011-12"/>
  </r>
  <r>
    <x v="20"/>
    <s v="2022-23"/>
  </r>
  <r>
    <x v="26"/>
    <s v="2014-15"/>
  </r>
  <r>
    <x v="27"/>
    <s v="2013-14"/>
  </r>
  <r>
    <x v="28"/>
    <s v="2021-22"/>
  </r>
  <r>
    <x v="29"/>
    <s v="2021-22"/>
  </r>
  <r>
    <x v="30"/>
    <s v="2009-10"/>
  </r>
  <r>
    <x v="17"/>
    <s v="2000-01"/>
  </r>
  <r>
    <x v="23"/>
    <s v="2005-06"/>
  </r>
  <r>
    <x v="31"/>
    <s v="2013-14"/>
  </r>
  <r>
    <x v="29"/>
    <s v="2022-23"/>
  </r>
  <r>
    <x v="32"/>
    <s v="2014-15"/>
  </r>
  <r>
    <x v="33"/>
    <s v="2009-10"/>
  </r>
  <r>
    <x v="34"/>
    <s v="2014-15"/>
  </r>
  <r>
    <x v="35"/>
    <s v="2012-13"/>
  </r>
  <r>
    <x v="36"/>
    <s v="2014-15"/>
  </r>
  <r>
    <x v="37"/>
    <s v="2020-21"/>
  </r>
  <r>
    <x v="12"/>
    <s v="2001-02"/>
  </r>
  <r>
    <x v="38"/>
    <s v="2017-18"/>
  </r>
  <r>
    <x v="19"/>
    <s v="2013-14"/>
  </r>
  <r>
    <x v="19"/>
    <s v="2014-15"/>
  </r>
  <r>
    <x v="31"/>
    <s v="2012-13"/>
  </r>
  <r>
    <x v="39"/>
    <s v="2020-21"/>
  </r>
  <r>
    <x v="40"/>
    <s v="2010-11"/>
  </r>
  <r>
    <x v="19"/>
    <s v="2010-11"/>
  </r>
  <r>
    <x v="41"/>
    <s v="2014-15"/>
  </r>
  <r>
    <x v="39"/>
    <s v="2021-22"/>
  </r>
  <r>
    <x v="32"/>
    <s v="2013-14"/>
  </r>
  <r>
    <x v="42"/>
    <s v="2021-22"/>
  </r>
  <r>
    <x v="21"/>
    <s v="2007-08"/>
  </r>
  <r>
    <x v="19"/>
    <s v="2016-17"/>
  </r>
  <r>
    <x v="36"/>
    <s v="2011-12"/>
  </r>
  <r>
    <x v="39"/>
    <s v="2022-23"/>
  </r>
  <r>
    <x v="32"/>
    <s v="2012-13"/>
  </r>
  <r>
    <x v="43"/>
    <s v="2017-18"/>
  </r>
  <r>
    <x v="44"/>
    <s v="2002-03"/>
  </r>
  <r>
    <x v="45"/>
    <s v="2023-24"/>
  </r>
  <r>
    <x v="46"/>
    <s v="2005-06"/>
  </r>
  <r>
    <x v="47"/>
    <s v="2010-11"/>
  </r>
  <r>
    <x v="9"/>
    <s v="2001-02"/>
  </r>
  <r>
    <x v="48"/>
    <s v="2011-12"/>
  </r>
  <r>
    <x v="19"/>
    <s v="2012-13"/>
  </r>
  <r>
    <x v="34"/>
    <s v="2015-16"/>
  </r>
  <r>
    <x v="49"/>
    <s v="2023-24"/>
  </r>
  <r>
    <x v="44"/>
    <s v="2001-02"/>
  </r>
  <r>
    <x v="29"/>
    <s v="2023-24"/>
  </r>
  <r>
    <x v="39"/>
    <s v="2023-24"/>
  </r>
  <r>
    <x v="31"/>
    <s v="2014-15"/>
  </r>
  <r>
    <x v="32"/>
    <s v="2011-12"/>
  </r>
  <r>
    <x v="30"/>
    <s v="2008-09"/>
  </r>
  <r>
    <x v="50"/>
    <s v="2007-08"/>
  </r>
  <r>
    <x v="51"/>
    <s v="2017-18"/>
  </r>
  <r>
    <x v="52"/>
    <s v="2015-16"/>
  </r>
  <r>
    <x v="51"/>
    <s v="2016-17"/>
  </r>
  <r>
    <x v="53"/>
    <s v="2010-11"/>
  </r>
  <r>
    <x v="54"/>
    <s v="2016-17"/>
  </r>
  <r>
    <x v="44"/>
    <s v="2000-01"/>
  </r>
  <r>
    <x v="55"/>
    <s v="2006-07"/>
  </r>
  <r>
    <x v="42"/>
    <s v="2020-21"/>
  </r>
  <r>
    <x v="56"/>
    <s v="2003-04"/>
  </r>
  <r>
    <x v="25"/>
    <s v="2008-09"/>
  </r>
  <r>
    <x v="57"/>
    <s v="2021-22"/>
  </r>
  <r>
    <x v="58"/>
    <s v="2009-10"/>
  </r>
  <r>
    <x v="59"/>
    <s v="2022-23"/>
  </r>
  <r>
    <x v="44"/>
    <s v="2004-05"/>
  </r>
  <r>
    <x v="60"/>
    <s v="2017-18"/>
  </r>
  <r>
    <x v="58"/>
    <s v="2008-09"/>
  </r>
  <r>
    <x v="61"/>
    <s v="2016-17"/>
  </r>
  <r>
    <x v="62"/>
    <s v="2009-10"/>
  </r>
  <r>
    <x v="63"/>
    <s v="2017-18"/>
  </r>
  <r>
    <x v="64"/>
    <s v="2011-12"/>
  </r>
  <r>
    <x v="21"/>
    <s v="2005-06"/>
  </r>
  <r>
    <x v="65"/>
    <s v="2007-08"/>
  </r>
  <r>
    <x v="66"/>
    <s v="2015-16"/>
  </r>
  <r>
    <x v="67"/>
    <s v="2003-04"/>
  </r>
  <r>
    <x v="40"/>
    <s v="2011-12"/>
  </r>
  <r>
    <x v="68"/>
    <s v="2002-03"/>
  </r>
  <r>
    <x v="68"/>
    <s v="2004-05"/>
  </r>
  <r>
    <x v="69"/>
    <s v="2012-13"/>
  </r>
  <r>
    <x v="40"/>
    <s v="2009-10"/>
  </r>
  <r>
    <x v="70"/>
    <s v="2020-21"/>
  </r>
  <r>
    <x v="71"/>
    <s v="2004-05"/>
  </r>
  <r>
    <x v="71"/>
    <s v="2005-06"/>
  </r>
  <r>
    <x v="29"/>
    <s v="2020-21"/>
  </r>
  <r>
    <x v="44"/>
    <s v="2003-04"/>
  </r>
  <r>
    <x v="72"/>
    <s v="2000-01"/>
  </r>
  <r>
    <x v="73"/>
    <s v="2007-08"/>
  </r>
  <r>
    <x v="48"/>
    <s v="2010-11"/>
  </r>
  <r>
    <x v="71"/>
    <s v="2003-04"/>
  </r>
  <r>
    <x v="68"/>
    <s v="2003-04"/>
  </r>
  <r>
    <x v="43"/>
    <s v="2014-15"/>
  </r>
  <r>
    <x v="25"/>
    <s v="2006-07"/>
  </r>
  <r>
    <x v="55"/>
    <s v="2007-08"/>
  </r>
  <r>
    <x v="74"/>
    <s v="2003-04"/>
  </r>
  <r>
    <x v="36"/>
    <s v="2013-14"/>
  </r>
  <r>
    <x v="75"/>
    <s v="2010-11"/>
  </r>
  <r>
    <x v="76"/>
    <s v="2014-15"/>
  </r>
  <r>
    <x v="18"/>
    <s v="2022-23"/>
  </r>
  <r>
    <x v="58"/>
    <s v="2010-11"/>
  </r>
  <r>
    <x v="77"/>
    <s v="2023-24"/>
  </r>
  <r>
    <x v="75"/>
    <s v="2009-10"/>
  </r>
  <r>
    <x v="36"/>
    <s v="2012-13"/>
  </r>
  <r>
    <x v="78"/>
    <s v="2017-18"/>
  </r>
  <r>
    <x v="55"/>
    <s v="2008-09"/>
  </r>
  <r>
    <x v="61"/>
    <s v="2017-18"/>
  </r>
  <r>
    <x v="56"/>
    <s v="2002-03"/>
  </r>
  <r>
    <x v="55"/>
    <s v="2005-06"/>
  </r>
  <r>
    <x v="79"/>
    <s v="2009-10"/>
  </r>
  <r>
    <x v="73"/>
    <s v="2006-07"/>
  </r>
  <r>
    <x v="80"/>
    <s v="2014-15"/>
  </r>
  <r>
    <x v="81"/>
    <s v="2014-15"/>
  </r>
  <r>
    <x v="82"/>
    <s v="2013-14"/>
  </r>
  <r>
    <x v="83"/>
    <s v="2016-17"/>
  </r>
  <r>
    <x v="84"/>
    <s v="2004-05"/>
  </r>
  <r>
    <x v="85"/>
    <s v="2009-10"/>
  </r>
  <r>
    <x v="86"/>
    <s v="2003-04"/>
  </r>
  <r>
    <x v="87"/>
    <s v="2020-21"/>
  </r>
  <r>
    <x v="88"/>
    <s v="2023-24"/>
  </r>
  <r>
    <x v="89"/>
    <s v="2014-15"/>
  </r>
  <r>
    <x v="63"/>
    <s v="2016-17"/>
  </r>
  <r>
    <x v="90"/>
    <s v="2017-18"/>
  </r>
  <r>
    <x v="91"/>
    <s v="2016-17"/>
  </r>
  <r>
    <x v="92"/>
    <s v="2010-11"/>
  </r>
  <r>
    <x v="79"/>
    <s v="2008-09"/>
  </r>
  <r>
    <x v="84"/>
    <s v="2003-04"/>
  </r>
  <r>
    <x v="21"/>
    <s v="2006-07"/>
  </r>
  <r>
    <x v="93"/>
    <s v="2015-16"/>
  </r>
  <r>
    <x v="94"/>
    <s v="2015-16"/>
  </r>
  <r>
    <x v="95"/>
    <s v="2009-10"/>
  </r>
  <r>
    <x v="65"/>
    <s v="2008-09"/>
  </r>
  <r>
    <x v="85"/>
    <s v="2008-09"/>
  </r>
  <r>
    <x v="96"/>
    <s v="2016-17"/>
  </r>
  <r>
    <x v="57"/>
    <s v="2022-23"/>
  </r>
  <r>
    <x v="91"/>
    <s v="2015-16"/>
  </r>
  <r>
    <x v="97"/>
    <s v="2017-18"/>
  </r>
  <r>
    <x v="84"/>
    <s v="2008-09"/>
  </r>
  <r>
    <x v="98"/>
    <s v="2005-06"/>
  </r>
  <r>
    <x v="99"/>
    <s v="2016-17"/>
  </r>
  <r>
    <x v="49"/>
    <s v="2022-23"/>
  </r>
  <r>
    <x v="94"/>
    <s v="2016-17"/>
  </r>
  <r>
    <x v="100"/>
    <s v="2014-15"/>
  </r>
  <r>
    <x v="101"/>
    <s v="2014-15"/>
  </r>
  <r>
    <x v="79"/>
    <s v="2006-07"/>
  </r>
  <r>
    <x v="91"/>
    <s v="2017-18"/>
  </r>
  <r>
    <x v="102"/>
    <s v="2000-01"/>
  </r>
  <r>
    <x v="25"/>
    <s v="2007-08"/>
  </r>
  <r>
    <x v="95"/>
    <s v="2011-12"/>
  </r>
  <r>
    <x v="59"/>
    <s v="2023-24"/>
  </r>
  <r>
    <x v="69"/>
    <s v="2009-10"/>
  </r>
  <r>
    <x v="103"/>
    <s v="2004-05"/>
  </r>
  <r>
    <x v="104"/>
    <s v="2001-02"/>
  </r>
  <r>
    <x v="77"/>
    <s v="2022-23"/>
  </r>
  <r>
    <x v="105"/>
    <s v="2003-04"/>
  </r>
  <r>
    <x v="73"/>
    <s v="2008-09"/>
  </r>
  <r>
    <x v="63"/>
    <s v="2015-16"/>
  </r>
  <r>
    <x v="47"/>
    <s v="2011-12"/>
  </r>
  <r>
    <x v="106"/>
    <s v="2023-24"/>
  </r>
  <r>
    <x v="107"/>
    <s v="2013-14"/>
  </r>
  <r>
    <x v="80"/>
    <s v="2013-14"/>
  </r>
  <r>
    <x v="108"/>
    <s v="2001-02"/>
  </r>
  <r>
    <x v="109"/>
    <s v="2021-22"/>
  </r>
  <r>
    <x v="98"/>
    <s v="2004-05"/>
  </r>
  <r>
    <x v="67"/>
    <s v="2004-05"/>
  </r>
  <r>
    <x v="68"/>
    <s v="2001-02"/>
  </r>
  <r>
    <x v="86"/>
    <s v="2002-03"/>
  </r>
  <r>
    <x v="79"/>
    <s v="2010-11"/>
  </r>
  <r>
    <x v="110"/>
    <s v="2000-01"/>
  </r>
  <r>
    <x v="47"/>
    <s v="2014-15"/>
  </r>
  <r>
    <x v="77"/>
    <s v="2021-22"/>
  </r>
  <r>
    <x v="111"/>
    <s v="2016-17"/>
  </r>
  <r>
    <x v="112"/>
    <s v="2022-23"/>
  </r>
  <r>
    <x v="113"/>
    <s v="2014-15"/>
  </r>
  <r>
    <x v="55"/>
    <s v="2012-13"/>
  </r>
  <r>
    <x v="114"/>
    <s v="2005-06"/>
  </r>
  <r>
    <x v="57"/>
    <s v="2023-24"/>
  </r>
  <r>
    <x v="115"/>
    <s v="2020-21"/>
  </r>
  <r>
    <x v="116"/>
    <s v="2006-07"/>
  </r>
  <r>
    <x v="117"/>
    <s v="2003-04"/>
  </r>
  <r>
    <x v="109"/>
    <s v="2022-23"/>
  </r>
  <r>
    <x v="118"/>
    <s v="2015-16"/>
  </r>
  <r>
    <x v="119"/>
    <s v="2013-14"/>
  </r>
  <r>
    <x v="120"/>
    <s v="2005-06"/>
  </r>
  <r>
    <x v="59"/>
    <s v="2021-22"/>
  </r>
  <r>
    <x v="58"/>
    <s v="2007-08"/>
  </r>
  <r>
    <x v="107"/>
    <s v="2012-13"/>
  </r>
  <r>
    <x v="121"/>
    <s v="2015-16"/>
  </r>
  <r>
    <x v="122"/>
    <s v="2006-07"/>
  </r>
  <r>
    <x v="116"/>
    <s v="2005-06"/>
  </r>
  <r>
    <x v="86"/>
    <s v="2001-02"/>
  </r>
  <r>
    <x v="123"/>
    <s v="2014-15"/>
  </r>
  <r>
    <x v="124"/>
    <s v="2021-22"/>
  </r>
  <r>
    <x v="125"/>
    <s v="2017-18"/>
  </r>
  <r>
    <x v="126"/>
    <s v="2014-15"/>
  </r>
  <r>
    <x v="79"/>
    <s v="2007-08"/>
  </r>
  <r>
    <x v="107"/>
    <s v="2011-12"/>
  </r>
  <r>
    <x v="101"/>
    <s v="2015-16"/>
  </r>
  <r>
    <x v="127"/>
    <s v="2022-23"/>
  </r>
  <r>
    <x v="128"/>
    <s v="2023-24"/>
  </r>
  <r>
    <x v="129"/>
    <s v="2017-18"/>
  </r>
  <r>
    <x v="130"/>
    <s v="2017-18"/>
  </r>
  <r>
    <x v="42"/>
    <s v="2023-24"/>
  </r>
  <r>
    <x v="131"/>
    <s v="2012-13"/>
  </r>
  <r>
    <x v="108"/>
    <s v="2003-04"/>
  </r>
  <r>
    <x v="108"/>
    <s v="2002-03"/>
  </r>
  <r>
    <x v="132"/>
    <s v="2006-07"/>
  </r>
  <r>
    <x v="133"/>
    <s v="2002-03"/>
  </r>
  <r>
    <x v="134"/>
    <s v="2008-09"/>
  </r>
  <r>
    <x v="104"/>
    <s v="2000-01"/>
  </r>
  <r>
    <x v="68"/>
    <s v="2000-01"/>
  </r>
  <r>
    <x v="122"/>
    <s v="2005-06"/>
  </r>
  <r>
    <x v="43"/>
    <s v="2013-14"/>
  </r>
  <r>
    <x v="96"/>
    <s v="2017-18"/>
  </r>
  <r>
    <x v="135"/>
    <s v="2020-21"/>
  </r>
  <r>
    <x v="136"/>
    <s v="2005-06"/>
  </r>
  <r>
    <x v="137"/>
    <s v="2014-15"/>
  </r>
  <r>
    <x v="138"/>
    <s v="2010-11"/>
  </r>
  <r>
    <x v="139"/>
    <s v="2010-11"/>
  </r>
  <r>
    <x v="101"/>
    <s v="2016-17"/>
  </r>
  <r>
    <x v="140"/>
    <s v="2005-06"/>
  </r>
  <r>
    <x v="141"/>
    <s v="2010-11"/>
  </r>
  <r>
    <x v="124"/>
    <s v="2020-21"/>
  </r>
  <r>
    <x v="142"/>
    <s v="2003-04"/>
  </r>
  <r>
    <x v="143"/>
    <s v="2017-18"/>
  </r>
  <r>
    <x v="116"/>
    <s v="2004-05"/>
  </r>
  <r>
    <x v="144"/>
    <s v="2002-03"/>
  </r>
  <r>
    <x v="133"/>
    <s v="2000-01"/>
  </r>
  <r>
    <x v="112"/>
    <s v="2021-22"/>
  </r>
  <r>
    <x v="79"/>
    <s v="2011-12"/>
  </r>
  <r>
    <x v="145"/>
    <s v="2023-24"/>
  </r>
  <r>
    <x v="146"/>
    <s v="2004-05"/>
  </r>
  <r>
    <x v="147"/>
    <s v="2003-04"/>
  </r>
  <r>
    <x v="148"/>
    <s v="2006-07"/>
  </r>
  <r>
    <x v="25"/>
    <s v="2005-06"/>
  </r>
  <r>
    <x v="149"/>
    <s v="2009-10"/>
  </r>
  <r>
    <x v="150"/>
    <s v="2009-10"/>
  </r>
  <r>
    <x v="135"/>
    <s v="2021-22"/>
  </r>
  <r>
    <x v="148"/>
    <s v="2007-08"/>
  </r>
  <r>
    <x v="101"/>
    <s v="2017-18"/>
  </r>
  <r>
    <x v="151"/>
    <s v="2010-11"/>
  </r>
  <r>
    <x v="152"/>
    <s v="2003-04"/>
  </r>
  <r>
    <x v="153"/>
    <s v="2013-14"/>
  </r>
  <r>
    <x v="104"/>
    <s v="2012-13"/>
  </r>
  <r>
    <x v="127"/>
    <s v="2023-24"/>
  </r>
  <r>
    <x v="38"/>
    <s v="2020-21"/>
  </r>
  <r>
    <x v="154"/>
    <s v="2004-05"/>
  </r>
  <r>
    <x v="116"/>
    <s v="2007-08"/>
  </r>
  <r>
    <x v="54"/>
    <s v="2017-18"/>
  </r>
  <r>
    <x v="135"/>
    <s v="2023-24"/>
  </r>
  <r>
    <x v="155"/>
    <s v="2008-09"/>
  </r>
  <r>
    <x v="147"/>
    <s v="2002-03"/>
  </r>
  <r>
    <x v="95"/>
    <s v="2010-11"/>
  </r>
  <r>
    <x v="156"/>
    <s v="2023-24"/>
  </r>
  <r>
    <x v="116"/>
    <s v="2008-09"/>
  </r>
  <r>
    <x v="127"/>
    <s v="2020-21"/>
  </r>
  <r>
    <x v="132"/>
    <s v="2007-08"/>
  </r>
  <r>
    <x v="68"/>
    <s v="2012-13"/>
  </r>
  <r>
    <x v="75"/>
    <s v="2008-09"/>
  </r>
  <r>
    <x v="127"/>
    <s v="2021-22"/>
  </r>
  <r>
    <x v="157"/>
    <s v="2003-04"/>
  </r>
  <r>
    <x v="47"/>
    <s v="2013-14"/>
  </r>
  <r>
    <x v="158"/>
    <s v="2004-05"/>
  </r>
  <r>
    <x v="136"/>
    <s v="2004-05"/>
  </r>
  <r>
    <x v="133"/>
    <s v="2003-04"/>
  </r>
  <r>
    <x v="156"/>
    <s v="2021-22"/>
  </r>
  <r>
    <x v="159"/>
    <s v="2012-13"/>
  </r>
  <r>
    <x v="160"/>
    <s v="2008-09"/>
  </r>
  <r>
    <x v="161"/>
    <s v="2010-11"/>
  </r>
  <r>
    <x v="162"/>
    <s v="2009-10"/>
  </r>
  <r>
    <x v="143"/>
    <s v="2021-22"/>
  </r>
  <r>
    <x v="163"/>
    <s v="2021-22"/>
  </r>
  <r>
    <x v="164"/>
    <s v="2012-13"/>
  </r>
  <r>
    <x v="152"/>
    <s v="2004-05"/>
  </r>
  <r>
    <x v="156"/>
    <s v="2022-23"/>
  </r>
  <r>
    <x v="133"/>
    <s v="2001-02"/>
  </r>
  <r>
    <x v="165"/>
    <s v="2016-17"/>
  </r>
  <r>
    <x v="109"/>
    <s v="2020-21"/>
  </r>
  <r>
    <x v="166"/>
    <s v="2000-01"/>
  </r>
  <r>
    <x v="167"/>
    <s v="2005-06"/>
  </r>
  <r>
    <x v="168"/>
    <s v="2020-21"/>
  </r>
  <r>
    <x v="47"/>
    <s v="2012-13"/>
  </r>
  <r>
    <x v="82"/>
    <s v="2012-13"/>
  </r>
  <r>
    <x v="169"/>
    <s v="2010-11"/>
  </r>
  <r>
    <x v="170"/>
    <s v="2002-03"/>
  </r>
  <r>
    <x v="171"/>
    <s v="2012-13"/>
  </r>
  <r>
    <x v="172"/>
    <s v="2023-24"/>
  </r>
  <r>
    <x v="81"/>
    <s v="2015-16"/>
  </r>
  <r>
    <x v="173"/>
    <s v="2010-11"/>
  </r>
  <r>
    <x v="174"/>
    <s v="2021-22"/>
  </r>
  <r>
    <x v="175"/>
    <s v="2005-06"/>
  </r>
  <r>
    <x v="176"/>
    <s v="2003-04"/>
  </r>
  <r>
    <x v="142"/>
    <s v="2004-05"/>
  </r>
  <r>
    <x v="148"/>
    <s v="2011-12"/>
  </r>
  <r>
    <x v="123"/>
    <s v="2015-16"/>
  </r>
  <r>
    <x v="154"/>
    <s v="2003-04"/>
  </r>
  <r>
    <x v="177"/>
    <s v="2021-22"/>
  </r>
  <r>
    <x v="178"/>
    <s v="2023-24"/>
  </r>
  <r>
    <x v="179"/>
    <s v="2023-24"/>
  </r>
  <r>
    <x v="100"/>
    <s v="2013-14"/>
  </r>
  <r>
    <x v="180"/>
    <s v="2011-12"/>
  </r>
  <r>
    <x v="181"/>
    <s v="2023-24"/>
  </r>
  <r>
    <x v="182"/>
    <s v="2009-10"/>
  </r>
  <r>
    <x v="183"/>
    <s v="2012-13"/>
  </r>
  <r>
    <x v="184"/>
    <s v="2000-01"/>
  </r>
  <r>
    <x v="185"/>
    <s v="2005-06"/>
  </r>
  <r>
    <x v="132"/>
    <s v="2005-06"/>
  </r>
  <r>
    <x v="186"/>
    <s v="2002-03"/>
  </r>
  <r>
    <x v="187"/>
    <s v="2016-17"/>
  </r>
  <r>
    <x v="188"/>
    <s v="2020-21"/>
  </r>
  <r>
    <x v="168"/>
    <s v="2021-22"/>
  </r>
  <r>
    <x v="171"/>
    <s v="2011-12"/>
  </r>
  <r>
    <x v="189"/>
    <s v="2013-14"/>
  </r>
  <r>
    <x v="186"/>
    <s v="2001-02"/>
  </r>
  <r>
    <x v="190"/>
    <s v="2013-14"/>
  </r>
  <r>
    <x v="191"/>
    <s v="2006-07"/>
  </r>
  <r>
    <x v="174"/>
    <s v="2023-24"/>
  </r>
  <r>
    <x v="192"/>
    <s v="2013-14"/>
  </r>
  <r>
    <x v="186"/>
    <s v="2000-01"/>
  </r>
  <r>
    <x v="193"/>
    <s v="2011-12"/>
  </r>
  <r>
    <x v="174"/>
    <s v="2022-23"/>
  </r>
  <r>
    <x v="170"/>
    <s v="2001-02"/>
  </r>
  <r>
    <x v="194"/>
    <s v="2020-21"/>
  </r>
  <r>
    <x v="191"/>
    <s v="2007-08"/>
  </r>
  <r>
    <x v="195"/>
    <s v="2000-01"/>
  </r>
  <r>
    <x v="196"/>
    <s v="2020-21"/>
  </r>
  <r>
    <x v="170"/>
    <s v="2000-01"/>
  </r>
  <r>
    <x v="117"/>
    <s v="2004-05"/>
  </r>
  <r>
    <x v="195"/>
    <s v="2001-02"/>
  </r>
  <r>
    <x v="197"/>
    <s v="2022-23"/>
  </r>
  <r>
    <x v="185"/>
    <s v="2006-07"/>
  </r>
  <r>
    <x v="198"/>
    <s v="2020-21"/>
  </r>
  <r>
    <x v="199"/>
    <s v="2008-09"/>
  </r>
  <r>
    <x v="132"/>
    <s v="2009-10"/>
  </r>
  <r>
    <x v="200"/>
    <s v="2015-16"/>
  </r>
  <r>
    <x v="167"/>
    <s v="2004-05"/>
  </r>
  <r>
    <x v="201"/>
    <s v="2008-09"/>
  </r>
  <r>
    <x v="202"/>
    <s v="2015-16"/>
  </r>
  <r>
    <x v="185"/>
    <s v="2008-09"/>
  </r>
  <r>
    <x v="203"/>
    <s v="2009-10"/>
  </r>
  <r>
    <x v="204"/>
    <s v="2008-09"/>
  </r>
  <r>
    <x v="185"/>
    <s v="2007-08"/>
  </r>
  <r>
    <x v="132"/>
    <s v="2008-09"/>
  </r>
  <r>
    <x v="205"/>
    <s v="2001-02"/>
  </r>
  <r>
    <x v="206"/>
    <s v="2006-07"/>
  </r>
  <r>
    <x v="207"/>
    <s v="2022-23"/>
  </r>
  <r>
    <x v="148"/>
    <s v="2010-11"/>
  </r>
  <r>
    <x v="208"/>
    <s v="2023-24"/>
  </r>
  <r>
    <x v="209"/>
    <s v="2003-04"/>
  </r>
  <r>
    <x v="210"/>
    <s v="2013-14"/>
  </r>
  <r>
    <x v="211"/>
    <s v="2021-22"/>
  </r>
  <r>
    <x v="212"/>
    <s v="2023-24"/>
  </r>
  <r>
    <x v="213"/>
    <s v="2023-24"/>
  </r>
  <r>
    <x v="214"/>
    <s v="2011-12"/>
  </r>
  <r>
    <x v="215"/>
    <s v="2021-22"/>
  </r>
  <r>
    <x v="216"/>
    <s v="2021-22"/>
  </r>
  <r>
    <x v="217"/>
    <s v="2008-09"/>
  </r>
  <r>
    <x v="218"/>
    <s v="2012-13"/>
  </r>
  <r>
    <x v="111"/>
    <s v="2017-18"/>
  </r>
  <r>
    <x v="86"/>
    <s v="2004-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5E93C-0DC4-4B7B-AC59-F8B8BFC88A4D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6:C22" firstHeaderRow="1" firstDataRow="1" firstDataCol="1"/>
  <pivotFields count="41">
    <pivotField showAll="0"/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 measureFilter="1" sortType="descending">
      <items count="410">
        <item x="135"/>
        <item x="160"/>
        <item x="327"/>
        <item x="346"/>
        <item x="396"/>
        <item x="251"/>
        <item x="2"/>
        <item x="20"/>
        <item x="30"/>
        <item x="48"/>
        <item x="71"/>
        <item x="176"/>
        <item x="198"/>
        <item x="218"/>
        <item x="236"/>
        <item x="252"/>
        <item x="234"/>
        <item x="253"/>
        <item x="194"/>
        <item x="52"/>
        <item x="74"/>
        <item x="101"/>
        <item x="186"/>
        <item x="193"/>
        <item x="149"/>
        <item x="97"/>
        <item x="51"/>
        <item x="273"/>
        <item x="333"/>
        <item x="205"/>
        <item x="239"/>
        <item x="393"/>
        <item x="293"/>
        <item x="63"/>
        <item x="82"/>
        <item x="354"/>
        <item x="375"/>
        <item x="177"/>
        <item x="196"/>
        <item x="213"/>
        <item x="232"/>
        <item x="250"/>
        <item x="270"/>
        <item x="286"/>
        <item x="64"/>
        <item x="86"/>
        <item x="109"/>
        <item x="407"/>
        <item x="7"/>
        <item x="22"/>
        <item x="35"/>
        <item x="49"/>
        <item x="297"/>
        <item x="179"/>
        <item x="155"/>
        <item x="8"/>
        <item x="223"/>
        <item x="138"/>
        <item x="162"/>
        <item x="249"/>
        <item x="147"/>
        <item x="21"/>
        <item x="33"/>
        <item x="55"/>
        <item x="268"/>
        <item x="284"/>
        <item x="243"/>
        <item x="256"/>
        <item x="291"/>
        <item x="308"/>
        <item x="144"/>
        <item x="316"/>
        <item x="357"/>
        <item x="212"/>
        <item x="146"/>
        <item x="159"/>
        <item x="181"/>
        <item x="364"/>
        <item x="403"/>
        <item x="173"/>
        <item x="90"/>
        <item x="103"/>
        <item x="120"/>
        <item x="134"/>
        <item x="156"/>
        <item x="150"/>
        <item x="338"/>
        <item x="59"/>
        <item x="188"/>
        <item x="287"/>
        <item x="324"/>
        <item x="345"/>
        <item x="376"/>
        <item x="275"/>
        <item x="50"/>
        <item x="406"/>
        <item x="386"/>
        <item x="313"/>
        <item x="400"/>
        <item x="157"/>
        <item x="214"/>
        <item x="246"/>
        <item x="169"/>
        <item x="88"/>
        <item x="104"/>
        <item x="123"/>
        <item x="153"/>
        <item x="175"/>
        <item x="331"/>
        <item x="311"/>
        <item x="302"/>
        <item x="10"/>
        <item x="349"/>
        <item x="377"/>
        <item x="402"/>
        <item x="11"/>
        <item x="29"/>
        <item x="362"/>
        <item x="314"/>
        <item x="337"/>
        <item x="41"/>
        <item x="62"/>
        <item x="125"/>
        <item x="5"/>
        <item x="163"/>
        <item x="189"/>
        <item x="207"/>
        <item x="25"/>
        <item x="34"/>
        <item x="53"/>
        <item x="339"/>
        <item x="202"/>
        <item x="222"/>
        <item x="240"/>
        <item x="258"/>
        <item x="100"/>
        <item x="332"/>
        <item x="348"/>
        <item x="369"/>
        <item x="389"/>
        <item x="372"/>
        <item x="384"/>
        <item x="321"/>
        <item x="171"/>
        <item x="77"/>
        <item x="94"/>
        <item x="397"/>
        <item x="366"/>
        <item x="382"/>
        <item x="87"/>
        <item x="67"/>
        <item x="85"/>
        <item x="107"/>
        <item x="119"/>
        <item x="137"/>
        <item x="230"/>
        <item x="80"/>
        <item x="341"/>
        <item x="112"/>
        <item x="129"/>
        <item x="145"/>
        <item x="168"/>
        <item x="190"/>
        <item x="206"/>
        <item x="309"/>
        <item x="219"/>
        <item x="261"/>
        <item x="199"/>
        <item x="245"/>
        <item x="279"/>
        <item x="353"/>
        <item x="374"/>
        <item x="395"/>
        <item x="78"/>
        <item x="102"/>
        <item x="117"/>
        <item x="128"/>
        <item x="151"/>
        <item x="211"/>
        <item x="75"/>
        <item x="283"/>
        <item x="290"/>
        <item x="319"/>
        <item x="148"/>
        <item x="170"/>
        <item x="172"/>
        <item x="255"/>
        <item x="274"/>
        <item x="204"/>
        <item x="367"/>
        <item x="385"/>
        <item x="200"/>
        <item x="216"/>
        <item x="235"/>
        <item x="257"/>
        <item x="323"/>
        <item x="342"/>
        <item x="365"/>
        <item x="383"/>
        <item x="294"/>
        <item x="44"/>
        <item x="115"/>
        <item x="347"/>
        <item x="220"/>
        <item x="238"/>
        <item x="335"/>
        <item x="356"/>
        <item x="281"/>
        <item x="271"/>
        <item x="288"/>
        <item x="303"/>
        <item x="3"/>
        <item x="17"/>
        <item x="31"/>
        <item x="45"/>
        <item x="66"/>
        <item x="227"/>
        <item x="277"/>
        <item x="292"/>
        <item x="307"/>
        <item x="266"/>
        <item x="278"/>
        <item x="295"/>
        <item x="317"/>
        <item x="182"/>
        <item x="201"/>
        <item x="254"/>
        <item x="276"/>
        <item x="141"/>
        <item x="165"/>
        <item x="6"/>
        <item x="28"/>
        <item x="1"/>
        <item x="18"/>
        <item x="32"/>
        <item x="13"/>
        <item x="26"/>
        <item x="42"/>
        <item x="38"/>
        <item x="259"/>
        <item x="285"/>
        <item x="14"/>
        <item x="312"/>
        <item x="399"/>
        <item x="73"/>
        <item x="98"/>
        <item x="114"/>
        <item x="131"/>
        <item x="154"/>
        <item x="405"/>
        <item x="0"/>
        <item x="16"/>
        <item x="229"/>
        <item x="174"/>
        <item x="113"/>
        <item x="130"/>
        <item x="152"/>
        <item x="4"/>
        <item x="19"/>
        <item x="300"/>
        <item x="96"/>
        <item x="363"/>
        <item x="299"/>
        <item x="76"/>
        <item x="99"/>
        <item x="244"/>
        <item x="306"/>
        <item x="39"/>
        <item x="54"/>
        <item x="57"/>
        <item x="69"/>
        <item x="209"/>
        <item x="359"/>
        <item x="378"/>
        <item x="392"/>
        <item x="296"/>
        <item x="322"/>
        <item x="326"/>
        <item x="343"/>
        <item x="368"/>
        <item x="390"/>
        <item x="58"/>
        <item x="79"/>
        <item x="142"/>
        <item x="93"/>
        <item x="110"/>
        <item x="122"/>
        <item x="136"/>
        <item x="161"/>
        <item x="46"/>
        <item x="68"/>
        <item x="328"/>
        <item x="351"/>
        <item x="336"/>
        <item x="334"/>
        <item x="350"/>
        <item x="373"/>
        <item x="388"/>
        <item x="9"/>
        <item x="23"/>
        <item x="36"/>
        <item x="61"/>
        <item x="224"/>
        <item x="241"/>
        <item x="265"/>
        <item x="391"/>
        <item x="355"/>
        <item x="371"/>
        <item x="394"/>
        <item x="92"/>
        <item x="106"/>
        <item x="124"/>
        <item x="140"/>
        <item x="228"/>
        <item x="263"/>
        <item x="91"/>
        <item x="320"/>
        <item x="116"/>
        <item x="132"/>
        <item x="221"/>
        <item x="178"/>
        <item x="217"/>
        <item x="237"/>
        <item x="330"/>
        <item x="111"/>
        <item x="127"/>
        <item x="195"/>
        <item x="208"/>
        <item x="12"/>
        <item x="267"/>
        <item x="325"/>
        <item x="344"/>
        <item x="370"/>
        <item x="387"/>
        <item x="272"/>
        <item x="192"/>
        <item x="298"/>
        <item x="318"/>
        <item x="226"/>
        <item x="185"/>
        <item x="358"/>
        <item x="381"/>
        <item x="404"/>
        <item x="264"/>
        <item x="280"/>
        <item x="301"/>
        <item x="166"/>
        <item x="398"/>
        <item x="24"/>
        <item x="37"/>
        <item x="56"/>
        <item x="83"/>
        <item x="262"/>
        <item x="248"/>
        <item x="184"/>
        <item x="187"/>
        <item x="231"/>
        <item x="43"/>
        <item x="65"/>
        <item x="84"/>
        <item x="105"/>
        <item x="121"/>
        <item x="89"/>
        <item x="108"/>
        <item x="203"/>
        <item x="225"/>
        <item x="379"/>
        <item x="329"/>
        <item x="352"/>
        <item x="401"/>
        <item x="282"/>
        <item x="340"/>
        <item x="242"/>
        <item x="260"/>
        <item x="304"/>
        <item x="47"/>
        <item x="70"/>
        <item x="143"/>
        <item x="191"/>
        <item x="167"/>
        <item x="183"/>
        <item x="210"/>
        <item x="247"/>
        <item x="164"/>
        <item x="15"/>
        <item x="27"/>
        <item x="40"/>
        <item x="269"/>
        <item x="72"/>
        <item x="95"/>
        <item x="380"/>
        <item x="305"/>
        <item x="310"/>
        <item x="361"/>
        <item x="197"/>
        <item x="215"/>
        <item x="233"/>
        <item x="60"/>
        <item x="81"/>
        <item x="360"/>
        <item x="289"/>
        <item x="315"/>
        <item x="126"/>
        <item x="139"/>
        <item x="158"/>
        <item x="180"/>
        <item x="118"/>
        <item x="133"/>
        <item x="40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63">
        <item x="63"/>
        <item x="308"/>
        <item x="307"/>
        <item x="64"/>
        <item x="359"/>
        <item x="183"/>
        <item x="42"/>
        <item x="341"/>
        <item x="339"/>
        <item x="340"/>
        <item x="81"/>
        <item x="12"/>
        <item x="356"/>
        <item x="323"/>
        <item x="26"/>
        <item x="28"/>
        <item x="143"/>
        <item x="142"/>
        <item x="215"/>
        <item x="357"/>
        <item x="13"/>
        <item x="230"/>
        <item x="41"/>
        <item x="163"/>
        <item x="144"/>
        <item x="231"/>
        <item x="324"/>
        <item x="77"/>
        <item x="338"/>
        <item x="62"/>
        <item x="15"/>
        <item x="305"/>
        <item x="197"/>
        <item x="71"/>
        <item x="306"/>
        <item x="79"/>
        <item x="278"/>
        <item x="80"/>
        <item x="261"/>
        <item x="58"/>
        <item x="304"/>
        <item x="274"/>
        <item x="78"/>
        <item x="322"/>
        <item x="336"/>
        <item x="25"/>
        <item x="181"/>
        <item x="164"/>
        <item x="29"/>
        <item x="38"/>
        <item x="355"/>
        <item x="114"/>
        <item x="225"/>
        <item x="195"/>
        <item x="262"/>
        <item x="11"/>
        <item x="292"/>
        <item x="98"/>
        <item x="352"/>
        <item x="155"/>
        <item x="351"/>
        <item x="210"/>
        <item x="126"/>
        <item x="194"/>
        <item x="132"/>
        <item x="127"/>
        <item x="113"/>
        <item x="273"/>
        <item x="178"/>
        <item x="112"/>
        <item x="320"/>
        <item x="40"/>
        <item x="141"/>
        <item x="337"/>
        <item x="27"/>
        <item x="229"/>
        <item x="59"/>
        <item x="248"/>
        <item x="99"/>
        <item x="139"/>
        <item x="293"/>
        <item x="177"/>
        <item x="223"/>
        <item x="358"/>
        <item x="258"/>
        <item x="110"/>
        <item x="10"/>
        <item x="196"/>
        <item x="353"/>
        <item x="275"/>
        <item x="335"/>
        <item x="257"/>
        <item x="240"/>
        <item x="276"/>
        <item x="156"/>
        <item x="303"/>
        <item x="209"/>
        <item x="282"/>
        <item x="302"/>
        <item x="277"/>
        <item x="290"/>
        <item x="159"/>
        <item x="162"/>
        <item x="158"/>
        <item x="212"/>
        <item x="321"/>
        <item x="53"/>
        <item x="211"/>
        <item x="182"/>
        <item x="259"/>
        <item x="245"/>
        <item x="14"/>
        <item x="227"/>
        <item x="91"/>
        <item x="291"/>
        <item x="348"/>
        <item x="191"/>
        <item x="48"/>
        <item x="111"/>
        <item x="74"/>
        <item x="34"/>
        <item x="107"/>
        <item x="175"/>
        <item x="228"/>
        <item x="193"/>
        <item x="333"/>
        <item x="22"/>
        <item x="161"/>
        <item x="39"/>
        <item x="160"/>
        <item x="122"/>
        <item x="247"/>
        <item x="118"/>
        <item x="150"/>
        <item x="176"/>
        <item x="198"/>
        <item x="260"/>
        <item x="30"/>
        <item x="8"/>
        <item x="151"/>
        <item x="61"/>
        <item x="226"/>
        <item x="270"/>
        <item x="272"/>
        <item x="85"/>
        <item x="242"/>
        <item x="236"/>
        <item x="286"/>
        <item x="140"/>
        <item x="24"/>
        <item x="116"/>
        <item x="56"/>
        <item x="246"/>
        <item x="315"/>
        <item x="288"/>
        <item x="354"/>
        <item x="313"/>
        <item x="314"/>
        <item x="271"/>
        <item x="7"/>
        <item x="119"/>
        <item x="97"/>
        <item x="102"/>
        <item x="55"/>
        <item x="137"/>
        <item x="35"/>
        <item x="82"/>
        <item x="152"/>
        <item x="168"/>
        <item x="20"/>
        <item x="133"/>
        <item x="72"/>
        <item x="208"/>
        <item x="125"/>
        <item x="180"/>
        <item x="76"/>
        <item x="253"/>
        <item x="70"/>
        <item x="172"/>
        <item x="87"/>
        <item x="254"/>
        <item x="92"/>
        <item x="214"/>
        <item x="285"/>
        <item x="37"/>
        <item x="252"/>
        <item x="136"/>
        <item x="331"/>
        <item x="289"/>
        <item x="104"/>
        <item x="311"/>
        <item x="49"/>
        <item x="301"/>
        <item x="96"/>
        <item x="300"/>
        <item x="75"/>
        <item x="2"/>
        <item x="83"/>
        <item x="9"/>
        <item x="203"/>
        <item x="57"/>
        <item x="124"/>
        <item x="67"/>
        <item x="123"/>
        <item x="316"/>
        <item x="43"/>
        <item x="65"/>
        <item x="221"/>
        <item x="326"/>
        <item x="94"/>
        <item x="19"/>
        <item x="342"/>
        <item x="255"/>
        <item x="268"/>
        <item x="238"/>
        <item x="105"/>
        <item x="89"/>
        <item x="264"/>
        <item x="5"/>
        <item x="287"/>
        <item x="153"/>
        <item x="4"/>
        <item x="241"/>
        <item x="187"/>
        <item x="256"/>
        <item x="174"/>
        <item x="319"/>
        <item x="179"/>
        <item x="90"/>
        <item x="18"/>
        <item x="190"/>
        <item x="60"/>
        <item x="346"/>
        <item x="54"/>
        <item x="173"/>
        <item x="243"/>
        <item x="219"/>
        <item x="135"/>
        <item x="281"/>
        <item x="154"/>
        <item x="73"/>
        <item x="93"/>
        <item x="88"/>
        <item x="192"/>
        <item x="131"/>
        <item x="207"/>
        <item x="329"/>
        <item x="234"/>
        <item x="23"/>
        <item x="120"/>
        <item x="345"/>
        <item x="334"/>
        <item x="32"/>
        <item x="297"/>
        <item x="138"/>
        <item x="224"/>
        <item x="95"/>
        <item x="167"/>
        <item x="318"/>
        <item x="188"/>
        <item x="235"/>
        <item x="189"/>
        <item x="330"/>
        <item x="109"/>
        <item x="121"/>
        <item x="52"/>
        <item x="108"/>
        <item x="222"/>
        <item x="220"/>
        <item x="170"/>
        <item x="47"/>
        <item x="204"/>
        <item x="69"/>
        <item x="205"/>
        <item x="1"/>
        <item x="312"/>
        <item x="157"/>
        <item x="148"/>
        <item x="106"/>
        <item x="6"/>
        <item x="283"/>
        <item x="310"/>
        <item x="295"/>
        <item x="147"/>
        <item x="149"/>
        <item x="218"/>
        <item x="202"/>
        <item x="36"/>
        <item x="84"/>
        <item x="244"/>
        <item x="206"/>
        <item x="86"/>
        <item x="347"/>
        <item x="263"/>
        <item x="134"/>
        <item x="237"/>
        <item x="269"/>
        <item x="299"/>
        <item x="171"/>
        <item x="130"/>
        <item x="184"/>
        <item x="239"/>
        <item x="284"/>
        <item x="51"/>
        <item x="101"/>
        <item x="332"/>
        <item x="169"/>
        <item x="232"/>
        <item x="266"/>
        <item x="103"/>
        <item x="317"/>
        <item x="199"/>
        <item x="166"/>
        <item x="233"/>
        <item x="3"/>
        <item x="44"/>
        <item x="50"/>
        <item x="327"/>
        <item x="33"/>
        <item x="350"/>
        <item x="251"/>
        <item x="249"/>
        <item x="344"/>
        <item x="186"/>
        <item x="298"/>
        <item x="280"/>
        <item x="21"/>
        <item x="46"/>
        <item x="265"/>
        <item x="250"/>
        <item x="216"/>
        <item x="45"/>
        <item x="117"/>
        <item x="213"/>
        <item x="31"/>
        <item x="68"/>
        <item x="267"/>
        <item x="343"/>
        <item x="296"/>
        <item x="349"/>
        <item x="325"/>
        <item x="17"/>
        <item x="165"/>
        <item x="309"/>
        <item x="294"/>
        <item x="115"/>
        <item x="217"/>
        <item x="100"/>
        <item x="279"/>
        <item x="146"/>
        <item x="328"/>
        <item x="185"/>
        <item x="66"/>
        <item x="201"/>
        <item x="129"/>
        <item x="145"/>
        <item x="128"/>
        <item x="16"/>
        <item x="0"/>
        <item x="200"/>
        <item x="360"/>
        <item x="36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100"/>
    </i>
    <i>
      <x v="250"/>
    </i>
    <i>
      <x v="251"/>
    </i>
    <i>
      <x v="407"/>
    </i>
    <i>
      <x v="84"/>
    </i>
    <i t="grand">
      <x/>
    </i>
  </rowItems>
  <colItems count="1">
    <i/>
  </colItems>
  <dataFields count="1">
    <dataField name="Suma de DEFRTNGPG" fld="34" baseField="2" baseItem="0" numFmtId="2"/>
  </dataFields>
  <formats count="1">
    <format dxfId="45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BA374-208E-43BC-9D9B-60B77CE3E596}" name="TablaDinámica5" cacheId="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5:C11" firstHeaderRow="1" firstDataRow="1" firstDataCol="1"/>
  <pivotFields count="43"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axis="axisRow" showAll="0" measureFilter="1" sortType="descending">
      <items count="409">
        <item x="133"/>
        <item x="118"/>
        <item x="180"/>
        <item x="158"/>
        <item x="139"/>
        <item x="126"/>
        <item x="315"/>
        <item x="289"/>
        <item x="360"/>
        <item x="81"/>
        <item x="60"/>
        <item x="233"/>
        <item x="215"/>
        <item x="197"/>
        <item x="361"/>
        <item x="310"/>
        <item x="305"/>
        <item x="380"/>
        <item x="95"/>
        <item x="72"/>
        <item x="269"/>
        <item x="40"/>
        <item x="27"/>
        <item x="15"/>
        <item x="164"/>
        <item x="247"/>
        <item x="210"/>
        <item x="183"/>
        <item x="167"/>
        <item x="191"/>
        <item x="143"/>
        <item x="70"/>
        <item x="47"/>
        <item x="304"/>
        <item x="260"/>
        <item x="242"/>
        <item x="340"/>
        <item x="282"/>
        <item x="401"/>
        <item x="352"/>
        <item x="329"/>
        <item x="379"/>
        <item x="225"/>
        <item x="203"/>
        <item x="108"/>
        <item x="89"/>
        <item x="121"/>
        <item x="105"/>
        <item x="84"/>
        <item x="65"/>
        <item x="43"/>
        <item x="231"/>
        <item x="187"/>
        <item x="184"/>
        <item x="248"/>
        <item x="262"/>
        <item x="83"/>
        <item x="56"/>
        <item x="37"/>
        <item x="24"/>
        <item x="398"/>
        <item x="166"/>
        <item x="301"/>
        <item x="280"/>
        <item x="264"/>
        <item x="404"/>
        <item x="381"/>
        <item x="358"/>
        <item x="185"/>
        <item x="226"/>
        <item x="318"/>
        <item x="298"/>
        <item x="192"/>
        <item x="272"/>
        <item x="387"/>
        <item x="370"/>
        <item x="344"/>
        <item x="325"/>
        <item x="267"/>
        <item x="12"/>
        <item x="208"/>
        <item x="195"/>
        <item x="127"/>
        <item x="111"/>
        <item x="330"/>
        <item x="237"/>
        <item x="217"/>
        <item x="178"/>
        <item x="221"/>
        <item x="132"/>
        <item x="116"/>
        <item x="320"/>
        <item x="91"/>
        <item x="263"/>
        <item x="228"/>
        <item x="140"/>
        <item x="124"/>
        <item x="106"/>
        <item x="92"/>
        <item x="394"/>
        <item x="371"/>
        <item x="355"/>
        <item x="391"/>
        <item x="265"/>
        <item x="241"/>
        <item x="224"/>
        <item x="61"/>
        <item x="36"/>
        <item x="23"/>
        <item x="9"/>
        <item x="388"/>
        <item x="373"/>
        <item x="350"/>
        <item x="334"/>
        <item x="336"/>
        <item x="351"/>
        <item x="328"/>
        <item x="68"/>
        <item x="46"/>
        <item x="161"/>
        <item x="136"/>
        <item x="122"/>
        <item x="110"/>
        <item x="93"/>
        <item x="142"/>
        <item x="79"/>
        <item x="58"/>
        <item x="390"/>
        <item x="368"/>
        <item x="343"/>
        <item x="326"/>
        <item x="322"/>
        <item x="296"/>
        <item x="392"/>
        <item x="378"/>
        <item x="359"/>
        <item x="209"/>
        <item x="69"/>
        <item x="57"/>
        <item x="54"/>
        <item x="39"/>
        <item x="306"/>
        <item x="244"/>
        <item x="99"/>
        <item x="76"/>
        <item x="299"/>
        <item x="363"/>
        <item x="96"/>
        <item x="300"/>
        <item x="19"/>
        <item x="4"/>
        <item x="152"/>
        <item x="130"/>
        <item x="113"/>
        <item x="174"/>
        <item x="229"/>
        <item x="16"/>
        <item x="0"/>
        <item x="405"/>
        <item x="154"/>
        <item x="131"/>
        <item x="114"/>
        <item x="98"/>
        <item x="73"/>
        <item x="399"/>
        <item x="312"/>
        <item x="14"/>
        <item x="285"/>
        <item x="259"/>
        <item x="38"/>
        <item x="42"/>
        <item x="26"/>
        <item x="13"/>
        <item x="32"/>
        <item x="18"/>
        <item x="1"/>
        <item x="28"/>
        <item x="6"/>
        <item x="165"/>
        <item x="141"/>
        <item x="276"/>
        <item x="254"/>
        <item x="201"/>
        <item x="182"/>
        <item x="317"/>
        <item x="295"/>
        <item x="278"/>
        <item x="266"/>
        <item x="307"/>
        <item x="292"/>
        <item x="277"/>
        <item x="227"/>
        <item x="66"/>
        <item x="45"/>
        <item x="31"/>
        <item x="17"/>
        <item x="3"/>
        <item x="303"/>
        <item x="288"/>
        <item x="271"/>
        <item x="281"/>
        <item x="356"/>
        <item x="335"/>
        <item x="238"/>
        <item x="220"/>
        <item x="347"/>
        <item x="115"/>
        <item x="44"/>
        <item x="294"/>
        <item x="383"/>
        <item x="365"/>
        <item x="342"/>
        <item x="323"/>
        <item x="257"/>
        <item x="235"/>
        <item x="216"/>
        <item x="200"/>
        <item x="385"/>
        <item x="367"/>
        <item x="204"/>
        <item x="274"/>
        <item x="255"/>
        <item x="172"/>
        <item x="170"/>
        <item x="148"/>
        <item x="319"/>
        <item x="290"/>
        <item x="283"/>
        <item x="75"/>
        <item x="211"/>
        <item x="151"/>
        <item x="128"/>
        <item x="117"/>
        <item x="102"/>
        <item x="78"/>
        <item x="395"/>
        <item x="374"/>
        <item x="353"/>
        <item x="279"/>
        <item x="245"/>
        <item x="199"/>
        <item x="261"/>
        <item x="219"/>
        <item x="309"/>
        <item x="206"/>
        <item x="190"/>
        <item x="168"/>
        <item x="145"/>
        <item x="129"/>
        <item x="112"/>
        <item x="341"/>
        <item x="80"/>
        <item x="230"/>
        <item x="137"/>
        <item x="119"/>
        <item x="107"/>
        <item x="85"/>
        <item x="67"/>
        <item x="87"/>
        <item x="382"/>
        <item x="366"/>
        <item x="397"/>
        <item x="94"/>
        <item x="77"/>
        <item x="171"/>
        <item x="321"/>
        <item x="384"/>
        <item x="372"/>
        <item x="389"/>
        <item x="369"/>
        <item x="348"/>
        <item x="332"/>
        <item x="100"/>
        <item x="258"/>
        <item x="240"/>
        <item x="222"/>
        <item x="202"/>
        <item x="339"/>
        <item x="53"/>
        <item x="34"/>
        <item x="25"/>
        <item x="207"/>
        <item x="189"/>
        <item x="163"/>
        <item x="5"/>
        <item x="125"/>
        <item x="62"/>
        <item x="41"/>
        <item x="337"/>
        <item x="314"/>
        <item x="362"/>
        <item x="29"/>
        <item x="11"/>
        <item x="402"/>
        <item x="377"/>
        <item x="349"/>
        <item x="10"/>
        <item x="302"/>
        <item x="311"/>
        <item x="331"/>
        <item x="175"/>
        <item x="153"/>
        <item x="123"/>
        <item x="104"/>
        <item x="88"/>
        <item x="169"/>
        <item x="246"/>
        <item x="214"/>
        <item x="157"/>
        <item x="400"/>
        <item x="313"/>
        <item x="386"/>
        <item x="406"/>
        <item x="50"/>
        <item x="275"/>
        <item x="376"/>
        <item x="345"/>
        <item x="324"/>
        <item x="287"/>
        <item x="188"/>
        <item x="59"/>
        <item x="338"/>
        <item x="150"/>
        <item x="156"/>
        <item x="134"/>
        <item x="120"/>
        <item x="103"/>
        <item x="90"/>
        <item x="173"/>
        <item x="403"/>
        <item x="364"/>
        <item x="181"/>
        <item x="159"/>
        <item x="146"/>
        <item x="212"/>
        <item x="357"/>
        <item x="316"/>
        <item x="144"/>
        <item x="308"/>
        <item x="291"/>
        <item x="256"/>
        <item x="243"/>
        <item x="284"/>
        <item x="268"/>
        <item x="55"/>
        <item x="33"/>
        <item x="21"/>
        <item x="147"/>
        <item x="249"/>
        <item x="162"/>
        <item x="138"/>
        <item x="223"/>
        <item x="8"/>
        <item x="155"/>
        <item x="179"/>
        <item x="297"/>
        <item x="49"/>
        <item x="35"/>
        <item x="22"/>
        <item x="7"/>
        <item x="407"/>
        <item x="109"/>
        <item x="86"/>
        <item x="64"/>
        <item x="286"/>
        <item x="270"/>
        <item x="250"/>
        <item x="232"/>
        <item x="213"/>
        <item x="196"/>
        <item x="177"/>
        <item x="375"/>
        <item x="354"/>
        <item x="82"/>
        <item x="63"/>
        <item x="293"/>
        <item x="393"/>
        <item x="239"/>
        <item x="205"/>
        <item x="333"/>
        <item x="273"/>
        <item x="51"/>
        <item x="97"/>
        <item x="149"/>
        <item x="193"/>
        <item x="186"/>
        <item x="101"/>
        <item x="74"/>
        <item x="52"/>
        <item x="194"/>
        <item x="253"/>
        <item x="234"/>
        <item x="252"/>
        <item x="236"/>
        <item x="218"/>
        <item x="198"/>
        <item x="176"/>
        <item x="71"/>
        <item x="48"/>
        <item x="30"/>
        <item x="20"/>
        <item x="2"/>
        <item x="251"/>
        <item x="396"/>
        <item x="346"/>
        <item x="327"/>
        <item x="160"/>
        <item x="1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23"/>
    </i>
    <i>
      <x v="259"/>
    </i>
    <i>
      <x v="212"/>
    </i>
    <i>
      <x v="210"/>
    </i>
    <i>
      <x v="367"/>
    </i>
    <i t="grand">
      <x/>
    </i>
  </rowItems>
  <colItems count="1">
    <i/>
  </colItems>
  <dataFields count="1">
    <dataField name="Suma de VALORATIONPG" fld="8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6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808E6-568E-4D12-9E86-66377B00A4B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43:C66" firstHeaderRow="1" firstDataRow="1" firstDataCol="1"/>
  <pivotFields count="18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umFmtId="1" showAll="0"/>
    <pivotField numFmtId="165" showAll="0"/>
    <pivotField numFmtId="3" showAll="0"/>
    <pivotField numFmtId="3" showAll="0"/>
    <pivotField numFmtId="3" showAll="0"/>
    <pivotField numFmtId="164" showAll="0"/>
    <pivotField numFmtId="3" showAll="0"/>
    <pivotField dataField="1" numFmtId="3" showAll="0"/>
    <pivotField numFmtId="164" showAll="0"/>
    <pivotField numFmtId="3" showAll="0"/>
    <pivotField numFmtId="3" showAll="0"/>
    <pivotField numFmtId="164" showAll="0"/>
    <pivotField numFmtId="3" showAll="0"/>
    <pivotField numFmtId="3" showAll="0"/>
    <pivotField numFmtId="3" showAll="0"/>
    <pivotField numFmtId="3" showAll="0"/>
    <pivotField numFmtId="3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a de FG3A" fld="8" baseField="0" baseItem="0" numFmtId="3"/>
  </dataFields>
  <chartFormats count="3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090D5-AE74-43C0-9C9C-A820D5229807}" name="TD_Asistent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27:M33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numFmtId="2" showAll="0"/>
    <pivotField showAll="0"/>
    <pivotField showAll="0"/>
    <pivotField numFmtId="2"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numFmtId="2" showAll="0"/>
  </pivotFields>
  <rowFields count="1">
    <field x="0"/>
  </rowFields>
  <rowItems count="6">
    <i>
      <x v="193"/>
    </i>
    <i>
      <x v="110"/>
    </i>
    <i>
      <x v="21"/>
    </i>
    <i>
      <x v="85"/>
    </i>
    <i>
      <x v="171"/>
    </i>
    <i t="grand">
      <x/>
    </i>
  </rowItems>
  <colItems count="1">
    <i/>
  </colItems>
  <dataFields count="1">
    <dataField name="Suma de AST" fld="27" baseField="0" baseItem="0" numFmtId="3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2567A-A73E-42FE-8535-ADDDE2AC0A13}" name="TD_Reboteadore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27:J33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2" showAll="0"/>
    <pivotField showAll="0"/>
    <pivotField numFmtId="2" showAll="0"/>
    <pivotField showAll="0"/>
    <pivotField showAll="0"/>
    <pivotField numFmtId="2" showAll="0"/>
    <pivotField showAll="0"/>
    <pivotField showAll="0"/>
    <pivotField numFmtId="2" showAll="0"/>
    <pivotField showAll="0"/>
    <pivotField numFmtId="2" showAll="0"/>
    <pivotField showAll="0"/>
    <pivotField numFmtId="2" showAll="0"/>
    <pivotField showAll="0"/>
    <pivotField showAll="0"/>
    <pivotField showAll="0"/>
    <pivotField numFmtId="2" showAll="0"/>
  </pivotFields>
  <rowFields count="1">
    <field x="0"/>
  </rowFields>
  <rowItems count="6">
    <i>
      <x v="45"/>
    </i>
    <i>
      <x v="119"/>
    </i>
    <i>
      <x v="21"/>
    </i>
    <i>
      <x v="110"/>
    </i>
    <i>
      <x v="213"/>
    </i>
    <i t="grand">
      <x/>
    </i>
  </rowItems>
  <colItems count="1">
    <i/>
  </colItems>
  <dataFields count="1">
    <dataField name="Suma de REB" fld="22" baseField="0" baseItem="0" numFmtId="3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50EC2-9FCC-4BA9-A928-21AE5EB1B96B}" name="PT_Jugadore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4:Q224" firstHeaderRow="1" firstDataRow="1" firstDataCol="1"/>
  <pivotFields count="2">
    <pivotField axis="axisRow" compact="0" outline="0" showAll="0" sortType="descending">
      <items count="220">
        <item x="85"/>
        <item x="42"/>
        <item x="26"/>
        <item x="44"/>
        <item x="47"/>
        <item x="80"/>
        <item x="151"/>
        <item x="71"/>
        <item x="53"/>
        <item x="173"/>
        <item x="134"/>
        <item x="175"/>
        <item x="105"/>
        <item x="66"/>
        <item x="70"/>
        <item x="15"/>
        <item x="27"/>
        <item x="128"/>
        <item x="11"/>
        <item x="117"/>
        <item x="112"/>
        <item x="19"/>
        <item x="209"/>
        <item x="122"/>
        <item x="208"/>
        <item x="12"/>
        <item x="83"/>
        <item x="8"/>
        <item x="217"/>
        <item x="16"/>
        <item x="164"/>
        <item x="3"/>
        <item x="210"/>
        <item x="155"/>
        <item x="108"/>
        <item x="123"/>
        <item x="100"/>
        <item x="51"/>
        <item x="199"/>
        <item x="143"/>
        <item x="214"/>
        <item x="75"/>
        <item x="216"/>
        <item x="181"/>
        <item x="162"/>
        <item x="25"/>
        <item x="204"/>
        <item x="115"/>
        <item x="157"/>
        <item x="161"/>
        <item x="18"/>
        <item x="121"/>
        <item x="176"/>
        <item x="213"/>
        <item x="45"/>
        <item x="125"/>
        <item x="179"/>
        <item x="69"/>
        <item x="189"/>
        <item x="62"/>
        <item x="132"/>
        <item x="37"/>
        <item x="24"/>
        <item x="90"/>
        <item x="110"/>
        <item x="57"/>
        <item x="195"/>
        <item x="163"/>
        <item x="38"/>
        <item x="56"/>
        <item x="50"/>
        <item x="102"/>
        <item x="95"/>
        <item x="9"/>
        <item x="188"/>
        <item x="36"/>
        <item x="140"/>
        <item x="29"/>
        <item x="49"/>
        <item x="129"/>
        <item x="150"/>
        <item x="167"/>
        <item x="178"/>
        <item x="4"/>
        <item x="46"/>
        <item x="10"/>
        <item x="159"/>
        <item x="146"/>
        <item x="194"/>
        <item x="79"/>
        <item x="7"/>
        <item x="35"/>
        <item x="76"/>
        <item x="5"/>
        <item x="192"/>
        <item x="52"/>
        <item x="156"/>
        <item x="103"/>
        <item x="185"/>
        <item x="193"/>
        <item x="158"/>
        <item x="200"/>
        <item x="54"/>
        <item x="160"/>
        <item x="149"/>
        <item x="182"/>
        <item x="14"/>
        <item x="180"/>
        <item x="20"/>
        <item x="32"/>
        <item x="6"/>
        <item x="99"/>
        <item x="74"/>
        <item x="206"/>
        <item x="28"/>
        <item x="82"/>
        <item x="168"/>
        <item x="118"/>
        <item x="91"/>
        <item x="68"/>
        <item x="63"/>
        <item x="101"/>
        <item x="48"/>
        <item x="34"/>
        <item x="30"/>
        <item x="72"/>
        <item x="205"/>
        <item x="17"/>
        <item x="186"/>
        <item x="144"/>
        <item x="81"/>
        <item x="184"/>
        <item x="97"/>
        <item x="172"/>
        <item x="116"/>
        <item x="212"/>
        <item x="104"/>
        <item x="203"/>
        <item x="73"/>
        <item x="2"/>
        <item x="165"/>
        <item x="114"/>
        <item x="215"/>
        <item x="187"/>
        <item x="136"/>
        <item x="153"/>
        <item x="78"/>
        <item x="147"/>
        <item x="154"/>
        <item x="64"/>
        <item x="77"/>
        <item x="111"/>
        <item x="127"/>
        <item x="67"/>
        <item x="201"/>
        <item x="21"/>
        <item x="152"/>
        <item x="124"/>
        <item x="196"/>
        <item x="109"/>
        <item x="88"/>
        <item x="133"/>
        <item x="31"/>
        <item x="106"/>
        <item x="59"/>
        <item x="55"/>
        <item x="113"/>
        <item x="120"/>
        <item x="60"/>
        <item x="191"/>
        <item x="183"/>
        <item x="1"/>
        <item x="87"/>
        <item x="148"/>
        <item x="166"/>
        <item x="89"/>
        <item x="39"/>
        <item x="93"/>
        <item x="138"/>
        <item x="61"/>
        <item x="131"/>
        <item x="92"/>
        <item x="174"/>
        <item x="126"/>
        <item x="94"/>
        <item x="33"/>
        <item x="145"/>
        <item x="86"/>
        <item x="41"/>
        <item x="190"/>
        <item x="141"/>
        <item x="139"/>
        <item x="218"/>
        <item x="0"/>
        <item x="23"/>
        <item x="171"/>
        <item x="197"/>
        <item x="135"/>
        <item x="202"/>
        <item x="198"/>
        <item x="43"/>
        <item x="84"/>
        <item x="169"/>
        <item x="40"/>
        <item x="119"/>
        <item x="22"/>
        <item x="170"/>
        <item x="137"/>
        <item x="98"/>
        <item x="207"/>
        <item x="13"/>
        <item x="130"/>
        <item x="211"/>
        <item x="107"/>
        <item x="142"/>
        <item x="177"/>
        <item x="96"/>
        <item x="58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220">
    <i>
      <x v="21"/>
    </i>
    <i>
      <x v="119"/>
    </i>
    <i>
      <x v="89"/>
    </i>
    <i>
      <x v="155"/>
    </i>
    <i>
      <x v="4"/>
    </i>
    <i>
      <x v="3"/>
    </i>
    <i>
      <x v="45"/>
    </i>
    <i>
      <x v="134"/>
    </i>
    <i>
      <x v="60"/>
    </i>
    <i>
      <x v="165"/>
    </i>
    <i>
      <x v="85"/>
    </i>
    <i>
      <x v="193"/>
    </i>
    <i>
      <x v="161"/>
    </i>
    <i>
      <x v="152"/>
    </i>
    <i>
      <x v="176"/>
    </i>
    <i>
      <x v="25"/>
    </i>
    <i>
      <x v="50"/>
    </i>
    <i>
      <x v="75"/>
    </i>
    <i>
      <x v="173"/>
    </i>
    <i>
      <x v="121"/>
    </i>
    <i>
      <x v="77"/>
    </i>
    <i>
      <x v="187"/>
    </i>
    <i>
      <x v="217"/>
    </i>
    <i>
      <x v="110"/>
    </i>
    <i>
      <x v="98"/>
    </i>
    <i>
      <x v="109"/>
    </i>
    <i>
      <x v="162"/>
    </i>
    <i>
      <x v="203"/>
    </i>
    <i>
      <x v="182"/>
    </i>
    <i>
      <x v="34"/>
    </i>
    <i>
      <x v="150"/>
    </i>
    <i>
      <x v="41"/>
    </i>
    <i>
      <x v="171"/>
    </i>
    <i>
      <x v="7"/>
    </i>
    <i>
      <x v="200"/>
    </i>
    <i>
      <x v="65"/>
    </i>
    <i>
      <x v="213"/>
    </i>
    <i>
      <x v="72"/>
    </i>
    <i>
      <x v="159"/>
    </i>
    <i>
      <x v="73"/>
    </i>
    <i>
      <x v="164"/>
    </i>
    <i>
      <x v="96"/>
    </i>
    <i>
      <x v="1"/>
    </i>
    <i>
      <x v="118"/>
    </i>
    <i>
      <x v="197"/>
    </i>
    <i>
      <x v="120"/>
    </i>
    <i>
      <x v="201"/>
    </i>
    <i>
      <x v="127"/>
    </i>
    <i>
      <x v="206"/>
    </i>
    <i>
      <x v="136"/>
    </i>
    <i>
      <x v="138"/>
    </i>
    <i>
      <x v="128"/>
    </i>
    <i>
      <x v="194"/>
    </i>
    <i>
      <x v="20"/>
    </i>
    <i>
      <x v="115"/>
    </i>
    <i>
      <x v="5"/>
    </i>
    <i>
      <x v="179"/>
    </i>
    <i>
      <x v="57"/>
    </i>
    <i>
      <x v="106"/>
    </i>
    <i>
      <x v="123"/>
    </i>
    <i>
      <x v="37"/>
    </i>
    <i>
      <x v="124"/>
    </i>
    <i>
      <x v="78"/>
    </i>
    <i>
      <x v="35"/>
    </i>
    <i>
      <x v="184"/>
    </i>
    <i>
      <x v="214"/>
    </i>
    <i>
      <x v="31"/>
    </i>
    <i>
      <x v="216"/>
    </i>
    <i>
      <x/>
    </i>
    <i>
      <x v="36"/>
    </i>
    <i>
      <x v="19"/>
    </i>
    <i>
      <x v="66"/>
    </i>
    <i>
      <x v="39"/>
    </i>
    <i>
      <x v="139"/>
    </i>
    <i>
      <x v="169"/>
    </i>
    <i>
      <x v="144"/>
    </i>
    <i>
      <x v="81"/>
    </i>
    <i>
      <x v="147"/>
    </i>
    <i>
      <x v="83"/>
    </i>
    <i>
      <x v="148"/>
    </i>
    <i>
      <x v="23"/>
    </i>
    <i>
      <x v="68"/>
    </i>
    <i>
      <x v="195"/>
    </i>
    <i>
      <x v="151"/>
    </i>
    <i>
      <x v="102"/>
    </i>
    <i>
      <x v="153"/>
    </i>
    <i>
      <x v="108"/>
    </i>
    <i>
      <x v="156"/>
    </i>
    <i>
      <x v="208"/>
    </i>
    <i>
      <x v="157"/>
    </i>
    <i>
      <x v="116"/>
    </i>
    <i>
      <x v="69"/>
    </i>
    <i>
      <x v="218"/>
    </i>
    <i>
      <x v="130"/>
    </i>
    <i>
      <x v="122"/>
    </i>
    <i>
      <x v="158"/>
    </i>
    <i>
      <x v="190"/>
    </i>
    <i>
      <x v="174"/>
    </i>
    <i>
      <x v="46"/>
    </i>
    <i>
      <x v="11"/>
    </i>
    <i>
      <x v="97"/>
    </i>
    <i>
      <x v="166"/>
    </i>
    <i>
      <x v="12"/>
    </i>
    <i>
      <x v="80"/>
    </i>
    <i>
      <x v="99"/>
    </i>
    <i>
      <x v="198"/>
    </i>
    <i>
      <x v="100"/>
    </i>
    <i>
      <x v="92"/>
    </i>
    <i>
      <x v="101"/>
    </i>
    <i>
      <x v="42"/>
    </i>
    <i>
      <x v="47"/>
    </i>
    <i>
      <x v="170"/>
    </i>
    <i>
      <x v="103"/>
    </i>
    <i>
      <x v="178"/>
    </i>
    <i>
      <x v="104"/>
    </i>
    <i>
      <x v="186"/>
    </i>
    <i>
      <x v="105"/>
    </i>
    <i>
      <x v="28"/>
    </i>
    <i>
      <x v="48"/>
    </i>
    <i>
      <x v="202"/>
    </i>
    <i>
      <x v="107"/>
    </i>
    <i>
      <x v="210"/>
    </i>
    <i>
      <x v="49"/>
    </i>
    <i>
      <x v="94"/>
    </i>
    <i>
      <x v="6"/>
    </i>
    <i>
      <x v="160"/>
    </i>
    <i>
      <x v="13"/>
    </i>
    <i>
      <x v="74"/>
    </i>
    <i>
      <x v="111"/>
    </i>
    <i>
      <x v="168"/>
    </i>
    <i>
      <x v="112"/>
    </i>
    <i>
      <x v="172"/>
    </i>
    <i>
      <x v="113"/>
    </i>
    <i>
      <x v="22"/>
    </i>
    <i>
      <x v="114"/>
    </i>
    <i>
      <x v="180"/>
    </i>
    <i>
      <x v="51"/>
    </i>
    <i>
      <x v="44"/>
    </i>
    <i>
      <x v="52"/>
    </i>
    <i>
      <x v="188"/>
    </i>
    <i>
      <x v="117"/>
    </i>
    <i>
      <x v="192"/>
    </i>
    <i>
      <x v="53"/>
    </i>
    <i>
      <x v="196"/>
    </i>
    <i>
      <x v="14"/>
    </i>
    <i>
      <x v="86"/>
    </i>
    <i>
      <x v="54"/>
    </i>
    <i>
      <x v="204"/>
    </i>
    <i>
      <x v="15"/>
    </i>
    <i>
      <x v="90"/>
    </i>
    <i>
      <x v="26"/>
    </i>
    <i>
      <x v="212"/>
    </i>
    <i>
      <x v="55"/>
    </i>
    <i>
      <x v="93"/>
    </i>
    <i>
      <x v="56"/>
    </i>
    <i>
      <x v="70"/>
    </i>
    <i>
      <x v="125"/>
    </i>
    <i>
      <x v="71"/>
    </i>
    <i>
      <x v="126"/>
    </i>
    <i>
      <x v="33"/>
    </i>
    <i>
      <x v="29"/>
    </i>
    <i>
      <x v="163"/>
    </i>
    <i>
      <x v="58"/>
    </i>
    <i>
      <x v="8"/>
    </i>
    <i>
      <x v="129"/>
    </i>
    <i>
      <x v="167"/>
    </i>
    <i>
      <x v="59"/>
    </i>
    <i>
      <x v="76"/>
    </i>
    <i>
      <x v="131"/>
    </i>
    <i>
      <x v="9"/>
    </i>
    <i>
      <x v="132"/>
    </i>
    <i>
      <x v="43"/>
    </i>
    <i>
      <x v="133"/>
    </i>
    <i>
      <x v="175"/>
    </i>
    <i>
      <x v="16"/>
    </i>
    <i>
      <x v="177"/>
    </i>
    <i>
      <x v="135"/>
    </i>
    <i>
      <x v="79"/>
    </i>
    <i>
      <x v="30"/>
    </i>
    <i>
      <x v="181"/>
    </i>
    <i>
      <x v="137"/>
    </i>
    <i>
      <x v="183"/>
    </i>
    <i>
      <x v="61"/>
    </i>
    <i>
      <x v="185"/>
    </i>
    <i>
      <x v="62"/>
    </i>
    <i>
      <x v="82"/>
    </i>
    <i>
      <x v="140"/>
    </i>
    <i>
      <x v="189"/>
    </i>
    <i>
      <x v="141"/>
    </i>
    <i>
      <x v="191"/>
    </i>
    <i>
      <x v="142"/>
    </i>
    <i>
      <x v="24"/>
    </i>
    <i>
      <x v="143"/>
    </i>
    <i>
      <x v="84"/>
    </i>
    <i>
      <x v="63"/>
    </i>
    <i>
      <x v="10"/>
    </i>
    <i>
      <x v="145"/>
    </i>
    <i>
      <x v="199"/>
    </i>
    <i>
      <x v="146"/>
    </i>
    <i>
      <x v="87"/>
    </i>
    <i>
      <x v="64"/>
    </i>
    <i>
      <x v="88"/>
    </i>
    <i>
      <x v="27"/>
    </i>
    <i>
      <x v="205"/>
    </i>
    <i>
      <x v="149"/>
    </i>
    <i>
      <x v="207"/>
    </i>
    <i>
      <x v="38"/>
    </i>
    <i>
      <x v="209"/>
    </i>
    <i>
      <x v="67"/>
    </i>
    <i>
      <x v="211"/>
    </i>
    <i>
      <x v="17"/>
    </i>
    <i>
      <x v="91"/>
    </i>
    <i>
      <x v="32"/>
    </i>
    <i>
      <x v="215"/>
    </i>
    <i>
      <x v="154"/>
    </i>
    <i>
      <x v="2"/>
    </i>
    <i>
      <x v="18"/>
    </i>
    <i>
      <x v="95"/>
    </i>
    <i>
      <x v="40"/>
    </i>
    <i t="grand">
      <x/>
    </i>
  </rowItems>
  <colItems count="1">
    <i/>
  </colItems>
  <dataFields count="1">
    <dataField name="Temporada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1A62F-8331-42C7-8B32-CFADA3CA7AD5}" name="TablaDiná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I5:J11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 v="21"/>
    </i>
    <i>
      <x v="110"/>
    </i>
    <i>
      <x v="3"/>
    </i>
    <i>
      <x v="85"/>
    </i>
    <i>
      <x v="193"/>
    </i>
    <i t="grand">
      <x/>
    </i>
  </rowItems>
  <colItems count="1">
    <i/>
  </colItems>
  <dataFields count="1">
    <dataField name="Suma de PTS" fld="4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61932-98E9-4F36-A109-672B78E80334}" name="TablaDinámica1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1:C37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119"/>
    </i>
    <i>
      <x v="21"/>
    </i>
    <i>
      <x v="45"/>
    </i>
    <i>
      <x v="155"/>
    </i>
    <i>
      <x v="3"/>
    </i>
    <i t="grand">
      <x/>
    </i>
  </rowItems>
  <colItems count="1">
    <i/>
  </colItems>
  <dataFields count="1">
    <dataField name="Suma de GP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06FF8-879C-49E5-B942-5C44A50EF752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2">
  <location ref="I16:J24" firstHeaderRow="1" firstDataRow="1" firstDataCol="1"/>
  <pivotFields count="43">
    <pivotField axis="axisRow" showAll="0" measureFilter="1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 v="88"/>
    </i>
    <i>
      <x v="19"/>
    </i>
    <i>
      <x v="192"/>
    </i>
    <i>
      <x v="22"/>
    </i>
    <i>
      <x v="28"/>
    </i>
    <i>
      <x v="199"/>
    </i>
    <i>
      <x v="24"/>
    </i>
    <i t="grand">
      <x/>
    </i>
  </rowItems>
  <colItems count="1">
    <i/>
  </colItems>
  <dataFields count="1">
    <dataField name="Suma de VALORATION" fld="7" baseField="0" baseItem="0"/>
  </dataFields>
  <chartFormats count="16">
    <chartFormat chart="4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4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4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4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4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47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47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50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0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50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5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5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015E4-A113-4B97-A982-8F0592903B65}" name="PT_Puntos222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71:C89" firstHeaderRow="1" firstDataRow="1" firstDataCol="1" rowPageCount="1" colPageCount="1"/>
  <pivotFields count="43">
    <pivotField axis="axisRow" showAll="0" sortType="descending">
      <items count="220">
        <item x="64"/>
        <item x="176"/>
        <item x="128"/>
        <item x="2"/>
        <item x="86"/>
        <item x="118"/>
        <item x="99"/>
        <item x="29"/>
        <item x="93"/>
        <item x="98"/>
        <item x="72"/>
        <item x="53"/>
        <item x="28"/>
        <item x="142"/>
        <item x="182"/>
        <item x="106"/>
        <item x="119"/>
        <item x="210"/>
        <item x="154"/>
        <item x="34"/>
        <item x="193"/>
        <item x="87"/>
        <item x="35"/>
        <item x="44"/>
        <item x="218"/>
        <item x="7"/>
        <item x="157"/>
        <item x="89"/>
        <item x="74"/>
        <item x="8"/>
        <item x="113"/>
        <item x="65"/>
        <item x="127"/>
        <item x="70"/>
        <item x="16"/>
        <item x="138"/>
        <item x="121"/>
        <item x="153"/>
        <item x="68"/>
        <item x="170"/>
        <item x="109"/>
        <item x="69"/>
        <item x="201"/>
        <item x="215"/>
        <item x="84"/>
        <item x="48"/>
        <item x="73"/>
        <item x="186"/>
        <item x="32"/>
        <item x="95"/>
        <item x="150"/>
        <item x="143"/>
        <item x="27"/>
        <item x="217"/>
        <item x="207"/>
        <item x="168"/>
        <item x="214"/>
        <item x="75"/>
        <item x="124"/>
        <item x="80"/>
        <item x="46"/>
        <item x="180"/>
        <item x="166"/>
        <item x="161"/>
        <item x="10"/>
        <item x="191"/>
        <item x="11"/>
        <item x="199"/>
        <item x="169"/>
        <item x="22"/>
        <item x="62"/>
        <item x="5"/>
        <item x="76"/>
        <item x="18"/>
        <item x="187"/>
        <item x="103"/>
        <item x="54"/>
        <item x="181"/>
        <item x="204"/>
        <item x="172"/>
        <item x="82"/>
        <item x="41"/>
        <item x="211"/>
        <item x="202"/>
        <item x="45"/>
        <item x="36"/>
        <item x="116"/>
        <item x="43"/>
        <item x="189"/>
        <item x="57"/>
        <item x="164"/>
        <item x="110"/>
        <item x="132"/>
        <item x="101"/>
        <item x="123"/>
        <item x="145"/>
        <item x="192"/>
        <item x="42"/>
        <item x="55"/>
        <item x="108"/>
        <item x="39"/>
        <item x="149"/>
        <item x="152"/>
        <item x="71"/>
        <item x="81"/>
        <item x="83"/>
        <item x="130"/>
        <item x="105"/>
        <item x="203"/>
        <item x="102"/>
        <item x="173"/>
        <item x="155"/>
        <item x="24"/>
        <item x="59"/>
        <item x="190"/>
        <item x="111"/>
        <item x="184"/>
        <item x="147"/>
        <item x="140"/>
        <item x="3"/>
        <item x="144"/>
        <item x="136"/>
        <item x="90"/>
        <item x="129"/>
        <item x="66"/>
        <item x="6"/>
        <item x="19"/>
        <item x="1"/>
        <item x="13"/>
        <item x="20"/>
        <item x="131"/>
        <item x="14"/>
        <item x="167"/>
        <item x="213"/>
        <item x="38"/>
        <item x="216"/>
        <item x="0"/>
        <item x="85"/>
        <item x="58"/>
        <item x="4"/>
        <item x="160"/>
        <item x="52"/>
        <item x="200"/>
        <item x="159"/>
        <item x="40"/>
        <item x="122"/>
        <item x="163"/>
        <item x="21"/>
        <item x="30"/>
        <item x="107"/>
        <item x="196"/>
        <item x="156"/>
        <item x="175"/>
        <item x="31"/>
        <item x="67"/>
        <item x="51"/>
        <item x="25"/>
        <item x="177"/>
        <item x="185"/>
        <item x="183"/>
        <item x="208"/>
        <item x="9"/>
        <item x="114"/>
        <item x="209"/>
        <item x="194"/>
        <item x="50"/>
        <item x="134"/>
        <item x="49"/>
        <item x="171"/>
        <item x="60"/>
        <item x="112"/>
        <item x="88"/>
        <item x="179"/>
        <item x="56"/>
        <item x="12"/>
        <item x="137"/>
        <item x="174"/>
        <item x="141"/>
        <item x="97"/>
        <item x="158"/>
        <item x="115"/>
        <item x="92"/>
        <item x="195"/>
        <item x="135"/>
        <item x="146"/>
        <item x="78"/>
        <item x="212"/>
        <item x="17"/>
        <item x="133"/>
        <item x="126"/>
        <item x="91"/>
        <item x="94"/>
        <item x="117"/>
        <item x="23"/>
        <item x="47"/>
        <item x="104"/>
        <item x="205"/>
        <item x="178"/>
        <item x="148"/>
        <item x="188"/>
        <item x="120"/>
        <item x="26"/>
        <item x="96"/>
        <item x="79"/>
        <item x="125"/>
        <item x="77"/>
        <item x="15"/>
        <item x="139"/>
        <item x="37"/>
        <item x="206"/>
        <item x="162"/>
        <item x="165"/>
        <item x="198"/>
        <item x="100"/>
        <item x="33"/>
        <item x="197"/>
        <item x="151"/>
        <item x="63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2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8">
    <i>
      <x v="110"/>
    </i>
    <i>
      <x v="83"/>
    </i>
    <i>
      <x v="176"/>
    </i>
    <i>
      <x v="77"/>
    </i>
    <i>
      <x v="164"/>
    </i>
    <i>
      <x v="159"/>
    </i>
    <i>
      <x v="152"/>
    </i>
    <i>
      <x v="78"/>
    </i>
    <i>
      <x v="108"/>
    </i>
    <i>
      <x v="150"/>
    </i>
    <i>
      <x v="96"/>
    </i>
    <i>
      <x v="20"/>
    </i>
    <i>
      <x v="65"/>
    </i>
    <i>
      <x v="50"/>
    </i>
    <i>
      <x v="196"/>
    </i>
    <i>
      <x v="209"/>
    </i>
    <i>
      <x v="182"/>
    </i>
    <i t="grand">
      <x/>
    </i>
  </rowItems>
  <colItems count="1">
    <i/>
  </colItems>
  <pageFields count="1">
    <pageField fld="1" hier="-1"/>
  </pageFields>
  <dataFields count="1">
    <dataField name="Suma de PTS" fld="41" baseField="0" baseItem="0" numFmtId="3"/>
  </dataFields>
  <formats count="1">
    <format dxfId="48">
      <pivotArea outline="0" collapsedLevelsAreSubtotals="1" fieldPosition="0"/>
    </format>
  </formats>
  <chartFormats count="3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3D9C511-E393-45F1-BB98-40F8F92BF30F}" autoFormatId="16" applyNumberFormats="0" applyBorderFormats="0" applyFontFormats="0" applyPatternFormats="0" applyAlignmentFormats="0" applyWidthHeightFormats="0">
  <queryTableRefresh nextId="29">
    <queryTableFields count="28">
      <queryTableField id="1" name="PLAYER_ID" tableColumnId="1"/>
      <queryTableField id="2" name="SEASON_ID" tableColumnId="2"/>
      <queryTableField id="3" name="LEAGUE_ID" tableColumnId="3"/>
      <queryTableField id="4" name="TEAM_ID" tableColumnId="4"/>
      <queryTableField id="5" name="TEAM_ABBREVIATION" tableColumnId="5"/>
      <queryTableField id="6" name="PLAYER_AGE" tableColumnId="6"/>
      <queryTableField id="7" name="GP" tableColumnId="7"/>
      <queryTableField id="8" name="GS" tableColumnId="8"/>
      <queryTableField id="9" name="MIN" tableColumnId="9"/>
      <queryTableField id="10" name="FGM" tableColumnId="10"/>
      <queryTableField id="11" name="FGA" tableColumnId="11"/>
      <queryTableField id="12" name="FG_PCT" tableColumnId="12"/>
      <queryTableField id="13" name="FG3M" tableColumnId="13"/>
      <queryTableField id="14" name="FG3A" tableColumnId="14"/>
      <queryTableField id="15" name="FG3_PCT" tableColumnId="15"/>
      <queryTableField id="16" name="FTM" tableColumnId="16"/>
      <queryTableField id="17" name="FTA" tableColumnId="17"/>
      <queryTableField id="18" name="FT_PCT" tableColumnId="18"/>
      <queryTableField id="19" name="OREB" tableColumnId="19"/>
      <queryTableField id="20" name="DREB" tableColumnId="20"/>
      <queryTableField id="21" name="REB" tableColumnId="21"/>
      <queryTableField id="22" name="AST" tableColumnId="22"/>
      <queryTableField id="23" name="STL" tableColumnId="23"/>
      <queryTableField id="24" name="BLK" tableColumnId="24"/>
      <queryTableField id="25" name="TOV" tableColumnId="25"/>
      <queryTableField id="26" name="PF" tableColumnId="26"/>
      <queryTableField id="27" name="PTS" tableColumnId="27"/>
      <queryTableField id="28" name="PLAYER_NA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353148C-4F3C-4060-8B35-5C3C23DEC0AF}" autoFormatId="16" applyNumberFormats="0" applyBorderFormats="0" applyFontFormats="0" applyPatternFormats="0" applyAlignmentFormats="0" applyWidthHeightFormats="0">
  <queryTableRefresh nextId="51">
    <queryTableFields count="43">
      <queryTableField id="2" name="SEASON_ID" tableColumnId="2"/>
      <queryTableField id="29" dataBound="0" tableColumnId="29"/>
      <queryTableField id="46" dataBound="0" tableColumnId="46"/>
      <queryTableField id="30" dataBound="0" tableColumnId="30"/>
      <queryTableField id="6" name="PLAYER_AGE" tableColumnId="6"/>
      <queryTableField id="7" name="GP" tableColumnId="7"/>
      <queryTableField id="9" name="MIN" tableColumnId="9"/>
      <queryTableField id="42" dataBound="0" tableColumnId="42"/>
      <queryTableField id="44" dataBound="0" tableColumnId="44"/>
      <queryTableField id="10" name="FGM" tableColumnId="10"/>
      <queryTableField id="11" name="FGA" tableColumnId="11"/>
      <queryTableField id="12" name="FG_PCT" tableColumnId="12"/>
      <queryTableField id="50" dataBound="0" tableColumnId="3"/>
      <queryTableField id="13" name="FG3M" tableColumnId="13"/>
      <queryTableField id="49" dataBound="0" tableColumnId="1"/>
      <queryTableField id="14" name="FG3A" tableColumnId="14"/>
      <queryTableField id="15" name="FG3_PCT" tableColumnId="15"/>
      <queryTableField id="16" name="FTM" tableColumnId="16"/>
      <queryTableField id="17" name="FTA" tableColumnId="17"/>
      <queryTableField id="18" name="FT_PCT" tableColumnId="18"/>
      <queryTableField id="33" dataBound="0" tableColumnId="31"/>
      <queryTableField id="32" dataBound="0" tableColumnId="32"/>
      <queryTableField id="31" dataBound="0" tableColumnId="33"/>
      <queryTableField id="19" name="OREB" tableColumnId="19"/>
      <queryTableField id="20" name="DREB" tableColumnId="20"/>
      <queryTableField id="21" name="REB" tableColumnId="21"/>
      <queryTableField id="47" dataBound="0" tableColumnId="47"/>
      <queryTableField id="22" name="AST" tableColumnId="22"/>
      <queryTableField id="34" dataBound="0" tableColumnId="34"/>
      <queryTableField id="43" dataBound="0" tableColumnId="43"/>
      <queryTableField id="23" name="STL" tableColumnId="23"/>
      <queryTableField id="35" dataBound="0" tableColumnId="35"/>
      <queryTableField id="24" name="BLK" tableColumnId="24"/>
      <queryTableField id="36" dataBound="0" tableColumnId="36"/>
      <queryTableField id="40" dataBound="0" tableColumnId="40"/>
      <queryTableField id="25" name="TOV" tableColumnId="25"/>
      <queryTableField id="48" dataBound="0" tableColumnId="48"/>
      <queryTableField id="37" dataBound="0" tableColumnId="37"/>
      <queryTableField id="41" dataBound="0" tableColumnId="41"/>
      <queryTableField id="26" name="PF" tableColumnId="26"/>
      <queryTableField id="38" dataBound="0" tableColumnId="38"/>
      <queryTableField id="39" dataBound="0" tableColumnId="39"/>
      <queryTableField id="27" name="PTS" tableColumnId="27"/>
    </queryTableFields>
    <queryTableDeletedFields count="6">
      <deletedField name="PLAYER_ID"/>
      <deletedField name="LEAGUE_ID"/>
      <deletedField name="TEAM_ID"/>
      <deletedField name="TEAM_ABBREVIATION"/>
      <deletedField name="PLAYER_NAME"/>
      <deletedField name="GS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1" xr10:uid="{C02E6A06-604F-4302-B3C3-9ADE48E7B413}" sourceName="SEASON">
  <pivotTables>
    <pivotTable tabId="5" name="PT_Puntos2223"/>
  </pivotTables>
  <data>
    <tabular pivotCacheId="1091044373">
      <items count="22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 s="1"/>
        <i x="2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" xr10:uid="{51DC3A26-C394-4C20-B3AE-33D2560699E7}" sourceName="SEASON">
  <pivotTables>
    <pivotTable tabId="5" name="TablaDinámica6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2" xr10:uid="{315A70DF-0104-46FA-A084-A2542E391531}" sourceName="SEASON">
  <pivotTables>
    <pivotTable tabId="5" name="TablaDinámica15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3" xr10:uid="{467699AC-BE8B-4FEE-B7DD-795250E2EE76}" sourceName="SEASON">
  <pivotTables>
    <pivotTable tabId="5" name="TablaDinámica5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4" xr10:uid="{715A3F92-5749-47A5-AA03-A72FD982781F}" sourceName="SEASON">
  <pivotTables>
    <pivotTable tabId="5" name="TablaDinámica13"/>
  </pivotTables>
  <data>
    <tabular pivotCacheId="1655999561">
      <items count="2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ASON5" xr10:uid="{F284A039-6C7A-42DA-9827-013518E2E6D6}" sourceName="SEASON">
  <pivotTables>
    <pivotTable tabId="5" name="TablaDinámica1"/>
  </pivotTables>
  <data>
    <tabular pivotCacheId="1091044373">
      <items count="2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icerPieDash" xr10:uid="{D9059A05-ABD1-499C-9B09-3F1E1A95C866}" cache="SegmentaciónDeDatos_SEASON1" caption="Temporada (puntos)" columnCount="3" style="SlicerStyleLight2" rowHeight="247650"/>
  <slicer name="SL_Anotadores" xr10:uid="{D9A99F56-030A-48C2-9A60-7F1CE82B4B95}" cache="SegmentaciónDeDatos_SEASON" caption="Temporada · Anotadores" columnCount="3" style="SlicerStyleLight2" rowHeight="247650"/>
  <slicer name="SL_Partidos" xr10:uid="{91C73CC7-60FF-4F8E-9BAA-28E5D59EA992}" cache="SegmentaciónDeDatos_SEASON2" caption="Temporada · Partidos" columnCount="3" style="SlicerStyleLight2" rowHeight="247650"/>
  <slicer name="SL_Valoracion" xr10:uid="{9971BDA2-C972-4BB1-97B4-D7BB39D11673}" cache="SegmentaciónDeDatos_SEASON3" caption="Temporada · Valoración" columnCount="3" style="SlicerStyleLight2" rowHeight="247650"/>
  <slicer name="SL_Defensiva" xr10:uid="{375322A3-1556-47FE-ADB0-91B50F0F0358}" cache="SegmentaciónDeDatos_SEASON4" caption="Temporada · Defensiva" columnCount="3" style="SlicerStyleLight2" rowHeight="247650"/>
  <slicer name="SL_Peores" xr10:uid="{57FCECB4-5C3B-4203-B5EE-7F63EC1B021D}" cache="SegmentaciónDeDatos_SEASON5" caption="Temporada · Peores" columnCount="3" style="SlicerStyleLight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6DC91-D70F-4A7F-A204-A068CA74ABA7}" name="knicks_players_all_stats__2" displayName="knicks_players_all_stats__2" ref="A1:AB1219" tableType="queryTable" totalsRowShown="0">
  <autoFilter ref="A1:AB1219" xr:uid="{F516DC91-D70F-4A7F-A204-A068CA74ABA7}"/>
  <tableColumns count="28">
    <tableColumn id="1" xr3:uid="{8523EBA8-1885-4069-BFC3-856B519A8DDC}" uniqueName="1" name="PLAYER_ID" queryTableFieldId="1"/>
    <tableColumn id="2" xr3:uid="{A6CB4D3A-88A9-4A77-84B8-F32F9E16CF57}" uniqueName="2" name="SEASON_ID" queryTableFieldId="2" dataDxfId="44"/>
    <tableColumn id="3" xr3:uid="{A4CCB69F-444D-41E4-8928-C65CC30D64A7}" uniqueName="3" name="LEAGUE_ID" queryTableFieldId="3"/>
    <tableColumn id="4" xr3:uid="{E5D32F2F-7185-4841-BB41-C07F2C7B5AE9}" uniqueName="4" name="TEAM_ID" queryTableFieldId="4"/>
    <tableColumn id="5" xr3:uid="{6893E4A9-8E23-4637-8117-2DFEC1B1419D}" uniqueName="5" name="TEAM_ABBREVIATION" queryTableFieldId="5" dataDxfId="43"/>
    <tableColumn id="6" xr3:uid="{2ECB297F-46E9-4A85-9280-7166FD91796A}" uniqueName="6" name="PLAYER_AGE" queryTableFieldId="6"/>
    <tableColumn id="7" xr3:uid="{B3505A30-7354-4998-8ADF-762165100CB9}" uniqueName="7" name="GP" queryTableFieldId="7"/>
    <tableColumn id="8" xr3:uid="{C80F10D3-D6C7-496A-A6D8-DA3A5B6C2A01}" uniqueName="8" name="GS" queryTableFieldId="8"/>
    <tableColumn id="9" xr3:uid="{9945B11F-CD3B-4F57-B86B-48EE9D01706C}" uniqueName="9" name="MIN" queryTableFieldId="9"/>
    <tableColumn id="10" xr3:uid="{8C2CB909-DEBE-4FAD-81B7-10F09EB0F0C0}" uniqueName="10" name="FGM" queryTableFieldId="10"/>
    <tableColumn id="11" xr3:uid="{1C693FFB-DAB7-424E-B328-827FFE40303C}" uniqueName="11" name="FGA" queryTableFieldId="11"/>
    <tableColumn id="12" xr3:uid="{ADED252B-6728-45E4-A8E5-C1DC8935679B}" uniqueName="12" name="FG_PCT" queryTableFieldId="12"/>
    <tableColumn id="13" xr3:uid="{FAB9A66D-E93A-405D-AD35-E6D2B661E17A}" uniqueName="13" name="FG3M" queryTableFieldId="13"/>
    <tableColumn id="14" xr3:uid="{58460C90-20A4-4A5B-9D32-4D7EE6315ADB}" uniqueName="14" name="FG3A" queryTableFieldId="14"/>
    <tableColumn id="15" xr3:uid="{546941EC-6209-4280-BC19-DD07797D9330}" uniqueName="15" name="FG3_PCT" queryTableFieldId="15"/>
    <tableColumn id="16" xr3:uid="{373B452A-428B-4CB3-BB39-2BBE280077E8}" uniqueName="16" name="FTM" queryTableFieldId="16"/>
    <tableColumn id="17" xr3:uid="{3D402F86-9976-44B4-9157-371057CAB5AF}" uniqueName="17" name="FTA" queryTableFieldId="17"/>
    <tableColumn id="18" xr3:uid="{CBE9EF23-DB6D-49A3-90FE-6FADE8576A46}" uniqueName="18" name="FT_PCT" queryTableFieldId="18"/>
    <tableColumn id="19" xr3:uid="{D533FB7A-3B2D-49D0-89AD-1C136644C671}" uniqueName="19" name="OREB" queryTableFieldId="19"/>
    <tableColumn id="20" xr3:uid="{35E1A6D8-804D-4352-9A5F-D494C6C33B41}" uniqueName="20" name="DREB" queryTableFieldId="20"/>
    <tableColumn id="21" xr3:uid="{EBE2BCA1-DE12-4DCE-94BC-7D1DB54799BE}" uniqueName="21" name="REB" queryTableFieldId="21"/>
    <tableColumn id="22" xr3:uid="{6B7C3C5D-0EFC-4D4D-A500-56F86655BB96}" uniqueName="22" name="AST" queryTableFieldId="22"/>
    <tableColumn id="23" xr3:uid="{F2CD554D-35FB-497C-B164-F16D7DA113E0}" uniqueName="23" name="STL" queryTableFieldId="23"/>
    <tableColumn id="24" xr3:uid="{2F7DFA33-9AA8-4A78-980B-97A5A4F60D85}" uniqueName="24" name="BLK" queryTableFieldId="24"/>
    <tableColumn id="25" xr3:uid="{8CA8E71A-3471-4E4C-B305-68CD8D3DEA7E}" uniqueName="25" name="TOV" queryTableFieldId="25"/>
    <tableColumn id="26" xr3:uid="{8389A170-9973-4AF9-AC5F-8AD112F8DE03}" uniqueName="26" name="PF" queryTableFieldId="26"/>
    <tableColumn id="27" xr3:uid="{96B99561-73F0-4EFB-BE5C-25A09102D53B}" uniqueName="27" name="PTS" queryTableFieldId="27"/>
    <tableColumn id="28" xr3:uid="{F89BB60A-02EC-456C-8E11-765A3A057D92}" uniqueName="28" name="PLAYER_NAME" queryTableFieldId="28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50A51-2AB6-4AEC-8559-A03BAF25C8DB}" name="knicks_players_all_stats" displayName="knicks_players_all_stats" ref="A1:AQ409" tableType="queryTable" totalsRowShown="0">
  <autoFilter ref="A1:AQ409" xr:uid="{4AC50A51-2AB6-4AEC-8559-A03BAF25C8DB}"/>
  <sortState xmlns:xlrd2="http://schemas.microsoft.com/office/spreadsheetml/2017/richdata2" ref="A2:AQ409">
    <sortCondition descending="1" ref="AC1:AC409"/>
  </sortState>
  <tableColumns count="43">
    <tableColumn id="2" xr3:uid="{FFB819E8-C20B-47E5-A14C-27D02D5F95B8}" uniqueName="2" name="NAME" queryTableFieldId="2" dataDxfId="41"/>
    <tableColumn id="29" xr3:uid="{34837B95-7AD3-44AF-9B1F-873EF5EF7601}" uniqueName="29" name="SEASON" queryTableFieldId="29" dataDxfId="40"/>
    <tableColumn id="46" xr3:uid="{49BFF3B3-9CA6-4170-B687-934C66C84673}" uniqueName="46" name="PLAYER_SEASON" queryTableFieldId="46" dataDxfId="39"/>
    <tableColumn id="30" xr3:uid="{217DAAAE-984F-4EB8-BBBF-EA5D5B72FDA6}" uniqueName="30" name="AGE" queryTableFieldId="30" dataDxfId="38"/>
    <tableColumn id="6" xr3:uid="{26A86942-D117-4259-8C3E-8BF72AEB6FB5}" uniqueName="6" name="PLAYER_AGE" queryTableFieldId="6"/>
    <tableColumn id="7" xr3:uid="{71E9BC44-DA65-405E-8030-E407DCE0EA24}" uniqueName="7" name="GP" queryTableFieldId="7"/>
    <tableColumn id="9" xr3:uid="{7E9C239C-3988-498C-90AF-8BB80A7C3AE7}" uniqueName="9" name="MIN" queryTableFieldId="9"/>
    <tableColumn id="42" xr3:uid="{4BD9B88D-1E28-46E9-8F2F-489201A82B1C}" uniqueName="42" name="VALORATION" queryTableFieldId="42" dataDxfId="37"/>
    <tableColumn id="44" xr3:uid="{B20C2E4F-026E-499F-ACAA-AB9FE25539EB}" uniqueName="44" name="VALORATIONPG" queryTableFieldId="44" dataDxfId="36"/>
    <tableColumn id="10" xr3:uid="{BCDB09FF-F25A-4363-B59A-889772E4173A}" uniqueName="10" name="FGM" queryTableFieldId="10"/>
    <tableColumn id="11" xr3:uid="{53A171E5-29FD-4F4D-8D15-D4946221678D}" uniqueName="11" name="FGA" queryTableFieldId="11"/>
    <tableColumn id="12" xr3:uid="{B6332E98-A4EF-401E-B885-902696077624}" uniqueName="12" name="FG_PCT" queryTableFieldId="12"/>
    <tableColumn id="3" xr3:uid="{E56B74D4-6EA6-421F-85FA-7B2F874D895C}" uniqueName="3" name="FG3M" queryTableFieldId="50" dataDxfId="35">
      <calculatedColumnFormula>knicks_players_all_stats[[#This Row],[FG3M2]]/10</calculatedColumnFormula>
    </tableColumn>
    <tableColumn id="13" xr3:uid="{CF138FD1-5929-4E75-A44E-A3C86A6E7F86}" uniqueName="13" name="FG3M2" queryTableFieldId="13"/>
    <tableColumn id="1" xr3:uid="{60095252-66FB-41A2-A21A-A53077B3C67A}" uniqueName="1" name="FG3A" queryTableFieldId="49" dataDxfId="34">
      <calculatedColumnFormula>knicks_players_all_stats[[#This Row],[FG3A2]]/10</calculatedColumnFormula>
    </tableColumn>
    <tableColumn id="14" xr3:uid="{874C3E52-0973-4D34-AF2A-14A2B5E0877C}" uniqueName="14" name="FG3A2" queryTableFieldId="14"/>
    <tableColumn id="15" xr3:uid="{B506932F-7742-463F-BA4F-9AC13A38580F}" uniqueName="15" name="FG3_PCT" queryTableFieldId="15" dataDxfId="33" dataCellStyle="Porcentaje"/>
    <tableColumn id="16" xr3:uid="{93179114-9A5B-4CDD-9378-9B3E3A56A44C}" uniqueName="16" name="FTM" queryTableFieldId="16"/>
    <tableColumn id="17" xr3:uid="{B5A1F50D-05C0-4631-8858-D14BAA08712D}" uniqueName="17" name="FTA" queryTableFieldId="17"/>
    <tableColumn id="18" xr3:uid="{2476862C-E0B0-422D-BD28-6C97FEA41210}" uniqueName="18" name="FT_PCT" queryTableFieldId="18" dataDxfId="32"/>
    <tableColumn id="31" xr3:uid="{4CE0E244-9CE0-4D7C-A7F8-93AC7E236C26}" uniqueName="31" name="OREB" queryTableFieldId="33" dataDxfId="31"/>
    <tableColumn id="32" xr3:uid="{3CD0855D-46DD-431A-8FE2-866B93AF3716}" uniqueName="32" name="DREB" queryTableFieldId="32"/>
    <tableColumn id="33" xr3:uid="{1C37A94B-F9DC-414B-A549-CEEFDAF2E868}" uniqueName="33" name="REB" queryTableFieldId="31"/>
    <tableColumn id="19" xr3:uid="{3606B374-4FA3-4E23-963B-9EA0A0DEB0A6}" uniqueName="19" name="OREB22" queryTableFieldId="19"/>
    <tableColumn id="20" xr3:uid="{016B7C1D-7B9F-4400-97FC-C38D7BDBB5B3}" uniqueName="20" name="DREB33" queryTableFieldId="20"/>
    <tableColumn id="21" xr3:uid="{4AAD3811-B55B-4426-B89D-C45C114EA98D}" uniqueName="21" name="REB44" queryTableFieldId="21"/>
    <tableColumn id="47" xr3:uid="{856261F0-774F-4560-85B9-FDC1E916009A}" uniqueName="47" name="REBPG" queryTableFieldId="47" dataDxfId="30">
      <calculatedColumnFormula>knicks_players_all_stats[[#This Row],[REB]]/knicks_players_all_stats[[#This Row],[GP]]</calculatedColumnFormula>
    </tableColumn>
    <tableColumn id="22" xr3:uid="{8F5B9686-2238-4A2A-80D6-E5CB8D162976}" uniqueName="22" name="AST" queryTableFieldId="22"/>
    <tableColumn id="34" xr3:uid="{7ACCED0D-017F-4F4D-95C6-498951CF149A}" uniqueName="34" name="ASTPG" queryTableFieldId="34" dataDxfId="29"/>
    <tableColumn id="43" xr3:uid="{8C8BA4B9-603F-43CD-992D-FB87B2FEFCB4}" uniqueName="43" name="STL" queryTableFieldId="43" dataDxfId="28"/>
    <tableColumn id="23" xr3:uid="{E1070256-11F7-404B-9BBF-3EE07C15DB3C}" uniqueName="23" name="STL2" queryTableFieldId="23"/>
    <tableColumn id="35" xr3:uid="{71CC8313-CB25-45F8-B99D-3FFB479148C2}" uniqueName="35" name="STLPG" queryTableFieldId="35" dataDxfId="27"/>
    <tableColumn id="24" xr3:uid="{542836E7-2BA4-4817-9A70-848544611A8B}" uniqueName="24" name="BLK2" queryTableFieldId="24"/>
    <tableColumn id="36" xr3:uid="{37612855-81DB-4B60-8BCA-AF9BD84593DA}" uniqueName="36" name="BLK" queryTableFieldId="36" dataDxfId="26"/>
    <tableColumn id="40" xr3:uid="{1D75D805-4A75-4FA4-A029-63F8AD37E649}" uniqueName="40" name="BLKPG" queryTableFieldId="40" dataDxfId="25"/>
    <tableColumn id="25" xr3:uid="{C46D2877-6F43-49AB-AC94-0A5FF979D18B}" uniqueName="25" name="TOV2" queryTableFieldId="25"/>
    <tableColumn id="48" xr3:uid="{9A5E7BE8-BFE4-46E7-AB8B-E6FC6800E8F7}" uniqueName="48" name="DEFRTNGPG" queryTableFieldId="48" dataDxfId="24">
      <calculatedColumnFormula>knicks_players_all_stats[[#This Row],[BLKPG]]+knicks_players_all_stats[[#This Row],[STLPG]]+knicks_players_all_stats[[#This Row],[REBPG]]</calculatedColumnFormula>
    </tableColumn>
    <tableColumn id="37" xr3:uid="{D841AE0C-C8CA-43E8-A0F1-CCF15959F86B}" uniqueName="37" name="TOV" queryTableFieldId="37" dataDxfId="23"/>
    <tableColumn id="41" xr3:uid="{BC47ABC2-FE33-42E1-9DAC-77D8C33D2095}" uniqueName="41" name="TOVPG" queryTableFieldId="41" dataDxfId="22"/>
    <tableColumn id="26" xr3:uid="{627A2F84-B513-4703-A30C-28CDBAB54721}" uniqueName="26" name="PF" queryTableFieldId="26"/>
    <tableColumn id="38" xr3:uid="{779EEFDB-576C-4A10-9095-2D3D5BC4C0DB}" uniqueName="38" name="PFPG" queryTableFieldId="38" dataDxfId="21"/>
    <tableColumn id="39" xr3:uid="{91C65B5C-3D1D-44B7-8B90-CF16274E557C}" uniqueName="39" name="PTS" queryTableFieldId="39"/>
    <tableColumn id="27" xr3:uid="{D02D4990-B62D-48A0-9813-A9C144F21C00}" uniqueName="27" name="PTSPG" queryTableFieldId="27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E96FA4-42FE-4833-8DED-DF749557D6CF}" name="EvolucionKnicks" displayName="EvolucionKnicks" ref="A1:R23" totalsRowShown="0" headerRowDxfId="20" dataDxfId="18" headerRowBorderDxfId="19">
  <autoFilter ref="A1:R23" xr:uid="{CEE96FA4-42FE-4833-8DED-DF749557D6CF}"/>
  <tableColumns count="18">
    <tableColumn id="1" xr3:uid="{C5284818-3C52-4296-B033-879B5993E852}" name="SEASON" dataDxfId="17"/>
    <tableColumn id="2" xr3:uid="{26C737FC-6B8A-40BA-A6CD-6BA48492A1E3}" name="PLAYERS" dataDxfId="16">
      <calculatedColumnFormula>COUNTIFS(knicks_players_all_stats[SEASON],$A2)</calculatedColumnFormula>
    </tableColumn>
    <tableColumn id="3" xr3:uid="{5558EA5B-28EA-422F-803D-26519E89C99B}" name="MEDIUM_AGE" dataDxfId="15">
      <calculatedColumnFormula array="1">SUMPRODUCT((knicks_players_all_stats[SEASON]=$A2)*knicks_players_all_stats[AGE]*knicks_players_all_stats[MIN])/SUMPRODUCT((knicks_players_all_stats[SEASON]=$A2)*knicks_players_all_stats[MIN])</calculatedColumnFormula>
    </tableColumn>
    <tableColumn id="4" xr3:uid="{268B2A04-1A66-4815-9364-3B16D5309430}" name="PTS" dataDxfId="14">
      <calculatedColumnFormula>SUMIFS(knicks_players_all_stats[PTS],knicks_players_all_stats[SEASON],$A2)</calculatedColumnFormula>
    </tableColumn>
    <tableColumn id="5" xr3:uid="{2A52837E-BFAC-4D5A-8810-E9837C9EC5A1}" name="FGM" dataDxfId="13">
      <calculatedColumnFormula>SUMIFS(knicks_players_all_stats[FGM],knicks_players_all_stats[SEASON],$A2)</calculatedColumnFormula>
    </tableColumn>
    <tableColumn id="6" xr3:uid="{3376B7B7-A155-46F4-AA84-4C5C66566F84}" name="FGA" dataDxfId="12">
      <calculatedColumnFormula>SUMIFS(knicks_players_all_stats[FGA],knicks_players_all_stats[SEASON],$A2)</calculatedColumnFormula>
    </tableColumn>
    <tableColumn id="7" xr3:uid="{AEA714DC-7B10-48B0-AED0-53C1D2DD0D49}" name="FG_PCT" dataDxfId="11">
      <calculatedColumnFormula>IFERROR(E2/F2,0)</calculatedColumnFormula>
    </tableColumn>
    <tableColumn id="8" xr3:uid="{B0C5E278-6ACD-47FA-8BB5-6F82492A342F}" name="FG3M" dataDxfId="10">
      <calculatedColumnFormula>SUMIFS(knicks_players_all_stats[FG3M],knicks_players_all_stats[SEASON],$A2)</calculatedColumnFormula>
    </tableColumn>
    <tableColumn id="9" xr3:uid="{D1EE9B1F-34DD-471A-AE0D-90964AD44E62}" name="FG3A" dataDxfId="9">
      <calculatedColumnFormula>SUMIFS(knicks_players_all_stats[FG3A],knicks_players_all_stats[SEASON],$A2)</calculatedColumnFormula>
    </tableColumn>
    <tableColumn id="10" xr3:uid="{78C3FDEF-A738-4038-99A4-63BB8AED795E}" name="3P_PCT" dataDxfId="8">
      <calculatedColumnFormula>IFERROR(H2/I2,0)</calculatedColumnFormula>
    </tableColumn>
    <tableColumn id="19" xr3:uid="{DCB4A872-BEEC-42F1-8AB2-39429C9018DE}" name="FTM" dataDxfId="7">
      <calculatedColumnFormula>SUMIFS(knicks_players_all_stats[FTM],knicks_players_all_stats[SEASON],$A2)</calculatedColumnFormula>
    </tableColumn>
    <tableColumn id="12" xr3:uid="{65AABA38-530C-4B8C-8678-D19116326697}" name="FTA" dataDxfId="6">
      <calculatedColumnFormula>SUMIFS(knicks_players_all_stats[FTA],knicks_players_all_stats[SEASON],$A2)</calculatedColumnFormula>
    </tableColumn>
    <tableColumn id="20" xr3:uid="{0EF0F1A6-50EF-4700-94C0-A690C6E70528}" name="FT_PCT" dataDxfId="5">
      <calculatedColumnFormula>IFERROR(EvolucionKnicks[[#This Row],[FTM]]/EvolucionKnicks[[#This Row],[FTA]],0)</calculatedColumnFormula>
    </tableColumn>
    <tableColumn id="14" xr3:uid="{0B0F30CA-3291-4BB4-9441-F066605D03C6}" name="REB" dataDxfId="4">
      <calculatedColumnFormula>SUMIFS(knicks_players_all_stats[REB],knicks_players_all_stats[SEASON],$A2)</calculatedColumnFormula>
    </tableColumn>
    <tableColumn id="15" xr3:uid="{AFF4B887-E513-4940-A3DE-B6BD68B47DED}" name="AST" dataDxfId="3">
      <calculatedColumnFormula>SUMIFS(knicks_players_all_stats[AST],knicks_players_all_stats[SEASON],$A2)</calculatedColumnFormula>
    </tableColumn>
    <tableColumn id="16" xr3:uid="{BC7B09D2-5091-476D-9036-57CFABA49E08}" name="STL" dataDxfId="2">
      <calculatedColumnFormula>SUMIFS(knicks_players_all_stats[STL],knicks_players_all_stats[SEASON],$A2)</calculatedColumnFormula>
    </tableColumn>
    <tableColumn id="17" xr3:uid="{5F52FB8C-237E-4FD1-8DC1-1D1BD8D49B62}" name="BLK" dataDxfId="1">
      <calculatedColumnFormula>SUMIFS(knicks_players_all_stats[BLK],knicks_players_all_stats[SEASON],$A2)</calculatedColumnFormula>
    </tableColumn>
    <tableColumn id="18" xr3:uid="{EEDB8E42-B1EC-411E-BA1E-3547D02E2187}" name="TOV" dataDxfId="0">
      <calculatedColumnFormula>SUMIFS(knicks_players_all_stats[TOV],knicks_players_all_stats[SEASON],$A2)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C3C3E51-AE06-4ED1-9C05-19D323F58BA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dc05a55-44d9-4bf8-839a-69185016290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899B97-E55B-453C-89A4-746C5A3EE94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ba706dad-4343-4010-983a-fd17fcc5547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C478-FE46-49B9-9B75-8F2031F0AE16}">
  <dimension ref="A1:A1219"/>
  <sheetViews>
    <sheetView topLeftCell="A75" workbookViewId="0">
      <selection activeCell="D24" sqref="D2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DCFD-1FB9-4AAE-9809-82F906452160}">
  <dimension ref="A1:AB1219"/>
  <sheetViews>
    <sheetView workbookViewId="0">
      <selection activeCell="B1" sqref="B1"/>
    </sheetView>
  </sheetViews>
  <sheetFormatPr baseColWidth="10" defaultRowHeight="14.4" x14ac:dyDescent="0.3"/>
  <cols>
    <col min="1" max="1" width="12" bestFit="1" customWidth="1"/>
    <col min="2" max="2" width="12.77734375" bestFit="1" customWidth="1"/>
    <col min="3" max="3" width="12.33203125" bestFit="1" customWidth="1"/>
    <col min="4" max="4" width="11" bestFit="1" customWidth="1"/>
    <col min="5" max="5" width="20.88671875" bestFit="1" customWidth="1"/>
    <col min="6" max="6" width="13.6640625" bestFit="1" customWidth="1"/>
    <col min="7" max="8" width="5.6640625" bestFit="1" customWidth="1"/>
    <col min="9" max="9" width="6.5546875" bestFit="1" customWidth="1"/>
    <col min="10" max="10" width="7" bestFit="1" customWidth="1"/>
    <col min="11" max="11" width="6.6640625" bestFit="1" customWidth="1"/>
    <col min="12" max="12" width="9.5546875" bestFit="1" customWidth="1"/>
    <col min="13" max="13" width="8" bestFit="1" customWidth="1"/>
    <col min="14" max="14" width="7.6640625" bestFit="1" customWidth="1"/>
    <col min="15" max="15" width="10.5546875" bestFit="1" customWidth="1"/>
    <col min="16" max="16" width="6.5546875" bestFit="1" customWidth="1"/>
    <col min="17" max="17" width="6.21875" bestFit="1" customWidth="1"/>
    <col min="18" max="18" width="9.109375" bestFit="1" customWidth="1"/>
    <col min="19" max="19" width="7.77734375" bestFit="1" customWidth="1"/>
    <col min="20" max="20" width="7.6640625" bestFit="1" customWidth="1"/>
    <col min="21" max="21" width="6.44140625" bestFit="1" customWidth="1"/>
    <col min="22" max="22" width="6.33203125" bestFit="1" customWidth="1"/>
    <col min="23" max="23" width="6.109375" bestFit="1" customWidth="1"/>
    <col min="24" max="24" width="6.33203125" bestFit="1" customWidth="1"/>
    <col min="25" max="25" width="6.5546875" bestFit="1" customWidth="1"/>
    <col min="26" max="26" width="5.33203125" bestFit="1" customWidth="1"/>
    <col min="27" max="27" width="6.33203125" bestFit="1" customWidth="1"/>
    <col min="28" max="28" width="21.33203125" bestFit="1" customWidth="1"/>
  </cols>
  <sheetData>
    <row r="1" spans="1:28" x14ac:dyDescent="0.3">
      <c r="A1" t="s">
        <v>1219</v>
      </c>
      <c r="B1" t="s">
        <v>1220</v>
      </c>
      <c r="C1" t="s">
        <v>1221</v>
      </c>
      <c r="D1" t="s">
        <v>1222</v>
      </c>
      <c r="E1" t="s">
        <v>1223</v>
      </c>
      <c r="F1" t="s">
        <v>1224</v>
      </c>
      <c r="G1" t="s">
        <v>1225</v>
      </c>
      <c r="H1" t="s">
        <v>1226</v>
      </c>
      <c r="I1" t="s">
        <v>1227</v>
      </c>
      <c r="J1" t="s">
        <v>1228</v>
      </c>
      <c r="K1" t="s">
        <v>1229</v>
      </c>
      <c r="L1" t="s">
        <v>1230</v>
      </c>
      <c r="M1" t="s">
        <v>1231</v>
      </c>
      <c r="N1" t="s">
        <v>1232</v>
      </c>
      <c r="O1" t="s">
        <v>1233</v>
      </c>
      <c r="P1" t="s">
        <v>1234</v>
      </c>
      <c r="Q1" t="s">
        <v>1235</v>
      </c>
      <c r="R1" t="s">
        <v>1236</v>
      </c>
      <c r="S1" t="s">
        <v>1237</v>
      </c>
      <c r="T1" t="s">
        <v>1238</v>
      </c>
      <c r="U1" t="s">
        <v>1239</v>
      </c>
      <c r="V1" t="s">
        <v>1240</v>
      </c>
      <c r="W1" t="s">
        <v>1241</v>
      </c>
      <c r="X1" t="s">
        <v>1242</v>
      </c>
      <c r="Y1" t="s">
        <v>1243</v>
      </c>
      <c r="Z1" t="s">
        <v>1244</v>
      </c>
      <c r="AA1" t="s">
        <v>1245</v>
      </c>
      <c r="AB1" t="s">
        <v>1246</v>
      </c>
    </row>
    <row r="2" spans="1:28" x14ac:dyDescent="0.3">
      <c r="A2">
        <v>78082</v>
      </c>
      <c r="B2" t="s">
        <v>1247</v>
      </c>
      <c r="C2">
        <v>0</v>
      </c>
      <c r="D2">
        <v>1610612752</v>
      </c>
      <c r="E2" t="s">
        <v>1248</v>
      </c>
      <c r="F2">
        <v>220</v>
      </c>
      <c r="G2">
        <v>12</v>
      </c>
      <c r="I2">
        <v>1670</v>
      </c>
      <c r="J2">
        <v>19</v>
      </c>
      <c r="K2">
        <v>65</v>
      </c>
      <c r="L2">
        <v>292</v>
      </c>
      <c r="P2">
        <v>9</v>
      </c>
      <c r="Q2">
        <v>14</v>
      </c>
      <c r="R2">
        <v>643</v>
      </c>
      <c r="U2">
        <v>260</v>
      </c>
      <c r="V2">
        <v>6</v>
      </c>
      <c r="Z2">
        <v>25</v>
      </c>
      <c r="AA2">
        <v>47</v>
      </c>
      <c r="AB2" t="s">
        <v>1249</v>
      </c>
    </row>
    <row r="3" spans="1:28" x14ac:dyDescent="0.3">
      <c r="A3">
        <v>76168</v>
      </c>
      <c r="B3" t="s">
        <v>1250</v>
      </c>
      <c r="C3">
        <v>0</v>
      </c>
      <c r="D3">
        <v>1610612752</v>
      </c>
      <c r="E3" t="s">
        <v>1248</v>
      </c>
      <c r="F3">
        <v>240</v>
      </c>
      <c r="G3">
        <v>11</v>
      </c>
      <c r="I3">
        <v>450</v>
      </c>
      <c r="J3">
        <v>12</v>
      </c>
      <c r="K3">
        <v>32</v>
      </c>
      <c r="L3">
        <v>375</v>
      </c>
      <c r="P3">
        <v>1</v>
      </c>
      <c r="Q3">
        <v>1</v>
      </c>
      <c r="R3">
        <v>10</v>
      </c>
      <c r="U3">
        <v>120</v>
      </c>
      <c r="V3">
        <v>4</v>
      </c>
      <c r="Z3">
        <v>7</v>
      </c>
      <c r="AA3">
        <v>25</v>
      </c>
      <c r="AB3" t="s">
        <v>1251</v>
      </c>
    </row>
    <row r="4" spans="1:28" x14ac:dyDescent="0.3">
      <c r="A4">
        <v>78113</v>
      </c>
      <c r="B4" t="s">
        <v>1250</v>
      </c>
      <c r="C4">
        <v>0</v>
      </c>
      <c r="D4">
        <v>1610612752</v>
      </c>
      <c r="E4" t="s">
        <v>1248</v>
      </c>
      <c r="F4">
        <v>260</v>
      </c>
      <c r="G4">
        <v>68</v>
      </c>
      <c r="I4">
        <v>14480</v>
      </c>
      <c r="J4">
        <v>233</v>
      </c>
      <c r="K4">
        <v>605</v>
      </c>
      <c r="L4">
        <v>385</v>
      </c>
      <c r="P4">
        <v>201</v>
      </c>
      <c r="Q4">
        <v>262</v>
      </c>
      <c r="R4">
        <v>767</v>
      </c>
      <c r="U4">
        <v>2480</v>
      </c>
      <c r="V4">
        <v>96</v>
      </c>
      <c r="Z4">
        <v>113</v>
      </c>
      <c r="AA4">
        <v>667</v>
      </c>
      <c r="AB4" t="s">
        <v>1252</v>
      </c>
    </row>
    <row r="5" spans="1:28" x14ac:dyDescent="0.3">
      <c r="A5">
        <v>78102</v>
      </c>
      <c r="B5" t="s">
        <v>1253</v>
      </c>
      <c r="C5">
        <v>0</v>
      </c>
      <c r="D5">
        <v>1610612752</v>
      </c>
      <c r="E5" t="s">
        <v>1248</v>
      </c>
      <c r="F5">
        <v>250</v>
      </c>
      <c r="G5">
        <v>4</v>
      </c>
      <c r="H5">
        <v>0</v>
      </c>
      <c r="I5">
        <v>80</v>
      </c>
      <c r="J5">
        <v>1</v>
      </c>
      <c r="K5">
        <v>2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20</v>
      </c>
      <c r="U5">
        <v>30</v>
      </c>
      <c r="V5">
        <v>1</v>
      </c>
      <c r="W5">
        <v>20</v>
      </c>
      <c r="X5">
        <v>10</v>
      </c>
      <c r="Y5">
        <v>20</v>
      </c>
      <c r="Z5">
        <v>3</v>
      </c>
      <c r="AA5">
        <v>2</v>
      </c>
      <c r="AB5" t="s">
        <v>1254</v>
      </c>
    </row>
    <row r="6" spans="1:28" x14ac:dyDescent="0.3">
      <c r="A6">
        <v>78037</v>
      </c>
      <c r="B6" t="s">
        <v>1255</v>
      </c>
      <c r="C6">
        <v>0</v>
      </c>
      <c r="D6">
        <v>1610612752</v>
      </c>
      <c r="E6" t="s">
        <v>1248</v>
      </c>
      <c r="F6">
        <v>230</v>
      </c>
      <c r="G6">
        <v>56</v>
      </c>
      <c r="I6">
        <v>5720</v>
      </c>
      <c r="J6">
        <v>108</v>
      </c>
      <c r="K6">
        <v>307</v>
      </c>
      <c r="L6">
        <v>352</v>
      </c>
      <c r="P6">
        <v>73</v>
      </c>
      <c r="Q6">
        <v>95</v>
      </c>
      <c r="R6">
        <v>768</v>
      </c>
      <c r="U6">
        <v>1490</v>
      </c>
      <c r="V6">
        <v>30</v>
      </c>
      <c r="Z6">
        <v>58</v>
      </c>
      <c r="AA6">
        <v>289</v>
      </c>
      <c r="AB6" t="s">
        <v>1256</v>
      </c>
    </row>
    <row r="7" spans="1:28" x14ac:dyDescent="0.3">
      <c r="A7">
        <v>78037</v>
      </c>
      <c r="B7" t="s">
        <v>1257</v>
      </c>
      <c r="C7">
        <v>0</v>
      </c>
      <c r="D7">
        <v>1610612752</v>
      </c>
      <c r="E7" t="s">
        <v>1248</v>
      </c>
      <c r="F7">
        <v>240</v>
      </c>
      <c r="G7">
        <v>52</v>
      </c>
      <c r="I7">
        <v>6960</v>
      </c>
      <c r="J7">
        <v>154</v>
      </c>
      <c r="K7">
        <v>326</v>
      </c>
      <c r="L7">
        <v>472</v>
      </c>
      <c r="P7">
        <v>87</v>
      </c>
      <c r="Q7">
        <v>116</v>
      </c>
      <c r="R7">
        <v>75</v>
      </c>
      <c r="U7">
        <v>1640</v>
      </c>
      <c r="V7">
        <v>26</v>
      </c>
      <c r="Z7">
        <v>86</v>
      </c>
      <c r="AA7">
        <v>395</v>
      </c>
      <c r="AB7" t="s">
        <v>1256</v>
      </c>
    </row>
    <row r="8" spans="1:28" x14ac:dyDescent="0.3">
      <c r="A8">
        <v>78037</v>
      </c>
      <c r="B8" t="s">
        <v>1258</v>
      </c>
      <c r="C8">
        <v>0</v>
      </c>
      <c r="D8">
        <v>1610612752</v>
      </c>
      <c r="E8" t="s">
        <v>1248</v>
      </c>
      <c r="F8">
        <v>250</v>
      </c>
      <c r="G8">
        <v>1</v>
      </c>
      <c r="I8">
        <v>220</v>
      </c>
      <c r="J8">
        <v>3</v>
      </c>
      <c r="K8">
        <v>8</v>
      </c>
      <c r="L8">
        <v>375</v>
      </c>
      <c r="P8">
        <v>0</v>
      </c>
      <c r="Q8">
        <v>0</v>
      </c>
      <c r="R8">
        <v>0</v>
      </c>
      <c r="U8">
        <v>70</v>
      </c>
      <c r="V8">
        <v>0</v>
      </c>
      <c r="Z8">
        <v>5</v>
      </c>
      <c r="AA8">
        <v>6</v>
      </c>
      <c r="AB8" t="s">
        <v>1256</v>
      </c>
    </row>
    <row r="9" spans="1:28" x14ac:dyDescent="0.3">
      <c r="A9">
        <v>201563</v>
      </c>
      <c r="B9" t="s">
        <v>1259</v>
      </c>
      <c r="C9">
        <v>0</v>
      </c>
      <c r="D9">
        <v>1610612752</v>
      </c>
      <c r="E9" t="s">
        <v>1248</v>
      </c>
      <c r="F9">
        <v>290</v>
      </c>
      <c r="G9">
        <v>74</v>
      </c>
      <c r="H9">
        <v>300</v>
      </c>
      <c r="I9">
        <v>16530</v>
      </c>
      <c r="J9">
        <v>409</v>
      </c>
      <c r="K9">
        <v>807</v>
      </c>
      <c r="L9">
        <v>507</v>
      </c>
      <c r="M9">
        <v>340</v>
      </c>
      <c r="N9">
        <v>860</v>
      </c>
      <c r="O9">
        <v>395</v>
      </c>
      <c r="P9">
        <v>124</v>
      </c>
      <c r="Q9">
        <v>159</v>
      </c>
      <c r="R9">
        <v>78</v>
      </c>
      <c r="S9">
        <v>970</v>
      </c>
      <c r="T9">
        <v>3170</v>
      </c>
      <c r="U9">
        <v>4140</v>
      </c>
      <c r="V9">
        <v>123</v>
      </c>
      <c r="W9">
        <v>360</v>
      </c>
      <c r="X9">
        <v>430</v>
      </c>
      <c r="Y9">
        <v>1430</v>
      </c>
      <c r="Z9">
        <v>145</v>
      </c>
      <c r="AA9">
        <v>976</v>
      </c>
      <c r="AB9" t="s">
        <v>1260</v>
      </c>
    </row>
    <row r="10" spans="1:28" x14ac:dyDescent="0.3">
      <c r="A10">
        <v>76130</v>
      </c>
      <c r="B10" t="s">
        <v>1261</v>
      </c>
      <c r="C10">
        <v>0</v>
      </c>
      <c r="D10">
        <v>1610612752</v>
      </c>
      <c r="E10" t="s">
        <v>1248</v>
      </c>
      <c r="F10">
        <v>290</v>
      </c>
      <c r="G10">
        <v>60</v>
      </c>
      <c r="I10">
        <v>14490</v>
      </c>
      <c r="J10">
        <v>193</v>
      </c>
      <c r="K10">
        <v>406</v>
      </c>
      <c r="L10">
        <v>475</v>
      </c>
      <c r="P10">
        <v>117</v>
      </c>
      <c r="Q10">
        <v>155</v>
      </c>
      <c r="R10">
        <v>755</v>
      </c>
      <c r="S10">
        <v>890</v>
      </c>
      <c r="T10">
        <v>1780</v>
      </c>
      <c r="U10">
        <v>2670</v>
      </c>
      <c r="V10">
        <v>173</v>
      </c>
      <c r="W10">
        <v>710</v>
      </c>
      <c r="X10">
        <v>60</v>
      </c>
      <c r="Z10">
        <v>180</v>
      </c>
      <c r="AA10">
        <v>503</v>
      </c>
      <c r="AB10" t="s">
        <v>1262</v>
      </c>
    </row>
    <row r="11" spans="1:28" x14ac:dyDescent="0.3">
      <c r="A11">
        <v>76130</v>
      </c>
      <c r="B11" t="s">
        <v>1263</v>
      </c>
      <c r="C11">
        <v>0</v>
      </c>
      <c r="D11">
        <v>1610612752</v>
      </c>
      <c r="E11" t="s">
        <v>1248</v>
      </c>
      <c r="F11">
        <v>300</v>
      </c>
      <c r="G11">
        <v>70</v>
      </c>
      <c r="I11">
        <v>10820</v>
      </c>
      <c r="J11">
        <v>148</v>
      </c>
      <c r="K11">
        <v>293</v>
      </c>
      <c r="L11">
        <v>505</v>
      </c>
      <c r="P11">
        <v>75</v>
      </c>
      <c r="Q11">
        <v>109</v>
      </c>
      <c r="R11">
        <v>688</v>
      </c>
      <c r="S11">
        <v>500</v>
      </c>
      <c r="T11">
        <v>1130</v>
      </c>
      <c r="U11">
        <v>1630</v>
      </c>
      <c r="V11">
        <v>144</v>
      </c>
      <c r="W11">
        <v>570</v>
      </c>
      <c r="X11">
        <v>50</v>
      </c>
      <c r="Z11">
        <v>137</v>
      </c>
      <c r="AA11">
        <v>371</v>
      </c>
      <c r="AB11" t="s">
        <v>1262</v>
      </c>
    </row>
    <row r="12" spans="1:28" x14ac:dyDescent="0.3">
      <c r="A12">
        <v>76130</v>
      </c>
      <c r="B12" t="s">
        <v>1264</v>
      </c>
      <c r="C12">
        <v>0</v>
      </c>
      <c r="D12">
        <v>1610612752</v>
      </c>
      <c r="E12" t="s">
        <v>1248</v>
      </c>
      <c r="F12">
        <v>310</v>
      </c>
      <c r="G12">
        <v>79</v>
      </c>
      <c r="I12">
        <v>19790</v>
      </c>
      <c r="J12">
        <v>308</v>
      </c>
      <c r="K12">
        <v>614</v>
      </c>
      <c r="L12">
        <v>502</v>
      </c>
      <c r="P12">
        <v>129</v>
      </c>
      <c r="Q12">
        <v>160</v>
      </c>
      <c r="R12">
        <v>806</v>
      </c>
      <c r="S12">
        <v>760</v>
      </c>
      <c r="T12">
        <v>1880</v>
      </c>
      <c r="U12">
        <v>2640</v>
      </c>
      <c r="V12">
        <v>339</v>
      </c>
      <c r="W12">
        <v>1170</v>
      </c>
      <c r="X12">
        <v>30</v>
      </c>
      <c r="Y12">
        <v>1540</v>
      </c>
      <c r="Z12">
        <v>201</v>
      </c>
      <c r="AA12">
        <v>745</v>
      </c>
      <c r="AB12" t="s">
        <v>1262</v>
      </c>
    </row>
    <row r="13" spans="1:28" x14ac:dyDescent="0.3">
      <c r="A13">
        <v>76130</v>
      </c>
      <c r="B13" t="s">
        <v>1265</v>
      </c>
      <c r="C13">
        <v>0</v>
      </c>
      <c r="D13">
        <v>1610612752</v>
      </c>
      <c r="E13" t="s">
        <v>1248</v>
      </c>
      <c r="F13">
        <v>320</v>
      </c>
      <c r="G13">
        <v>7</v>
      </c>
      <c r="I13">
        <v>850</v>
      </c>
      <c r="J13">
        <v>11</v>
      </c>
      <c r="K13">
        <v>26</v>
      </c>
      <c r="L13">
        <v>423</v>
      </c>
      <c r="P13">
        <v>0</v>
      </c>
      <c r="Q13">
        <v>0</v>
      </c>
      <c r="S13">
        <v>10</v>
      </c>
      <c r="T13">
        <v>90</v>
      </c>
      <c r="U13">
        <v>100</v>
      </c>
      <c r="V13">
        <v>19</v>
      </c>
      <c r="W13">
        <v>70</v>
      </c>
      <c r="X13">
        <v>0</v>
      </c>
      <c r="Y13">
        <v>100</v>
      </c>
      <c r="Z13">
        <v>13</v>
      </c>
      <c r="AA13">
        <v>22</v>
      </c>
      <c r="AB13" t="s">
        <v>1262</v>
      </c>
    </row>
    <row r="14" spans="1:28" x14ac:dyDescent="0.3">
      <c r="A14">
        <v>76117</v>
      </c>
      <c r="B14" t="s">
        <v>1266</v>
      </c>
      <c r="C14">
        <v>0</v>
      </c>
      <c r="D14">
        <v>1610612752</v>
      </c>
      <c r="E14" t="s">
        <v>1248</v>
      </c>
      <c r="F14">
        <v>240</v>
      </c>
      <c r="G14">
        <v>2</v>
      </c>
      <c r="I14">
        <v>0</v>
      </c>
      <c r="J14">
        <v>1</v>
      </c>
      <c r="K14">
        <v>4</v>
      </c>
      <c r="L14">
        <v>25</v>
      </c>
      <c r="P14">
        <v>2</v>
      </c>
      <c r="Q14">
        <v>3</v>
      </c>
      <c r="R14">
        <v>667</v>
      </c>
      <c r="U14">
        <v>0</v>
      </c>
      <c r="V14">
        <v>0</v>
      </c>
      <c r="Z14">
        <v>2</v>
      </c>
      <c r="AA14">
        <v>4</v>
      </c>
      <c r="AB14" t="s">
        <v>1267</v>
      </c>
    </row>
    <row r="15" spans="1:28" x14ac:dyDescent="0.3">
      <c r="A15">
        <v>891</v>
      </c>
      <c r="B15" t="s">
        <v>1268</v>
      </c>
      <c r="C15">
        <v>0</v>
      </c>
      <c r="D15">
        <v>1610612752</v>
      </c>
      <c r="E15" t="s">
        <v>1248</v>
      </c>
      <c r="F15">
        <v>250</v>
      </c>
      <c r="G15">
        <v>82</v>
      </c>
      <c r="H15">
        <v>820</v>
      </c>
      <c r="I15">
        <v>26040</v>
      </c>
      <c r="J15">
        <v>426</v>
      </c>
      <c r="K15">
        <v>835</v>
      </c>
      <c r="L15">
        <v>51</v>
      </c>
      <c r="M15">
        <v>120</v>
      </c>
      <c r="N15">
        <v>480</v>
      </c>
      <c r="O15">
        <v>25</v>
      </c>
      <c r="P15">
        <v>197</v>
      </c>
      <c r="Q15">
        <v>255</v>
      </c>
      <c r="R15">
        <v>773</v>
      </c>
      <c r="S15">
        <v>3430</v>
      </c>
      <c r="T15">
        <v>5180</v>
      </c>
      <c r="U15">
        <v>8610</v>
      </c>
      <c r="V15">
        <v>187</v>
      </c>
      <c r="W15">
        <v>1040</v>
      </c>
      <c r="X15">
        <v>140</v>
      </c>
      <c r="Y15">
        <v>2480</v>
      </c>
      <c r="Z15">
        <v>270</v>
      </c>
      <c r="AA15">
        <v>1061</v>
      </c>
      <c r="AB15" t="s">
        <v>1269</v>
      </c>
    </row>
    <row r="16" spans="1:28" x14ac:dyDescent="0.3">
      <c r="A16">
        <v>891</v>
      </c>
      <c r="B16" t="s">
        <v>1270</v>
      </c>
      <c r="C16">
        <v>0</v>
      </c>
      <c r="D16">
        <v>1610612752</v>
      </c>
      <c r="E16" t="s">
        <v>1248</v>
      </c>
      <c r="F16">
        <v>260</v>
      </c>
      <c r="G16">
        <v>61</v>
      </c>
      <c r="H16">
        <v>610</v>
      </c>
      <c r="I16">
        <v>21960</v>
      </c>
      <c r="J16">
        <v>336</v>
      </c>
      <c r="K16">
        <v>641</v>
      </c>
      <c r="L16">
        <v>524</v>
      </c>
      <c r="M16">
        <v>0</v>
      </c>
      <c r="N16">
        <v>30</v>
      </c>
      <c r="O16">
        <v>0</v>
      </c>
      <c r="P16">
        <v>217</v>
      </c>
      <c r="Q16">
        <v>285</v>
      </c>
      <c r="R16">
        <v>761</v>
      </c>
      <c r="S16">
        <v>2580</v>
      </c>
      <c r="T16">
        <v>4690</v>
      </c>
      <c r="U16">
        <v>7270</v>
      </c>
      <c r="V16">
        <v>146</v>
      </c>
      <c r="W16">
        <v>640</v>
      </c>
      <c r="X16">
        <v>160</v>
      </c>
      <c r="Y16">
        <v>1650</v>
      </c>
      <c r="Z16">
        <v>220</v>
      </c>
      <c r="AA16">
        <v>889</v>
      </c>
      <c r="AB16" t="s">
        <v>1269</v>
      </c>
    </row>
    <row r="17" spans="1:28" x14ac:dyDescent="0.3">
      <c r="A17">
        <v>891</v>
      </c>
      <c r="B17" t="s">
        <v>1271</v>
      </c>
      <c r="C17">
        <v>0</v>
      </c>
      <c r="D17">
        <v>1610612752</v>
      </c>
      <c r="E17" t="s">
        <v>1248</v>
      </c>
      <c r="F17">
        <v>270</v>
      </c>
      <c r="G17">
        <v>76</v>
      </c>
      <c r="H17">
        <v>740</v>
      </c>
      <c r="I17">
        <v>27390</v>
      </c>
      <c r="J17">
        <v>307</v>
      </c>
      <c r="K17">
        <v>595</v>
      </c>
      <c r="L17">
        <v>516</v>
      </c>
      <c r="M17">
        <v>0</v>
      </c>
      <c r="N17">
        <v>20</v>
      </c>
      <c r="O17">
        <v>0</v>
      </c>
      <c r="P17">
        <v>239</v>
      </c>
      <c r="Q17">
        <v>305</v>
      </c>
      <c r="R17">
        <v>784</v>
      </c>
      <c r="S17">
        <v>3050</v>
      </c>
      <c r="T17">
        <v>6150</v>
      </c>
      <c r="U17">
        <v>9200</v>
      </c>
      <c r="V17">
        <v>204</v>
      </c>
      <c r="W17">
        <v>620</v>
      </c>
      <c r="X17">
        <v>170</v>
      </c>
      <c r="Y17">
        <v>2150</v>
      </c>
      <c r="Z17">
        <v>288</v>
      </c>
      <c r="AA17">
        <v>853</v>
      </c>
      <c r="AB17" t="s">
        <v>1269</v>
      </c>
    </row>
    <row r="18" spans="1:28" x14ac:dyDescent="0.3">
      <c r="A18">
        <v>891</v>
      </c>
      <c r="B18" t="s">
        <v>1272</v>
      </c>
      <c r="C18">
        <v>0</v>
      </c>
      <c r="D18">
        <v>1610612752</v>
      </c>
      <c r="E18" t="s">
        <v>1248</v>
      </c>
      <c r="F18">
        <v>280</v>
      </c>
      <c r="G18">
        <v>82</v>
      </c>
      <c r="H18">
        <v>820</v>
      </c>
      <c r="I18">
        <v>23090</v>
      </c>
      <c r="J18">
        <v>210</v>
      </c>
      <c r="K18">
        <v>402</v>
      </c>
      <c r="L18">
        <v>522</v>
      </c>
      <c r="M18">
        <v>0</v>
      </c>
      <c r="N18">
        <v>30</v>
      </c>
      <c r="O18">
        <v>0</v>
      </c>
      <c r="P18">
        <v>86</v>
      </c>
      <c r="Q18">
        <v>117</v>
      </c>
      <c r="R18">
        <v>735</v>
      </c>
      <c r="S18">
        <v>2560</v>
      </c>
      <c r="T18">
        <v>4440</v>
      </c>
      <c r="U18">
        <v>7000</v>
      </c>
      <c r="V18">
        <v>133</v>
      </c>
      <c r="W18">
        <v>670</v>
      </c>
      <c r="X18">
        <v>150</v>
      </c>
      <c r="Y18">
        <v>1230</v>
      </c>
      <c r="Z18">
        <v>258</v>
      </c>
      <c r="AA18">
        <v>506</v>
      </c>
      <c r="AB18" t="s">
        <v>1269</v>
      </c>
    </row>
    <row r="19" spans="1:28" x14ac:dyDescent="0.3">
      <c r="A19">
        <v>891</v>
      </c>
      <c r="B19" t="s">
        <v>1273</v>
      </c>
      <c r="C19">
        <v>0</v>
      </c>
      <c r="D19">
        <v>1610612752</v>
      </c>
      <c r="E19" t="s">
        <v>1248</v>
      </c>
      <c r="F19">
        <v>290</v>
      </c>
      <c r="G19">
        <v>82</v>
      </c>
      <c r="H19">
        <v>820</v>
      </c>
      <c r="I19">
        <v>22300</v>
      </c>
      <c r="J19">
        <v>219</v>
      </c>
      <c r="K19">
        <v>431</v>
      </c>
      <c r="L19">
        <v>508</v>
      </c>
      <c r="M19">
        <v>0</v>
      </c>
      <c r="N19">
        <v>10</v>
      </c>
      <c r="O19">
        <v>0</v>
      </c>
      <c r="P19">
        <v>127</v>
      </c>
      <c r="Q19">
        <v>176</v>
      </c>
      <c r="R19">
        <v>722</v>
      </c>
      <c r="S19">
        <v>2880</v>
      </c>
      <c r="T19">
        <v>4200</v>
      </c>
      <c r="U19">
        <v>7080</v>
      </c>
      <c r="V19">
        <v>126</v>
      </c>
      <c r="W19">
        <v>850</v>
      </c>
      <c r="X19">
        <v>150</v>
      </c>
      <c r="Y19">
        <v>1240</v>
      </c>
      <c r="Z19">
        <v>289</v>
      </c>
      <c r="AA19">
        <v>565</v>
      </c>
      <c r="AB19" t="s">
        <v>1269</v>
      </c>
    </row>
    <row r="20" spans="1:28" x14ac:dyDescent="0.3">
      <c r="A20">
        <v>891</v>
      </c>
      <c r="B20" t="s">
        <v>1274</v>
      </c>
      <c r="C20">
        <v>0</v>
      </c>
      <c r="D20">
        <v>1610612752</v>
      </c>
      <c r="E20" t="s">
        <v>1248</v>
      </c>
      <c r="F20">
        <v>300</v>
      </c>
      <c r="G20">
        <v>82</v>
      </c>
      <c r="H20">
        <v>820</v>
      </c>
      <c r="I20">
        <v>29320</v>
      </c>
      <c r="J20">
        <v>363</v>
      </c>
      <c r="K20">
        <v>760</v>
      </c>
      <c r="L20">
        <v>478</v>
      </c>
      <c r="M20">
        <v>0</v>
      </c>
      <c r="N20">
        <v>30</v>
      </c>
      <c r="O20">
        <v>0</v>
      </c>
      <c r="P20">
        <v>243</v>
      </c>
      <c r="Q20">
        <v>313</v>
      </c>
      <c r="R20">
        <v>776</v>
      </c>
      <c r="S20">
        <v>3490</v>
      </c>
      <c r="T20">
        <v>6160</v>
      </c>
      <c r="U20">
        <v>9650</v>
      </c>
      <c r="V20">
        <v>218</v>
      </c>
      <c r="W20">
        <v>1100</v>
      </c>
      <c r="X20">
        <v>180</v>
      </c>
      <c r="Y20">
        <v>1930</v>
      </c>
      <c r="Z20">
        <v>293</v>
      </c>
      <c r="AA20">
        <v>969</v>
      </c>
      <c r="AB20" t="s">
        <v>1269</v>
      </c>
    </row>
    <row r="21" spans="1:28" x14ac:dyDescent="0.3">
      <c r="A21">
        <v>891</v>
      </c>
      <c r="B21" t="s">
        <v>1275</v>
      </c>
      <c r="C21">
        <v>0</v>
      </c>
      <c r="D21">
        <v>1610612752</v>
      </c>
      <c r="E21" t="s">
        <v>1248</v>
      </c>
      <c r="F21">
        <v>310</v>
      </c>
      <c r="G21">
        <v>50</v>
      </c>
      <c r="H21">
        <v>490</v>
      </c>
      <c r="I21">
        <v>15670</v>
      </c>
      <c r="J21">
        <v>192</v>
      </c>
      <c r="K21">
        <v>393</v>
      </c>
      <c r="L21">
        <v>489</v>
      </c>
      <c r="M21">
        <v>30</v>
      </c>
      <c r="N21">
        <v>120</v>
      </c>
      <c r="O21">
        <v>25</v>
      </c>
      <c r="P21">
        <v>119</v>
      </c>
      <c r="Q21">
        <v>150</v>
      </c>
      <c r="R21">
        <v>793</v>
      </c>
      <c r="S21">
        <v>1550</v>
      </c>
      <c r="T21">
        <v>2900</v>
      </c>
      <c r="U21">
        <v>4450</v>
      </c>
      <c r="V21">
        <v>126</v>
      </c>
      <c r="W21">
        <v>600</v>
      </c>
      <c r="X21">
        <v>70</v>
      </c>
      <c r="Y21">
        <v>1030</v>
      </c>
      <c r="Z21">
        <v>179</v>
      </c>
      <c r="AA21">
        <v>506</v>
      </c>
      <c r="AB21" t="s">
        <v>1269</v>
      </c>
    </row>
    <row r="22" spans="1:28" x14ac:dyDescent="0.3">
      <c r="A22">
        <v>891</v>
      </c>
      <c r="B22" t="s">
        <v>1276</v>
      </c>
      <c r="C22">
        <v>0</v>
      </c>
      <c r="D22">
        <v>1610612752</v>
      </c>
      <c r="E22" t="s">
        <v>1248</v>
      </c>
      <c r="F22">
        <v>320</v>
      </c>
      <c r="G22">
        <v>53</v>
      </c>
      <c r="H22">
        <v>510</v>
      </c>
      <c r="I22">
        <v>17750</v>
      </c>
      <c r="J22">
        <v>211</v>
      </c>
      <c r="K22">
        <v>448</v>
      </c>
      <c r="L22">
        <v>471</v>
      </c>
      <c r="M22">
        <v>70</v>
      </c>
      <c r="N22">
        <v>260</v>
      </c>
      <c r="O22">
        <v>269</v>
      </c>
      <c r="P22">
        <v>175</v>
      </c>
      <c r="Q22">
        <v>210</v>
      </c>
      <c r="R22">
        <v>833</v>
      </c>
      <c r="S22">
        <v>1620</v>
      </c>
      <c r="T22">
        <v>2980</v>
      </c>
      <c r="U22">
        <v>4600</v>
      </c>
      <c r="V22">
        <v>137</v>
      </c>
      <c r="W22">
        <v>580</v>
      </c>
      <c r="X22">
        <v>140</v>
      </c>
      <c r="Y22">
        <v>1040</v>
      </c>
      <c r="Z22">
        <v>195</v>
      </c>
      <c r="AA22">
        <v>604</v>
      </c>
      <c r="AB22" t="s">
        <v>1269</v>
      </c>
    </row>
    <row r="23" spans="1:28" x14ac:dyDescent="0.3">
      <c r="A23">
        <v>891</v>
      </c>
      <c r="B23" t="s">
        <v>1277</v>
      </c>
      <c r="C23">
        <v>0</v>
      </c>
      <c r="D23">
        <v>1610612752</v>
      </c>
      <c r="E23" t="s">
        <v>1248</v>
      </c>
      <c r="F23">
        <v>330</v>
      </c>
      <c r="G23">
        <v>80</v>
      </c>
      <c r="H23">
        <v>800</v>
      </c>
      <c r="I23">
        <v>28700</v>
      </c>
      <c r="J23">
        <v>339</v>
      </c>
      <c r="K23">
        <v>694</v>
      </c>
      <c r="L23">
        <v>488</v>
      </c>
      <c r="M23">
        <v>50</v>
      </c>
      <c r="N23">
        <v>190</v>
      </c>
      <c r="O23">
        <v>263</v>
      </c>
      <c r="P23">
        <v>181</v>
      </c>
      <c r="Q23">
        <v>224</v>
      </c>
      <c r="R23">
        <v>808</v>
      </c>
      <c r="S23">
        <v>2460</v>
      </c>
      <c r="T23">
        <v>5350</v>
      </c>
      <c r="U23">
        <v>7810</v>
      </c>
      <c r="V23">
        <v>221</v>
      </c>
      <c r="W23">
        <v>1110</v>
      </c>
      <c r="X23">
        <v>210</v>
      </c>
      <c r="Y23">
        <v>1710</v>
      </c>
      <c r="Z23">
        <v>305</v>
      </c>
      <c r="AA23">
        <v>864</v>
      </c>
      <c r="AB23" t="s">
        <v>1269</v>
      </c>
    </row>
    <row r="24" spans="1:28" x14ac:dyDescent="0.3">
      <c r="A24">
        <v>891</v>
      </c>
      <c r="B24" t="s">
        <v>1278</v>
      </c>
      <c r="C24">
        <v>0</v>
      </c>
      <c r="D24">
        <v>1610612752</v>
      </c>
      <c r="E24" t="s">
        <v>1248</v>
      </c>
      <c r="F24">
        <v>340</v>
      </c>
      <c r="G24">
        <v>79</v>
      </c>
      <c r="H24">
        <v>790</v>
      </c>
      <c r="I24">
        <v>27340</v>
      </c>
      <c r="J24">
        <v>307</v>
      </c>
      <c r="K24">
        <v>698</v>
      </c>
      <c r="L24">
        <v>44</v>
      </c>
      <c r="M24">
        <v>0</v>
      </c>
      <c r="N24">
        <v>60</v>
      </c>
      <c r="O24">
        <v>0</v>
      </c>
      <c r="P24">
        <v>97</v>
      </c>
      <c r="Q24">
        <v>114</v>
      </c>
      <c r="R24">
        <v>851</v>
      </c>
      <c r="S24">
        <v>2180</v>
      </c>
      <c r="T24">
        <v>5060</v>
      </c>
      <c r="U24">
        <v>7240</v>
      </c>
      <c r="V24">
        <v>201</v>
      </c>
      <c r="W24">
        <v>1230</v>
      </c>
      <c r="X24">
        <v>220</v>
      </c>
      <c r="Y24">
        <v>1260</v>
      </c>
      <c r="Z24">
        <v>280</v>
      </c>
      <c r="AA24">
        <v>711</v>
      </c>
      <c r="AB24" t="s">
        <v>1269</v>
      </c>
    </row>
    <row r="25" spans="1:28" x14ac:dyDescent="0.3">
      <c r="A25">
        <v>203124</v>
      </c>
      <c r="B25" t="s">
        <v>1279</v>
      </c>
      <c r="C25">
        <v>0</v>
      </c>
      <c r="D25">
        <v>1610612752</v>
      </c>
      <c r="E25" t="s">
        <v>1248</v>
      </c>
      <c r="F25">
        <v>260</v>
      </c>
      <c r="G25">
        <v>65</v>
      </c>
      <c r="H25">
        <v>10</v>
      </c>
      <c r="I25">
        <v>7640</v>
      </c>
      <c r="J25">
        <v>129</v>
      </c>
      <c r="K25">
        <v>271</v>
      </c>
      <c r="L25">
        <v>476</v>
      </c>
      <c r="M25">
        <v>50</v>
      </c>
      <c r="N25">
        <v>220</v>
      </c>
      <c r="O25">
        <v>227</v>
      </c>
      <c r="P25">
        <v>46</v>
      </c>
      <c r="Q25">
        <v>60</v>
      </c>
      <c r="R25">
        <v>767</v>
      </c>
      <c r="S25">
        <v>760</v>
      </c>
      <c r="T25">
        <v>1740</v>
      </c>
      <c r="U25">
        <v>2500</v>
      </c>
      <c r="V25">
        <v>72</v>
      </c>
      <c r="W25">
        <v>200</v>
      </c>
      <c r="X25">
        <v>490</v>
      </c>
      <c r="Y25">
        <v>610</v>
      </c>
      <c r="Z25">
        <v>107</v>
      </c>
      <c r="AA25">
        <v>309</v>
      </c>
      <c r="AB25" t="s">
        <v>1280</v>
      </c>
    </row>
    <row r="26" spans="1:28" x14ac:dyDescent="0.3">
      <c r="A26">
        <v>203124</v>
      </c>
      <c r="B26" t="s">
        <v>1281</v>
      </c>
      <c r="C26">
        <v>0</v>
      </c>
      <c r="D26">
        <v>1610612752</v>
      </c>
      <c r="E26" t="s">
        <v>1248</v>
      </c>
      <c r="F26">
        <v>270</v>
      </c>
      <c r="G26">
        <v>79</v>
      </c>
      <c r="H26">
        <v>80</v>
      </c>
      <c r="I26">
        <v>12290</v>
      </c>
      <c r="J26">
        <v>215</v>
      </c>
      <c r="K26">
        <v>413</v>
      </c>
      <c r="L26">
        <v>521</v>
      </c>
      <c r="M26">
        <v>20</v>
      </c>
      <c r="N26">
        <v>170</v>
      </c>
      <c r="O26">
        <v>118</v>
      </c>
      <c r="P26">
        <v>64</v>
      </c>
      <c r="Q26">
        <v>83</v>
      </c>
      <c r="R26">
        <v>771</v>
      </c>
      <c r="S26">
        <v>1570</v>
      </c>
      <c r="T26">
        <v>2820</v>
      </c>
      <c r="U26">
        <v>4390</v>
      </c>
      <c r="V26">
        <v>117</v>
      </c>
      <c r="W26">
        <v>360</v>
      </c>
      <c r="X26">
        <v>1040</v>
      </c>
      <c r="Y26">
        <v>760</v>
      </c>
      <c r="Z26">
        <v>174</v>
      </c>
      <c r="AA26">
        <v>496</v>
      </c>
      <c r="AB26" t="s">
        <v>1280</v>
      </c>
    </row>
    <row r="27" spans="1:28" x14ac:dyDescent="0.3">
      <c r="A27">
        <v>203124</v>
      </c>
      <c r="B27" t="s">
        <v>1259</v>
      </c>
      <c r="C27">
        <v>0</v>
      </c>
      <c r="D27">
        <v>1610612752</v>
      </c>
      <c r="E27" t="s">
        <v>1248</v>
      </c>
      <c r="F27">
        <v>280</v>
      </c>
      <c r="G27">
        <v>77</v>
      </c>
      <c r="H27">
        <v>100</v>
      </c>
      <c r="I27">
        <v>13870</v>
      </c>
      <c r="J27">
        <v>224</v>
      </c>
      <c r="K27">
        <v>384</v>
      </c>
      <c r="L27">
        <v>583</v>
      </c>
      <c r="M27">
        <v>40</v>
      </c>
      <c r="N27">
        <v>170</v>
      </c>
      <c r="O27">
        <v>235</v>
      </c>
      <c r="P27">
        <v>98</v>
      </c>
      <c r="Q27">
        <v>127</v>
      </c>
      <c r="R27">
        <v>772</v>
      </c>
      <c r="S27">
        <v>1210</v>
      </c>
      <c r="T27">
        <v>3490</v>
      </c>
      <c r="U27">
        <v>4700</v>
      </c>
      <c r="V27">
        <v>158</v>
      </c>
      <c r="W27">
        <v>360</v>
      </c>
      <c r="X27">
        <v>980</v>
      </c>
      <c r="Y27">
        <v>1000</v>
      </c>
      <c r="Z27">
        <v>192</v>
      </c>
      <c r="AA27">
        <v>550</v>
      </c>
      <c r="AB27" t="s">
        <v>1280</v>
      </c>
    </row>
    <row r="28" spans="1:28" x14ac:dyDescent="0.3">
      <c r="A28">
        <v>78068</v>
      </c>
      <c r="B28" t="s">
        <v>1282</v>
      </c>
      <c r="C28">
        <v>0</v>
      </c>
      <c r="D28">
        <v>1610612752</v>
      </c>
      <c r="E28" t="s">
        <v>1248</v>
      </c>
      <c r="F28">
        <v>220</v>
      </c>
      <c r="G28">
        <v>44</v>
      </c>
      <c r="I28">
        <v>4840</v>
      </c>
      <c r="J28">
        <v>94</v>
      </c>
      <c r="K28">
        <v>225</v>
      </c>
      <c r="L28">
        <v>418</v>
      </c>
      <c r="M28">
        <v>10</v>
      </c>
      <c r="N28">
        <v>60</v>
      </c>
      <c r="O28">
        <v>167</v>
      </c>
      <c r="P28">
        <v>26</v>
      </c>
      <c r="Q28">
        <v>39</v>
      </c>
      <c r="R28">
        <v>667</v>
      </c>
      <c r="S28">
        <v>470</v>
      </c>
      <c r="T28">
        <v>850</v>
      </c>
      <c r="U28">
        <v>1320</v>
      </c>
      <c r="V28">
        <v>10</v>
      </c>
      <c r="W28">
        <v>120</v>
      </c>
      <c r="X28">
        <v>40</v>
      </c>
      <c r="Y28">
        <v>300</v>
      </c>
      <c r="Z28">
        <v>54</v>
      </c>
      <c r="AA28">
        <v>215</v>
      </c>
      <c r="AB28" t="s">
        <v>1283</v>
      </c>
    </row>
    <row r="29" spans="1:28" x14ac:dyDescent="0.3">
      <c r="A29">
        <v>78068</v>
      </c>
      <c r="B29" t="s">
        <v>1284</v>
      </c>
      <c r="C29">
        <v>0</v>
      </c>
      <c r="D29">
        <v>1610612752</v>
      </c>
      <c r="E29" t="s">
        <v>1248</v>
      </c>
      <c r="F29">
        <v>230</v>
      </c>
      <c r="G29">
        <v>3</v>
      </c>
      <c r="H29">
        <v>0</v>
      </c>
      <c r="I29">
        <v>240</v>
      </c>
      <c r="J29">
        <v>1</v>
      </c>
      <c r="K29">
        <v>5</v>
      </c>
      <c r="L29">
        <v>2</v>
      </c>
      <c r="M29">
        <v>0</v>
      </c>
      <c r="N29">
        <v>0</v>
      </c>
      <c r="P29">
        <v>1</v>
      </c>
      <c r="Q29">
        <v>2</v>
      </c>
      <c r="R29">
        <v>5</v>
      </c>
      <c r="S29">
        <v>20</v>
      </c>
      <c r="T29">
        <v>30</v>
      </c>
      <c r="U29">
        <v>50</v>
      </c>
      <c r="V29">
        <v>0</v>
      </c>
      <c r="W29">
        <v>10</v>
      </c>
      <c r="X29">
        <v>10</v>
      </c>
      <c r="Y29">
        <v>20</v>
      </c>
      <c r="Z29">
        <v>3</v>
      </c>
      <c r="AA29">
        <v>3</v>
      </c>
      <c r="AB29" t="s">
        <v>1283</v>
      </c>
    </row>
    <row r="30" spans="1:28" x14ac:dyDescent="0.3">
      <c r="A30">
        <v>194</v>
      </c>
      <c r="B30" t="s">
        <v>1278</v>
      </c>
      <c r="C30">
        <v>0</v>
      </c>
      <c r="D30">
        <v>1610612752</v>
      </c>
      <c r="E30" t="s">
        <v>1248</v>
      </c>
      <c r="F30">
        <v>340</v>
      </c>
      <c r="G30">
        <v>27</v>
      </c>
      <c r="H30">
        <v>30</v>
      </c>
      <c r="I30">
        <v>2240</v>
      </c>
      <c r="J30">
        <v>32</v>
      </c>
      <c r="K30">
        <v>59</v>
      </c>
      <c r="L30">
        <v>542</v>
      </c>
      <c r="M30">
        <v>30</v>
      </c>
      <c r="N30">
        <v>40</v>
      </c>
      <c r="O30">
        <v>75</v>
      </c>
      <c r="P30">
        <v>8</v>
      </c>
      <c r="Q30">
        <v>9</v>
      </c>
      <c r="R30">
        <v>889</v>
      </c>
      <c r="S30">
        <v>90</v>
      </c>
      <c r="T30">
        <v>170</v>
      </c>
      <c r="U30">
        <v>260</v>
      </c>
      <c r="V30">
        <v>11</v>
      </c>
      <c r="W30">
        <v>60</v>
      </c>
      <c r="X30">
        <v>20</v>
      </c>
      <c r="Y30">
        <v>70</v>
      </c>
      <c r="Z30">
        <v>25</v>
      </c>
      <c r="AA30">
        <v>75</v>
      </c>
      <c r="AB30" t="s">
        <v>1285</v>
      </c>
    </row>
    <row r="31" spans="1:28" x14ac:dyDescent="0.3">
      <c r="A31">
        <v>1628373</v>
      </c>
      <c r="B31" t="s">
        <v>1259</v>
      </c>
      <c r="C31">
        <v>0</v>
      </c>
      <c r="D31">
        <v>1610612752</v>
      </c>
      <c r="E31" t="s">
        <v>1248</v>
      </c>
      <c r="F31">
        <v>190</v>
      </c>
      <c r="G31">
        <v>78</v>
      </c>
      <c r="H31">
        <v>90</v>
      </c>
      <c r="I31">
        <v>17060</v>
      </c>
      <c r="J31">
        <v>182</v>
      </c>
      <c r="K31">
        <v>500</v>
      </c>
      <c r="L31">
        <v>364</v>
      </c>
      <c r="M31">
        <v>500</v>
      </c>
      <c r="N31">
        <v>1570</v>
      </c>
      <c r="O31">
        <v>318</v>
      </c>
      <c r="P31">
        <v>49</v>
      </c>
      <c r="Q31">
        <v>68</v>
      </c>
      <c r="R31">
        <v>721</v>
      </c>
      <c r="S31">
        <v>370</v>
      </c>
      <c r="T31">
        <v>1400</v>
      </c>
      <c r="U31">
        <v>1770</v>
      </c>
      <c r="V31">
        <v>250</v>
      </c>
      <c r="W31">
        <v>650</v>
      </c>
      <c r="X31">
        <v>180</v>
      </c>
      <c r="Y31">
        <v>1310</v>
      </c>
      <c r="Z31">
        <v>181</v>
      </c>
      <c r="AA31">
        <v>463</v>
      </c>
      <c r="AB31" t="s">
        <v>1286</v>
      </c>
    </row>
    <row r="32" spans="1:28" x14ac:dyDescent="0.3">
      <c r="A32">
        <v>1628373</v>
      </c>
      <c r="B32" t="s">
        <v>1287</v>
      </c>
      <c r="C32">
        <v>0</v>
      </c>
      <c r="D32">
        <v>1610612752</v>
      </c>
      <c r="E32" t="s">
        <v>1248</v>
      </c>
      <c r="F32">
        <v>200</v>
      </c>
      <c r="G32">
        <v>43</v>
      </c>
      <c r="H32">
        <v>160</v>
      </c>
      <c r="I32">
        <v>9040</v>
      </c>
      <c r="J32">
        <v>95</v>
      </c>
      <c r="K32">
        <v>282</v>
      </c>
      <c r="L32">
        <v>337</v>
      </c>
      <c r="M32">
        <v>330</v>
      </c>
      <c r="N32">
        <v>1150</v>
      </c>
      <c r="O32">
        <v>287</v>
      </c>
      <c r="P32">
        <v>23</v>
      </c>
      <c r="Q32">
        <v>30</v>
      </c>
      <c r="R32">
        <v>767</v>
      </c>
      <c r="S32">
        <v>120</v>
      </c>
      <c r="T32">
        <v>750</v>
      </c>
      <c r="U32">
        <v>870</v>
      </c>
      <c r="V32">
        <v>121</v>
      </c>
      <c r="W32">
        <v>300</v>
      </c>
      <c r="X32">
        <v>140</v>
      </c>
      <c r="Y32">
        <v>560</v>
      </c>
      <c r="Z32">
        <v>104</v>
      </c>
      <c r="AA32">
        <v>246</v>
      </c>
      <c r="AB32" t="s">
        <v>1286</v>
      </c>
    </row>
    <row r="33" spans="1:28" x14ac:dyDescent="0.3">
      <c r="A33">
        <v>1628373</v>
      </c>
      <c r="B33" t="s">
        <v>1288</v>
      </c>
      <c r="C33">
        <v>0</v>
      </c>
      <c r="D33">
        <v>1610612752</v>
      </c>
      <c r="E33" t="s">
        <v>1248</v>
      </c>
      <c r="F33">
        <v>210</v>
      </c>
      <c r="G33">
        <v>57</v>
      </c>
      <c r="H33">
        <v>260</v>
      </c>
      <c r="I33">
        <v>11870</v>
      </c>
      <c r="J33">
        <v>131</v>
      </c>
      <c r="K33">
        <v>333</v>
      </c>
      <c r="L33">
        <v>393</v>
      </c>
      <c r="M33">
        <v>440</v>
      </c>
      <c r="N33">
        <v>1370</v>
      </c>
      <c r="O33">
        <v>321</v>
      </c>
      <c r="P33">
        <v>51</v>
      </c>
      <c r="Q33">
        <v>59</v>
      </c>
      <c r="R33">
        <v>864</v>
      </c>
      <c r="S33">
        <v>230</v>
      </c>
      <c r="T33">
        <v>980</v>
      </c>
      <c r="U33">
        <v>1210</v>
      </c>
      <c r="V33">
        <v>172</v>
      </c>
      <c r="W33">
        <v>540</v>
      </c>
      <c r="X33">
        <v>160</v>
      </c>
      <c r="Y33">
        <v>710</v>
      </c>
      <c r="Z33">
        <v>142</v>
      </c>
      <c r="AA33">
        <v>357</v>
      </c>
      <c r="AB33" t="s">
        <v>1286</v>
      </c>
    </row>
    <row r="34" spans="1:28" x14ac:dyDescent="0.3">
      <c r="A34">
        <v>1628373</v>
      </c>
      <c r="B34" t="s">
        <v>1289</v>
      </c>
      <c r="C34">
        <v>0</v>
      </c>
      <c r="D34">
        <v>1610612752</v>
      </c>
      <c r="E34" t="s">
        <v>1248</v>
      </c>
      <c r="F34">
        <v>220</v>
      </c>
      <c r="G34">
        <v>33</v>
      </c>
      <c r="H34">
        <v>40</v>
      </c>
      <c r="I34">
        <v>3220</v>
      </c>
      <c r="J34">
        <v>29</v>
      </c>
      <c r="K34">
        <v>79</v>
      </c>
      <c r="L34">
        <v>367</v>
      </c>
      <c r="M34">
        <v>230</v>
      </c>
      <c r="N34">
        <v>480</v>
      </c>
      <c r="O34">
        <v>479</v>
      </c>
      <c r="P34">
        <v>8</v>
      </c>
      <c r="Q34">
        <v>18</v>
      </c>
      <c r="R34">
        <v>444</v>
      </c>
      <c r="S34">
        <v>60</v>
      </c>
      <c r="T34">
        <v>250</v>
      </c>
      <c r="U34">
        <v>310</v>
      </c>
      <c r="V34">
        <v>19</v>
      </c>
      <c r="W34">
        <v>180</v>
      </c>
      <c r="X34">
        <v>40</v>
      </c>
      <c r="Y34">
        <v>110</v>
      </c>
      <c r="Z34">
        <v>45</v>
      </c>
      <c r="AA34">
        <v>89</v>
      </c>
      <c r="AB34" t="s">
        <v>1286</v>
      </c>
    </row>
    <row r="35" spans="1:28" x14ac:dyDescent="0.3">
      <c r="A35">
        <v>200779</v>
      </c>
      <c r="B35" t="s">
        <v>1290</v>
      </c>
      <c r="C35">
        <v>0</v>
      </c>
      <c r="D35">
        <v>1610612752</v>
      </c>
      <c r="E35" t="s">
        <v>1248</v>
      </c>
      <c r="F35">
        <v>290</v>
      </c>
      <c r="G35">
        <v>54</v>
      </c>
      <c r="H35">
        <v>0</v>
      </c>
      <c r="I35">
        <v>10200</v>
      </c>
      <c r="J35">
        <v>161</v>
      </c>
      <c r="K35">
        <v>337</v>
      </c>
      <c r="L35">
        <v>478</v>
      </c>
      <c r="M35">
        <v>1330</v>
      </c>
      <c r="N35">
        <v>2820</v>
      </c>
      <c r="O35">
        <v>472</v>
      </c>
      <c r="P35">
        <v>22</v>
      </c>
      <c r="Q35">
        <v>26</v>
      </c>
      <c r="R35">
        <v>846</v>
      </c>
      <c r="S35">
        <v>90</v>
      </c>
      <c r="T35">
        <v>950</v>
      </c>
      <c r="U35">
        <v>1040</v>
      </c>
      <c r="V35">
        <v>12</v>
      </c>
      <c r="W35">
        <v>160</v>
      </c>
      <c r="X35">
        <v>90</v>
      </c>
      <c r="Y35">
        <v>210</v>
      </c>
      <c r="Z35">
        <v>59</v>
      </c>
      <c r="AA35">
        <v>477</v>
      </c>
      <c r="AB35" t="s">
        <v>1291</v>
      </c>
    </row>
    <row r="36" spans="1:28" x14ac:dyDescent="0.3">
      <c r="A36">
        <v>200779</v>
      </c>
      <c r="B36" t="s">
        <v>1292</v>
      </c>
      <c r="C36">
        <v>0</v>
      </c>
      <c r="D36">
        <v>1610612752</v>
      </c>
      <c r="E36" t="s">
        <v>1248</v>
      </c>
      <c r="F36">
        <v>300</v>
      </c>
      <c r="G36">
        <v>81</v>
      </c>
      <c r="H36">
        <v>10</v>
      </c>
      <c r="I36">
        <v>16410</v>
      </c>
      <c r="J36">
        <v>178</v>
      </c>
      <c r="K36">
        <v>430</v>
      </c>
      <c r="L36">
        <v>414</v>
      </c>
      <c r="M36">
        <v>1490</v>
      </c>
      <c r="N36">
        <v>3510</v>
      </c>
      <c r="O36">
        <v>425</v>
      </c>
      <c r="P36">
        <v>30</v>
      </c>
      <c r="Q36">
        <v>33</v>
      </c>
      <c r="R36">
        <v>909</v>
      </c>
      <c r="S36">
        <v>170</v>
      </c>
      <c r="T36">
        <v>1350</v>
      </c>
      <c r="U36">
        <v>1520</v>
      </c>
      <c r="V36">
        <v>35</v>
      </c>
      <c r="W36">
        <v>280</v>
      </c>
      <c r="X36">
        <v>80</v>
      </c>
      <c r="Y36">
        <v>120</v>
      </c>
      <c r="Z36">
        <v>97</v>
      </c>
      <c r="AA36">
        <v>535</v>
      </c>
      <c r="AB36" t="s">
        <v>1291</v>
      </c>
    </row>
    <row r="37" spans="1:28" x14ac:dyDescent="0.3">
      <c r="A37">
        <v>983</v>
      </c>
      <c r="B37" t="s">
        <v>1293</v>
      </c>
      <c r="C37">
        <v>0</v>
      </c>
      <c r="D37">
        <v>1610612752</v>
      </c>
      <c r="E37" t="s">
        <v>1248</v>
      </c>
      <c r="F37">
        <v>300</v>
      </c>
      <c r="G37">
        <v>36</v>
      </c>
      <c r="H37">
        <v>0</v>
      </c>
      <c r="I37">
        <v>4460</v>
      </c>
      <c r="J37">
        <v>53</v>
      </c>
      <c r="K37">
        <v>130</v>
      </c>
      <c r="L37">
        <v>408</v>
      </c>
      <c r="M37">
        <v>120</v>
      </c>
      <c r="N37">
        <v>350</v>
      </c>
      <c r="O37">
        <v>343</v>
      </c>
      <c r="P37">
        <v>36</v>
      </c>
      <c r="Q37">
        <v>47</v>
      </c>
      <c r="R37">
        <v>766</v>
      </c>
      <c r="S37">
        <v>80</v>
      </c>
      <c r="T37">
        <v>270</v>
      </c>
      <c r="U37">
        <v>350</v>
      </c>
      <c r="V37">
        <v>73</v>
      </c>
      <c r="W37">
        <v>280</v>
      </c>
      <c r="X37">
        <v>30</v>
      </c>
      <c r="Y37">
        <v>340</v>
      </c>
      <c r="Z37">
        <v>35</v>
      </c>
      <c r="AA37">
        <v>154</v>
      </c>
      <c r="AB37" t="s">
        <v>1294</v>
      </c>
    </row>
    <row r="38" spans="1:28" x14ac:dyDescent="0.3">
      <c r="A38">
        <v>983</v>
      </c>
      <c r="B38" t="s">
        <v>1295</v>
      </c>
      <c r="C38">
        <v>0</v>
      </c>
      <c r="D38">
        <v>1610612752</v>
      </c>
      <c r="E38" t="s">
        <v>1248</v>
      </c>
      <c r="F38">
        <v>310</v>
      </c>
      <c r="G38">
        <v>32</v>
      </c>
      <c r="H38">
        <v>0</v>
      </c>
      <c r="I38">
        <v>3210</v>
      </c>
      <c r="J38">
        <v>32</v>
      </c>
      <c r="K38">
        <v>93</v>
      </c>
      <c r="L38">
        <v>344</v>
      </c>
      <c r="M38">
        <v>0</v>
      </c>
      <c r="N38">
        <v>120</v>
      </c>
      <c r="O38">
        <v>0</v>
      </c>
      <c r="P38">
        <v>18</v>
      </c>
      <c r="Q38">
        <v>22</v>
      </c>
      <c r="R38">
        <v>818</v>
      </c>
      <c r="S38">
        <v>90</v>
      </c>
      <c r="T38">
        <v>330</v>
      </c>
      <c r="U38">
        <v>420</v>
      </c>
      <c r="V38">
        <v>34</v>
      </c>
      <c r="W38">
        <v>170</v>
      </c>
      <c r="X38">
        <v>20</v>
      </c>
      <c r="Y38">
        <v>250</v>
      </c>
      <c r="Z38">
        <v>42</v>
      </c>
      <c r="AA38">
        <v>82</v>
      </c>
      <c r="AB38" t="s">
        <v>1294</v>
      </c>
    </row>
    <row r="39" spans="1:28" x14ac:dyDescent="0.3">
      <c r="A39">
        <v>944</v>
      </c>
      <c r="B39" t="s">
        <v>1273</v>
      </c>
      <c r="C39">
        <v>0</v>
      </c>
      <c r="D39">
        <v>1610612752</v>
      </c>
      <c r="E39" t="s">
        <v>1248</v>
      </c>
      <c r="F39">
        <v>230</v>
      </c>
      <c r="G39">
        <v>16</v>
      </c>
      <c r="H39">
        <v>0</v>
      </c>
      <c r="I39">
        <v>440</v>
      </c>
      <c r="J39">
        <v>5</v>
      </c>
      <c r="K39">
        <v>18</v>
      </c>
      <c r="L39">
        <v>278</v>
      </c>
      <c r="M39">
        <v>0</v>
      </c>
      <c r="N39">
        <v>0</v>
      </c>
      <c r="O39">
        <v>0</v>
      </c>
      <c r="P39">
        <v>11</v>
      </c>
      <c r="Q39">
        <v>13</v>
      </c>
      <c r="R39">
        <v>846</v>
      </c>
      <c r="S39">
        <v>60</v>
      </c>
      <c r="T39">
        <v>80</v>
      </c>
      <c r="U39">
        <v>140</v>
      </c>
      <c r="V39">
        <v>3</v>
      </c>
      <c r="W39">
        <v>30</v>
      </c>
      <c r="X39">
        <v>10</v>
      </c>
      <c r="Y39">
        <v>50</v>
      </c>
      <c r="Z39">
        <v>14</v>
      </c>
      <c r="AA39">
        <v>21</v>
      </c>
      <c r="AB39" t="s">
        <v>1296</v>
      </c>
    </row>
    <row r="40" spans="1:28" x14ac:dyDescent="0.3">
      <c r="A40">
        <v>944</v>
      </c>
      <c r="B40" t="s">
        <v>1274</v>
      </c>
      <c r="C40">
        <v>0</v>
      </c>
      <c r="D40">
        <v>1610612752</v>
      </c>
      <c r="E40" t="s">
        <v>1248</v>
      </c>
      <c r="F40">
        <v>240</v>
      </c>
      <c r="G40">
        <v>11</v>
      </c>
      <c r="H40">
        <v>0</v>
      </c>
      <c r="I40">
        <v>390</v>
      </c>
      <c r="J40">
        <v>7</v>
      </c>
      <c r="K40">
        <v>17</v>
      </c>
      <c r="L40">
        <v>412</v>
      </c>
      <c r="M40">
        <v>20</v>
      </c>
      <c r="N40">
        <v>20</v>
      </c>
      <c r="O40">
        <v>10</v>
      </c>
      <c r="P40">
        <v>5</v>
      </c>
      <c r="Q40">
        <v>14</v>
      </c>
      <c r="R40">
        <v>357</v>
      </c>
      <c r="S40">
        <v>60</v>
      </c>
      <c r="T40">
        <v>110</v>
      </c>
      <c r="U40">
        <v>170</v>
      </c>
      <c r="V40">
        <v>2</v>
      </c>
      <c r="W40">
        <v>0</v>
      </c>
      <c r="X40">
        <v>10</v>
      </c>
      <c r="Y40">
        <v>20</v>
      </c>
      <c r="Z40">
        <v>9</v>
      </c>
      <c r="AA40">
        <v>21</v>
      </c>
      <c r="AB40" t="s">
        <v>1296</v>
      </c>
    </row>
    <row r="41" spans="1:28" x14ac:dyDescent="0.3">
      <c r="A41">
        <v>77723</v>
      </c>
      <c r="B41" t="s">
        <v>1297</v>
      </c>
      <c r="C41">
        <v>0</v>
      </c>
      <c r="D41">
        <v>1610612752</v>
      </c>
      <c r="E41" t="s">
        <v>1248</v>
      </c>
      <c r="F41">
        <v>230</v>
      </c>
      <c r="G41">
        <v>29</v>
      </c>
      <c r="J41">
        <v>40</v>
      </c>
      <c r="K41">
        <v>138</v>
      </c>
      <c r="L41">
        <v>29</v>
      </c>
      <c r="P41">
        <v>19</v>
      </c>
      <c r="Q41">
        <v>30</v>
      </c>
      <c r="R41">
        <v>633</v>
      </c>
      <c r="V41">
        <v>3</v>
      </c>
      <c r="Z41">
        <v>41</v>
      </c>
      <c r="AA41">
        <v>99</v>
      </c>
      <c r="AB41" t="s">
        <v>1298</v>
      </c>
    </row>
    <row r="42" spans="1:28" x14ac:dyDescent="0.3">
      <c r="A42">
        <v>77723</v>
      </c>
      <c r="B42" t="s">
        <v>1299</v>
      </c>
      <c r="C42">
        <v>0</v>
      </c>
      <c r="D42">
        <v>1610612752</v>
      </c>
      <c r="E42" t="s">
        <v>1248</v>
      </c>
      <c r="F42">
        <v>240</v>
      </c>
      <c r="G42">
        <v>47</v>
      </c>
      <c r="J42">
        <v>70</v>
      </c>
      <c r="K42">
        <v>277</v>
      </c>
      <c r="L42">
        <v>253</v>
      </c>
      <c r="P42">
        <v>37</v>
      </c>
      <c r="Q42">
        <v>60</v>
      </c>
      <c r="R42">
        <v>617</v>
      </c>
      <c r="V42">
        <v>33</v>
      </c>
      <c r="Z42">
        <v>84</v>
      </c>
      <c r="AA42">
        <v>177</v>
      </c>
      <c r="AB42" t="s">
        <v>1298</v>
      </c>
    </row>
    <row r="43" spans="1:28" x14ac:dyDescent="0.3">
      <c r="A43">
        <v>77723</v>
      </c>
      <c r="B43" t="s">
        <v>1266</v>
      </c>
      <c r="C43">
        <v>0</v>
      </c>
      <c r="D43">
        <v>1610612752</v>
      </c>
      <c r="E43" t="s">
        <v>1248</v>
      </c>
      <c r="F43">
        <v>250</v>
      </c>
      <c r="G43">
        <v>65</v>
      </c>
      <c r="J43">
        <v>98</v>
      </c>
      <c r="K43">
        <v>291</v>
      </c>
      <c r="L43">
        <v>337</v>
      </c>
      <c r="P43">
        <v>53</v>
      </c>
      <c r="Q43">
        <v>87</v>
      </c>
      <c r="R43">
        <v>609</v>
      </c>
      <c r="V43">
        <v>67</v>
      </c>
      <c r="Z43">
        <v>132</v>
      </c>
      <c r="AA43">
        <v>249</v>
      </c>
      <c r="AB43" t="s">
        <v>1298</v>
      </c>
    </row>
    <row r="44" spans="1:28" x14ac:dyDescent="0.3">
      <c r="A44">
        <v>101126</v>
      </c>
      <c r="B44" t="s">
        <v>1300</v>
      </c>
      <c r="C44">
        <v>0</v>
      </c>
      <c r="D44">
        <v>1610612752</v>
      </c>
      <c r="E44" t="s">
        <v>1248</v>
      </c>
      <c r="F44">
        <v>220</v>
      </c>
      <c r="G44">
        <v>72</v>
      </c>
      <c r="H44">
        <v>260</v>
      </c>
      <c r="I44">
        <v>15440</v>
      </c>
      <c r="J44">
        <v>230</v>
      </c>
      <c r="K44">
        <v>565</v>
      </c>
      <c r="L44">
        <v>407</v>
      </c>
      <c r="M44">
        <v>580</v>
      </c>
      <c r="N44">
        <v>1460</v>
      </c>
      <c r="O44">
        <v>397</v>
      </c>
      <c r="P44">
        <v>152</v>
      </c>
      <c r="Q44">
        <v>202</v>
      </c>
      <c r="R44">
        <v>752</v>
      </c>
      <c r="S44">
        <v>560</v>
      </c>
      <c r="T44">
        <v>1110</v>
      </c>
      <c r="U44">
        <v>1670</v>
      </c>
      <c r="V44">
        <v>147</v>
      </c>
      <c r="W44">
        <v>590</v>
      </c>
      <c r="X44">
        <v>10</v>
      </c>
      <c r="Y44">
        <v>1140</v>
      </c>
      <c r="Z44">
        <v>201</v>
      </c>
      <c r="AA44">
        <v>670</v>
      </c>
      <c r="AB44" t="s">
        <v>1301</v>
      </c>
    </row>
    <row r="45" spans="1:28" x14ac:dyDescent="0.3">
      <c r="A45">
        <v>101126</v>
      </c>
      <c r="B45" t="s">
        <v>1302</v>
      </c>
      <c r="C45">
        <v>0</v>
      </c>
      <c r="D45">
        <v>1610612752</v>
      </c>
      <c r="E45" t="s">
        <v>1248</v>
      </c>
      <c r="F45">
        <v>230</v>
      </c>
      <c r="G45">
        <v>64</v>
      </c>
      <c r="H45">
        <v>50</v>
      </c>
      <c r="I45">
        <v>13560</v>
      </c>
      <c r="J45">
        <v>227</v>
      </c>
      <c r="K45">
        <v>523</v>
      </c>
      <c r="L45">
        <v>434</v>
      </c>
      <c r="M45">
        <v>830</v>
      </c>
      <c r="N45">
        <v>2130</v>
      </c>
      <c r="O45">
        <v>39</v>
      </c>
      <c r="P45">
        <v>108</v>
      </c>
      <c r="Q45">
        <v>139</v>
      </c>
      <c r="R45">
        <v>777</v>
      </c>
      <c r="S45">
        <v>550</v>
      </c>
      <c r="T45">
        <v>970</v>
      </c>
      <c r="U45">
        <v>1520</v>
      </c>
      <c r="V45">
        <v>90</v>
      </c>
      <c r="W45">
        <v>500</v>
      </c>
      <c r="X45">
        <v>60</v>
      </c>
      <c r="Y45">
        <v>720</v>
      </c>
      <c r="Z45">
        <v>160</v>
      </c>
      <c r="AA45">
        <v>645</v>
      </c>
      <c r="AB45" t="s">
        <v>1301</v>
      </c>
    </row>
    <row r="46" spans="1:28" x14ac:dyDescent="0.3">
      <c r="A46">
        <v>101126</v>
      </c>
      <c r="B46" t="s">
        <v>1303</v>
      </c>
      <c r="C46">
        <v>0</v>
      </c>
      <c r="D46">
        <v>1610612752</v>
      </c>
      <c r="E46" t="s">
        <v>1248</v>
      </c>
      <c r="F46">
        <v>240</v>
      </c>
      <c r="G46">
        <v>72</v>
      </c>
      <c r="H46">
        <v>170</v>
      </c>
      <c r="I46">
        <v>18830</v>
      </c>
      <c r="J46">
        <v>331</v>
      </c>
      <c r="K46">
        <v>782</v>
      </c>
      <c r="L46">
        <v>423</v>
      </c>
      <c r="M46">
        <v>970</v>
      </c>
      <c r="N46">
        <v>2920</v>
      </c>
      <c r="O46">
        <v>332</v>
      </c>
      <c r="P46">
        <v>154</v>
      </c>
      <c r="Q46">
        <v>196</v>
      </c>
      <c r="R46">
        <v>786</v>
      </c>
      <c r="S46">
        <v>510</v>
      </c>
      <c r="T46">
        <v>1710</v>
      </c>
      <c r="U46">
        <v>2220</v>
      </c>
      <c r="V46">
        <v>212</v>
      </c>
      <c r="W46">
        <v>600</v>
      </c>
      <c r="X46">
        <v>10</v>
      </c>
      <c r="Y46">
        <v>1030</v>
      </c>
      <c r="Z46">
        <v>186</v>
      </c>
      <c r="AA46">
        <v>913</v>
      </c>
      <c r="AB46" t="s">
        <v>1301</v>
      </c>
    </row>
    <row r="47" spans="1:28" x14ac:dyDescent="0.3">
      <c r="A47">
        <v>101126</v>
      </c>
      <c r="B47" t="s">
        <v>1304</v>
      </c>
      <c r="C47">
        <v>0</v>
      </c>
      <c r="D47">
        <v>1610612752</v>
      </c>
      <c r="E47" t="s">
        <v>1248</v>
      </c>
      <c r="F47">
        <v>250</v>
      </c>
      <c r="G47">
        <v>74</v>
      </c>
      <c r="H47">
        <v>110</v>
      </c>
      <c r="I47">
        <v>22090</v>
      </c>
      <c r="J47">
        <v>449</v>
      </c>
      <c r="K47">
        <v>1028</v>
      </c>
      <c r="L47">
        <v>437</v>
      </c>
      <c r="M47">
        <v>1250</v>
      </c>
      <c r="N47">
        <v>3850</v>
      </c>
      <c r="O47">
        <v>325</v>
      </c>
      <c r="P47">
        <v>249</v>
      </c>
      <c r="Q47">
        <v>296</v>
      </c>
      <c r="R47">
        <v>841</v>
      </c>
      <c r="S47">
        <v>980</v>
      </c>
      <c r="T47">
        <v>1920</v>
      </c>
      <c r="U47">
        <v>2900</v>
      </c>
      <c r="V47">
        <v>301</v>
      </c>
      <c r="W47">
        <v>950</v>
      </c>
      <c r="X47">
        <v>60</v>
      </c>
      <c r="Y47">
        <v>1390</v>
      </c>
      <c r="Z47">
        <v>206</v>
      </c>
      <c r="AA47">
        <v>1272</v>
      </c>
      <c r="AB47" t="s">
        <v>1301</v>
      </c>
    </row>
    <row r="48" spans="1:28" x14ac:dyDescent="0.3">
      <c r="A48">
        <v>101126</v>
      </c>
      <c r="B48" t="s">
        <v>1305</v>
      </c>
      <c r="C48">
        <v>0</v>
      </c>
      <c r="D48">
        <v>1610612752</v>
      </c>
      <c r="E48" t="s">
        <v>1248</v>
      </c>
      <c r="F48">
        <v>260</v>
      </c>
      <c r="G48">
        <v>30</v>
      </c>
      <c r="H48">
        <v>20</v>
      </c>
      <c r="I48">
        <v>7330</v>
      </c>
      <c r="J48">
        <v>152</v>
      </c>
      <c r="K48">
        <v>336</v>
      </c>
      <c r="L48">
        <v>452</v>
      </c>
      <c r="M48">
        <v>510</v>
      </c>
      <c r="N48">
        <v>1360</v>
      </c>
      <c r="O48">
        <v>375</v>
      </c>
      <c r="P48">
        <v>42</v>
      </c>
      <c r="Q48">
        <v>54</v>
      </c>
      <c r="R48">
        <v>778</v>
      </c>
      <c r="S48">
        <v>230</v>
      </c>
      <c r="T48">
        <v>490</v>
      </c>
      <c r="U48">
        <v>720</v>
      </c>
      <c r="V48">
        <v>112</v>
      </c>
      <c r="W48">
        <v>270</v>
      </c>
      <c r="X48">
        <v>50</v>
      </c>
      <c r="Y48">
        <v>530</v>
      </c>
      <c r="Z48">
        <v>66</v>
      </c>
      <c r="AA48">
        <v>397</v>
      </c>
      <c r="AB48" t="s">
        <v>1301</v>
      </c>
    </row>
    <row r="49" spans="1:28" x14ac:dyDescent="0.3">
      <c r="A49">
        <v>204001</v>
      </c>
      <c r="B49" t="s">
        <v>1279</v>
      </c>
      <c r="C49">
        <v>0</v>
      </c>
      <c r="D49">
        <v>1610612752</v>
      </c>
      <c r="E49" t="s">
        <v>1248</v>
      </c>
      <c r="F49">
        <v>200</v>
      </c>
      <c r="G49">
        <v>72</v>
      </c>
      <c r="H49">
        <v>720</v>
      </c>
      <c r="I49">
        <v>20470</v>
      </c>
      <c r="J49">
        <v>373</v>
      </c>
      <c r="K49">
        <v>886</v>
      </c>
      <c r="L49">
        <v>421</v>
      </c>
      <c r="M49">
        <v>810</v>
      </c>
      <c r="N49">
        <v>2430</v>
      </c>
      <c r="O49">
        <v>333</v>
      </c>
      <c r="P49">
        <v>201</v>
      </c>
      <c r="Q49">
        <v>240</v>
      </c>
      <c r="R49">
        <v>838</v>
      </c>
      <c r="S49">
        <v>1320</v>
      </c>
      <c r="T49">
        <v>3940</v>
      </c>
      <c r="U49">
        <v>5260</v>
      </c>
      <c r="V49">
        <v>94</v>
      </c>
      <c r="W49">
        <v>530</v>
      </c>
      <c r="X49">
        <v>1340</v>
      </c>
      <c r="Y49">
        <v>1210</v>
      </c>
      <c r="Z49">
        <v>205</v>
      </c>
      <c r="AA49">
        <v>1028</v>
      </c>
      <c r="AB49" t="s">
        <v>1306</v>
      </c>
    </row>
    <row r="50" spans="1:28" x14ac:dyDescent="0.3">
      <c r="A50">
        <v>204001</v>
      </c>
      <c r="B50" t="s">
        <v>1281</v>
      </c>
      <c r="C50">
        <v>0</v>
      </c>
      <c r="D50">
        <v>1610612752</v>
      </c>
      <c r="E50" t="s">
        <v>1248</v>
      </c>
      <c r="F50">
        <v>210</v>
      </c>
      <c r="G50">
        <v>66</v>
      </c>
      <c r="H50">
        <v>650</v>
      </c>
      <c r="I50">
        <v>21640</v>
      </c>
      <c r="J50">
        <v>443</v>
      </c>
      <c r="K50">
        <v>985</v>
      </c>
      <c r="L50">
        <v>45</v>
      </c>
      <c r="M50">
        <v>1120</v>
      </c>
      <c r="N50">
        <v>3140</v>
      </c>
      <c r="O50">
        <v>357</v>
      </c>
      <c r="P50">
        <v>198</v>
      </c>
      <c r="Q50">
        <v>252</v>
      </c>
      <c r="R50">
        <v>786</v>
      </c>
      <c r="S50">
        <v>1110</v>
      </c>
      <c r="T50">
        <v>3640</v>
      </c>
      <c r="U50">
        <v>4750</v>
      </c>
      <c r="V50">
        <v>97</v>
      </c>
      <c r="W50">
        <v>470</v>
      </c>
      <c r="X50">
        <v>1290</v>
      </c>
      <c r="Y50">
        <v>1180</v>
      </c>
      <c r="Z50">
        <v>244</v>
      </c>
      <c r="AA50">
        <v>1196</v>
      </c>
      <c r="AB50" t="s">
        <v>1306</v>
      </c>
    </row>
    <row r="51" spans="1:28" x14ac:dyDescent="0.3">
      <c r="A51">
        <v>204001</v>
      </c>
      <c r="B51" t="s">
        <v>1259</v>
      </c>
      <c r="C51">
        <v>0</v>
      </c>
      <c r="D51">
        <v>1610612752</v>
      </c>
      <c r="E51" t="s">
        <v>1248</v>
      </c>
      <c r="F51">
        <v>220</v>
      </c>
      <c r="G51">
        <v>48</v>
      </c>
      <c r="H51">
        <v>480</v>
      </c>
      <c r="I51">
        <v>15530</v>
      </c>
      <c r="J51">
        <v>390</v>
      </c>
      <c r="K51">
        <v>889</v>
      </c>
      <c r="L51">
        <v>439</v>
      </c>
      <c r="M51">
        <v>900</v>
      </c>
      <c r="N51">
        <v>2280</v>
      </c>
      <c r="O51">
        <v>395</v>
      </c>
      <c r="P51">
        <v>218</v>
      </c>
      <c r="Q51">
        <v>275</v>
      </c>
      <c r="R51">
        <v>793</v>
      </c>
      <c r="S51">
        <v>620</v>
      </c>
      <c r="T51">
        <v>2540</v>
      </c>
      <c r="U51">
        <v>3160</v>
      </c>
      <c r="V51">
        <v>57</v>
      </c>
      <c r="W51">
        <v>360</v>
      </c>
      <c r="X51">
        <v>1150</v>
      </c>
      <c r="Y51">
        <v>930</v>
      </c>
      <c r="Z51">
        <v>141</v>
      </c>
      <c r="AA51">
        <v>1088</v>
      </c>
      <c r="AB51" t="s">
        <v>1306</v>
      </c>
    </row>
    <row r="52" spans="1:28" x14ac:dyDescent="0.3">
      <c r="A52">
        <v>203457</v>
      </c>
      <c r="B52" t="s">
        <v>1289</v>
      </c>
      <c r="C52">
        <v>0</v>
      </c>
      <c r="D52">
        <v>1610612752</v>
      </c>
      <c r="E52" t="s">
        <v>1248</v>
      </c>
      <c r="F52">
        <v>270</v>
      </c>
      <c r="G52">
        <v>64</v>
      </c>
      <c r="H52">
        <v>410</v>
      </c>
      <c r="I52">
        <v>15470</v>
      </c>
      <c r="J52">
        <v>137</v>
      </c>
      <c r="K52">
        <v>223</v>
      </c>
      <c r="L52">
        <v>614</v>
      </c>
      <c r="M52">
        <v>0</v>
      </c>
      <c r="N52">
        <v>30</v>
      </c>
      <c r="O52">
        <v>0</v>
      </c>
      <c r="P52">
        <v>50</v>
      </c>
      <c r="Q52">
        <v>70</v>
      </c>
      <c r="R52">
        <v>714</v>
      </c>
      <c r="S52">
        <v>1420</v>
      </c>
      <c r="T52">
        <v>2650</v>
      </c>
      <c r="U52">
        <v>4070</v>
      </c>
      <c r="V52">
        <v>46</v>
      </c>
      <c r="W52">
        <v>700</v>
      </c>
      <c r="X52">
        <v>1410</v>
      </c>
      <c r="Y52">
        <v>650</v>
      </c>
      <c r="Z52">
        <v>176</v>
      </c>
      <c r="AA52">
        <v>324</v>
      </c>
      <c r="AB52" t="s">
        <v>1307</v>
      </c>
    </row>
    <row r="53" spans="1:28" x14ac:dyDescent="0.3">
      <c r="A53">
        <v>203457</v>
      </c>
      <c r="B53" t="s">
        <v>1308</v>
      </c>
      <c r="C53">
        <v>0</v>
      </c>
      <c r="D53">
        <v>1610612752</v>
      </c>
      <c r="E53" t="s">
        <v>1248</v>
      </c>
      <c r="F53">
        <v>280</v>
      </c>
      <c r="G53">
        <v>25</v>
      </c>
      <c r="H53">
        <v>110</v>
      </c>
      <c r="I53">
        <v>5620</v>
      </c>
      <c r="J53">
        <v>32</v>
      </c>
      <c r="K53">
        <v>60</v>
      </c>
      <c r="L53">
        <v>533</v>
      </c>
      <c r="M53">
        <v>0</v>
      </c>
      <c r="N53">
        <v>30</v>
      </c>
      <c r="O53">
        <v>0</v>
      </c>
      <c r="P53">
        <v>21</v>
      </c>
      <c r="Q53">
        <v>30</v>
      </c>
      <c r="R53">
        <v>7</v>
      </c>
      <c r="S53">
        <v>480</v>
      </c>
      <c r="T53">
        <v>930</v>
      </c>
      <c r="U53">
        <v>1410</v>
      </c>
      <c r="V53">
        <v>23</v>
      </c>
      <c r="W53">
        <v>300</v>
      </c>
      <c r="X53">
        <v>310</v>
      </c>
      <c r="Y53">
        <v>200</v>
      </c>
      <c r="Z53">
        <v>67</v>
      </c>
      <c r="AA53">
        <v>85</v>
      </c>
      <c r="AB53" t="s">
        <v>1307</v>
      </c>
    </row>
    <row r="54" spans="1:28" x14ac:dyDescent="0.3">
      <c r="A54">
        <v>201149</v>
      </c>
      <c r="B54" t="s">
        <v>1281</v>
      </c>
      <c r="C54">
        <v>0</v>
      </c>
      <c r="D54">
        <v>1610612752</v>
      </c>
      <c r="E54" t="s">
        <v>1248</v>
      </c>
      <c r="F54">
        <v>320</v>
      </c>
      <c r="G54">
        <v>46</v>
      </c>
      <c r="H54">
        <v>460</v>
      </c>
      <c r="I54">
        <v>10150</v>
      </c>
      <c r="J54">
        <v>99</v>
      </c>
      <c r="K54">
        <v>202</v>
      </c>
      <c r="L54">
        <v>49</v>
      </c>
      <c r="M54">
        <v>0</v>
      </c>
      <c r="N54">
        <v>10</v>
      </c>
      <c r="O54">
        <v>0</v>
      </c>
      <c r="P54">
        <v>34</v>
      </c>
      <c r="Q54">
        <v>78</v>
      </c>
      <c r="R54">
        <v>436</v>
      </c>
      <c r="S54">
        <v>1620</v>
      </c>
      <c r="T54">
        <v>2410</v>
      </c>
      <c r="U54">
        <v>4030</v>
      </c>
      <c r="V54">
        <v>103</v>
      </c>
      <c r="W54">
        <v>300</v>
      </c>
      <c r="X54">
        <v>370</v>
      </c>
      <c r="Y54">
        <v>580</v>
      </c>
      <c r="Z54">
        <v>127</v>
      </c>
      <c r="AA54">
        <v>232</v>
      </c>
      <c r="AB54" t="s">
        <v>1309</v>
      </c>
    </row>
    <row r="55" spans="1:28" x14ac:dyDescent="0.3">
      <c r="A55">
        <v>201149</v>
      </c>
      <c r="B55" t="s">
        <v>1259</v>
      </c>
      <c r="C55">
        <v>0</v>
      </c>
      <c r="D55">
        <v>1610612752</v>
      </c>
      <c r="E55" t="s">
        <v>1248</v>
      </c>
      <c r="F55">
        <v>330</v>
      </c>
      <c r="G55">
        <v>7</v>
      </c>
      <c r="H55">
        <v>0</v>
      </c>
      <c r="I55">
        <v>400</v>
      </c>
      <c r="J55">
        <v>5</v>
      </c>
      <c r="K55">
        <v>10</v>
      </c>
      <c r="L55">
        <v>5</v>
      </c>
      <c r="M55">
        <v>0</v>
      </c>
      <c r="N55">
        <v>0</v>
      </c>
      <c r="O55">
        <v>0</v>
      </c>
      <c r="P55">
        <v>2</v>
      </c>
      <c r="Q55">
        <v>4</v>
      </c>
      <c r="R55">
        <v>5</v>
      </c>
      <c r="S55">
        <v>60</v>
      </c>
      <c r="T55">
        <v>80</v>
      </c>
      <c r="U55">
        <v>140</v>
      </c>
      <c r="V55">
        <v>4</v>
      </c>
      <c r="W55">
        <v>20</v>
      </c>
      <c r="X55">
        <v>20</v>
      </c>
      <c r="Y55">
        <v>40</v>
      </c>
      <c r="Z55">
        <v>5</v>
      </c>
      <c r="AA55">
        <v>12</v>
      </c>
      <c r="AB55" t="s">
        <v>1309</v>
      </c>
    </row>
    <row r="56" spans="1:28" x14ac:dyDescent="0.3">
      <c r="A56">
        <v>201193</v>
      </c>
      <c r="B56" t="s">
        <v>1304</v>
      </c>
      <c r="C56">
        <v>0</v>
      </c>
      <c r="D56">
        <v>1610612752</v>
      </c>
      <c r="E56" t="s">
        <v>1248</v>
      </c>
      <c r="F56">
        <v>240</v>
      </c>
      <c r="G56">
        <v>2</v>
      </c>
      <c r="H56">
        <v>0</v>
      </c>
      <c r="I56">
        <v>90</v>
      </c>
      <c r="J56">
        <v>2</v>
      </c>
      <c r="K56">
        <v>5</v>
      </c>
      <c r="L56">
        <v>4</v>
      </c>
      <c r="M56">
        <v>0</v>
      </c>
      <c r="N56">
        <v>10</v>
      </c>
      <c r="O56">
        <v>0</v>
      </c>
      <c r="P56">
        <v>1</v>
      </c>
      <c r="Q56">
        <v>2</v>
      </c>
      <c r="R56">
        <v>5</v>
      </c>
      <c r="S56">
        <v>0</v>
      </c>
      <c r="T56">
        <v>20</v>
      </c>
      <c r="U56">
        <v>20</v>
      </c>
      <c r="V56">
        <v>0</v>
      </c>
      <c r="W56">
        <v>0</v>
      </c>
      <c r="X56">
        <v>10</v>
      </c>
      <c r="Y56">
        <v>0</v>
      </c>
      <c r="Z56">
        <v>0</v>
      </c>
      <c r="AA56">
        <v>5</v>
      </c>
      <c r="AB56" t="s">
        <v>1310</v>
      </c>
    </row>
    <row r="57" spans="1:28" x14ac:dyDescent="0.3">
      <c r="A57">
        <v>200764</v>
      </c>
      <c r="B57" t="s">
        <v>1302</v>
      </c>
      <c r="C57">
        <v>0</v>
      </c>
      <c r="D57">
        <v>1610612752</v>
      </c>
      <c r="E57" t="s">
        <v>1248</v>
      </c>
      <c r="F57">
        <v>220</v>
      </c>
      <c r="G57">
        <v>68</v>
      </c>
      <c r="H57">
        <v>10</v>
      </c>
      <c r="I57">
        <v>10640</v>
      </c>
      <c r="J57">
        <v>139</v>
      </c>
      <c r="K57">
        <v>275</v>
      </c>
      <c r="L57">
        <v>505</v>
      </c>
      <c r="M57">
        <v>50</v>
      </c>
      <c r="N57">
        <v>270</v>
      </c>
      <c r="O57">
        <v>185</v>
      </c>
      <c r="P57">
        <v>51</v>
      </c>
      <c r="Q57">
        <v>90</v>
      </c>
      <c r="R57">
        <v>567</v>
      </c>
      <c r="S57">
        <v>970</v>
      </c>
      <c r="T57">
        <v>1970</v>
      </c>
      <c r="U57">
        <v>2940</v>
      </c>
      <c r="V57">
        <v>44</v>
      </c>
      <c r="W57">
        <v>570</v>
      </c>
      <c r="X57">
        <v>440</v>
      </c>
      <c r="Y57">
        <v>490</v>
      </c>
      <c r="Z57">
        <v>146</v>
      </c>
      <c r="AA57">
        <v>334</v>
      </c>
      <c r="AB57" t="s">
        <v>1311</v>
      </c>
    </row>
    <row r="58" spans="1:28" x14ac:dyDescent="0.3">
      <c r="A58">
        <v>200764</v>
      </c>
      <c r="B58" t="s">
        <v>1303</v>
      </c>
      <c r="C58">
        <v>0</v>
      </c>
      <c r="D58">
        <v>1610612752</v>
      </c>
      <c r="E58" t="s">
        <v>1248</v>
      </c>
      <c r="F58">
        <v>230</v>
      </c>
      <c r="G58">
        <v>65</v>
      </c>
      <c r="H58">
        <v>0</v>
      </c>
      <c r="I58">
        <v>9520</v>
      </c>
      <c r="J58">
        <v>91</v>
      </c>
      <c r="K58">
        <v>186</v>
      </c>
      <c r="L58">
        <v>489</v>
      </c>
      <c r="M58">
        <v>10</v>
      </c>
      <c r="N58">
        <v>120</v>
      </c>
      <c r="O58">
        <v>83</v>
      </c>
      <c r="P58">
        <v>41</v>
      </c>
      <c r="Q58">
        <v>95</v>
      </c>
      <c r="R58">
        <v>432</v>
      </c>
      <c r="S58">
        <v>830</v>
      </c>
      <c r="T58">
        <v>1330</v>
      </c>
      <c r="U58">
        <v>2160</v>
      </c>
      <c r="V58">
        <v>40</v>
      </c>
      <c r="W58">
        <v>440</v>
      </c>
      <c r="X58">
        <v>300</v>
      </c>
      <c r="Y58">
        <v>370</v>
      </c>
      <c r="Z58">
        <v>132</v>
      </c>
      <c r="AA58">
        <v>224</v>
      </c>
      <c r="AB58" t="s">
        <v>1311</v>
      </c>
    </row>
    <row r="59" spans="1:28" x14ac:dyDescent="0.3">
      <c r="A59">
        <v>200764</v>
      </c>
      <c r="B59" t="s">
        <v>1312</v>
      </c>
      <c r="C59">
        <v>0</v>
      </c>
      <c r="D59">
        <v>1610612752</v>
      </c>
      <c r="E59" t="s">
        <v>1248</v>
      </c>
      <c r="F59">
        <v>260</v>
      </c>
      <c r="G59">
        <v>3</v>
      </c>
      <c r="H59">
        <v>0</v>
      </c>
      <c r="I59">
        <v>180</v>
      </c>
      <c r="J59">
        <v>1</v>
      </c>
      <c r="K59">
        <v>4</v>
      </c>
      <c r="L59">
        <v>25</v>
      </c>
      <c r="M59">
        <v>10</v>
      </c>
      <c r="N59">
        <v>20</v>
      </c>
      <c r="O59">
        <v>5</v>
      </c>
      <c r="P59">
        <v>0</v>
      </c>
      <c r="Q59">
        <v>0</v>
      </c>
      <c r="R59">
        <v>0</v>
      </c>
      <c r="S59">
        <v>10</v>
      </c>
      <c r="T59">
        <v>20</v>
      </c>
      <c r="U59">
        <v>30</v>
      </c>
      <c r="V59">
        <v>0</v>
      </c>
      <c r="W59">
        <v>10</v>
      </c>
      <c r="X59">
        <v>0</v>
      </c>
      <c r="Y59">
        <v>10</v>
      </c>
      <c r="Z59">
        <v>4</v>
      </c>
      <c r="AA59">
        <v>3</v>
      </c>
      <c r="AB59" t="s">
        <v>1311</v>
      </c>
    </row>
    <row r="60" spans="1:28" x14ac:dyDescent="0.3">
      <c r="A60">
        <v>200764</v>
      </c>
      <c r="B60" t="s">
        <v>1290</v>
      </c>
      <c r="C60">
        <v>0</v>
      </c>
      <c r="D60">
        <v>1610612752</v>
      </c>
      <c r="E60" t="s">
        <v>1248</v>
      </c>
      <c r="F60">
        <v>270</v>
      </c>
      <c r="G60">
        <v>14</v>
      </c>
      <c r="H60">
        <v>0</v>
      </c>
      <c r="I60">
        <v>1150</v>
      </c>
      <c r="J60">
        <v>16</v>
      </c>
      <c r="K60">
        <v>32</v>
      </c>
      <c r="L60">
        <v>5</v>
      </c>
      <c r="M60">
        <v>20</v>
      </c>
      <c r="N60">
        <v>90</v>
      </c>
      <c r="O60">
        <v>222</v>
      </c>
      <c r="P60">
        <v>8</v>
      </c>
      <c r="Q60">
        <v>11</v>
      </c>
      <c r="R60">
        <v>727</v>
      </c>
      <c r="S60">
        <v>60</v>
      </c>
      <c r="T60">
        <v>200</v>
      </c>
      <c r="U60">
        <v>260</v>
      </c>
      <c r="V60">
        <v>5</v>
      </c>
      <c r="W60">
        <v>40</v>
      </c>
      <c r="X60">
        <v>30</v>
      </c>
      <c r="Y60">
        <v>60</v>
      </c>
      <c r="Z60">
        <v>14</v>
      </c>
      <c r="AA60">
        <v>42</v>
      </c>
      <c r="AB60" t="s">
        <v>1311</v>
      </c>
    </row>
    <row r="61" spans="1:28" x14ac:dyDescent="0.3">
      <c r="A61">
        <v>271</v>
      </c>
      <c r="B61" t="s">
        <v>1253</v>
      </c>
      <c r="C61">
        <v>0</v>
      </c>
      <c r="D61">
        <v>1610612752</v>
      </c>
      <c r="E61" t="s">
        <v>1248</v>
      </c>
      <c r="F61">
        <v>240</v>
      </c>
      <c r="G61">
        <v>77</v>
      </c>
      <c r="H61">
        <v>250</v>
      </c>
      <c r="I61">
        <v>15890</v>
      </c>
      <c r="J61">
        <v>270</v>
      </c>
      <c r="K61">
        <v>620</v>
      </c>
      <c r="L61">
        <v>435</v>
      </c>
      <c r="M61">
        <v>260</v>
      </c>
      <c r="N61">
        <v>930</v>
      </c>
      <c r="O61">
        <v>28</v>
      </c>
      <c r="P61">
        <v>207</v>
      </c>
      <c r="Q61">
        <v>246</v>
      </c>
      <c r="R61">
        <v>841</v>
      </c>
      <c r="S61">
        <v>870</v>
      </c>
      <c r="T61">
        <v>720</v>
      </c>
      <c r="U61">
        <v>1590</v>
      </c>
      <c r="V61">
        <v>62</v>
      </c>
      <c r="W61">
        <v>720</v>
      </c>
      <c r="X61">
        <v>110</v>
      </c>
      <c r="Y61">
        <v>1030</v>
      </c>
      <c r="Z61">
        <v>204</v>
      </c>
      <c r="AA61">
        <v>773</v>
      </c>
      <c r="AB61" t="s">
        <v>1313</v>
      </c>
    </row>
    <row r="62" spans="1:28" x14ac:dyDescent="0.3">
      <c r="A62">
        <v>271</v>
      </c>
      <c r="B62" t="s">
        <v>1268</v>
      </c>
      <c r="C62">
        <v>0</v>
      </c>
      <c r="D62">
        <v>1610612752</v>
      </c>
      <c r="E62" t="s">
        <v>1248</v>
      </c>
      <c r="F62">
        <v>250</v>
      </c>
      <c r="G62">
        <v>81</v>
      </c>
      <c r="H62">
        <v>800</v>
      </c>
      <c r="I62">
        <v>23360</v>
      </c>
      <c r="J62">
        <v>455</v>
      </c>
      <c r="K62">
        <v>957</v>
      </c>
      <c r="L62">
        <v>475</v>
      </c>
      <c r="M62">
        <v>970</v>
      </c>
      <c r="N62">
        <v>2870</v>
      </c>
      <c r="O62">
        <v>338</v>
      </c>
      <c r="P62">
        <v>286</v>
      </c>
      <c r="Q62">
        <v>351</v>
      </c>
      <c r="R62">
        <v>815</v>
      </c>
      <c r="S62">
        <v>930</v>
      </c>
      <c r="T62">
        <v>1130</v>
      </c>
      <c r="U62">
        <v>2060</v>
      </c>
      <c r="V62">
        <v>162</v>
      </c>
      <c r="W62">
        <v>1110</v>
      </c>
      <c r="X62">
        <v>230</v>
      </c>
      <c r="Y62">
        <v>1530</v>
      </c>
      <c r="Z62">
        <v>259</v>
      </c>
      <c r="AA62">
        <v>1293</v>
      </c>
      <c r="AB62" t="s">
        <v>1313</v>
      </c>
    </row>
    <row r="63" spans="1:28" x14ac:dyDescent="0.3">
      <c r="A63">
        <v>271</v>
      </c>
      <c r="B63" t="s">
        <v>1270</v>
      </c>
      <c r="C63">
        <v>0</v>
      </c>
      <c r="D63">
        <v>1610612752</v>
      </c>
      <c r="E63" t="s">
        <v>1248</v>
      </c>
      <c r="F63">
        <v>260</v>
      </c>
      <c r="G63">
        <v>80</v>
      </c>
      <c r="H63">
        <v>690</v>
      </c>
      <c r="I63">
        <v>22770</v>
      </c>
      <c r="J63">
        <v>374</v>
      </c>
      <c r="K63">
        <v>786</v>
      </c>
      <c r="L63">
        <v>476</v>
      </c>
      <c r="M63">
        <v>450</v>
      </c>
      <c r="N63">
        <v>1420</v>
      </c>
      <c r="O63">
        <v>317</v>
      </c>
      <c r="P63">
        <v>239</v>
      </c>
      <c r="Q63">
        <v>299</v>
      </c>
      <c r="R63">
        <v>799</v>
      </c>
      <c r="S63">
        <v>600</v>
      </c>
      <c r="T63">
        <v>1310</v>
      </c>
      <c r="U63">
        <v>1910</v>
      </c>
      <c r="V63">
        <v>180</v>
      </c>
      <c r="W63">
        <v>950</v>
      </c>
      <c r="X63">
        <v>220</v>
      </c>
      <c r="Y63">
        <v>1430</v>
      </c>
      <c r="Z63">
        <v>254</v>
      </c>
      <c r="AA63">
        <v>1032</v>
      </c>
      <c r="AB63" t="s">
        <v>1313</v>
      </c>
    </row>
    <row r="64" spans="1:28" x14ac:dyDescent="0.3">
      <c r="A64">
        <v>77710</v>
      </c>
      <c r="B64" t="s">
        <v>1284</v>
      </c>
      <c r="C64">
        <v>0</v>
      </c>
      <c r="D64">
        <v>1610612752</v>
      </c>
      <c r="E64" t="s">
        <v>1248</v>
      </c>
      <c r="F64">
        <v>330</v>
      </c>
      <c r="G64">
        <v>76</v>
      </c>
      <c r="H64">
        <v>320</v>
      </c>
      <c r="I64">
        <v>15070</v>
      </c>
      <c r="J64">
        <v>286</v>
      </c>
      <c r="K64">
        <v>615</v>
      </c>
      <c r="L64">
        <v>465</v>
      </c>
      <c r="M64">
        <v>70</v>
      </c>
      <c r="N64">
        <v>230</v>
      </c>
      <c r="O64">
        <v>304</v>
      </c>
      <c r="P64">
        <v>126</v>
      </c>
      <c r="Q64">
        <v>147</v>
      </c>
      <c r="R64">
        <v>857</v>
      </c>
      <c r="S64">
        <v>360</v>
      </c>
      <c r="T64">
        <v>550</v>
      </c>
      <c r="U64">
        <v>910</v>
      </c>
      <c r="V64">
        <v>170</v>
      </c>
      <c r="W64">
        <v>330</v>
      </c>
      <c r="X64">
        <v>30</v>
      </c>
      <c r="Y64">
        <v>1040</v>
      </c>
      <c r="Z64">
        <v>194</v>
      </c>
      <c r="AA64">
        <v>705</v>
      </c>
      <c r="AB64" t="s">
        <v>1314</v>
      </c>
    </row>
    <row r="65" spans="1:28" x14ac:dyDescent="0.3">
      <c r="A65">
        <v>76069</v>
      </c>
      <c r="B65" t="s">
        <v>1315</v>
      </c>
      <c r="C65">
        <v>0</v>
      </c>
      <c r="D65">
        <v>1610612752</v>
      </c>
      <c r="E65" t="s">
        <v>1248</v>
      </c>
      <c r="F65">
        <v>240</v>
      </c>
      <c r="G65">
        <v>25</v>
      </c>
      <c r="I65">
        <v>2880</v>
      </c>
      <c r="J65">
        <v>36</v>
      </c>
      <c r="K65">
        <v>88</v>
      </c>
      <c r="L65">
        <v>409</v>
      </c>
      <c r="P65">
        <v>21</v>
      </c>
      <c r="Q65">
        <v>27</v>
      </c>
      <c r="R65">
        <v>778</v>
      </c>
      <c r="U65">
        <v>420</v>
      </c>
      <c r="V65">
        <v>32</v>
      </c>
      <c r="Z65">
        <v>39</v>
      </c>
      <c r="AA65">
        <v>93</v>
      </c>
      <c r="AB65" t="s">
        <v>1316</v>
      </c>
    </row>
    <row r="66" spans="1:28" x14ac:dyDescent="0.3">
      <c r="A66">
        <v>1626254</v>
      </c>
      <c r="B66" t="s">
        <v>1281</v>
      </c>
      <c r="C66">
        <v>0</v>
      </c>
      <c r="D66">
        <v>1610612752</v>
      </c>
      <c r="E66" t="s">
        <v>1248</v>
      </c>
      <c r="F66">
        <v>250</v>
      </c>
      <c r="G66">
        <v>32</v>
      </c>
      <c r="H66">
        <v>40</v>
      </c>
      <c r="I66">
        <v>3310</v>
      </c>
      <c r="J66">
        <v>39</v>
      </c>
      <c r="K66">
        <v>86</v>
      </c>
      <c r="L66">
        <v>453</v>
      </c>
      <c r="M66">
        <v>10</v>
      </c>
      <c r="N66">
        <v>70</v>
      </c>
      <c r="O66">
        <v>143</v>
      </c>
      <c r="P66">
        <v>19</v>
      </c>
      <c r="Q66">
        <v>26</v>
      </c>
      <c r="R66">
        <v>731</v>
      </c>
      <c r="S66">
        <v>220</v>
      </c>
      <c r="T66">
        <v>420</v>
      </c>
      <c r="U66">
        <v>640</v>
      </c>
      <c r="V66">
        <v>8</v>
      </c>
      <c r="W66">
        <v>150</v>
      </c>
      <c r="X66">
        <v>80</v>
      </c>
      <c r="Y66">
        <v>120</v>
      </c>
      <c r="Z66">
        <v>30</v>
      </c>
      <c r="AA66">
        <v>98</v>
      </c>
      <c r="AB66" t="s">
        <v>1317</v>
      </c>
    </row>
    <row r="67" spans="1:28" x14ac:dyDescent="0.3">
      <c r="A67">
        <v>77693</v>
      </c>
      <c r="B67" t="s">
        <v>1318</v>
      </c>
      <c r="C67">
        <v>0</v>
      </c>
      <c r="D67">
        <v>1610612752</v>
      </c>
      <c r="E67" t="s">
        <v>1248</v>
      </c>
      <c r="F67">
        <v>220</v>
      </c>
      <c r="G67">
        <v>71</v>
      </c>
      <c r="I67">
        <v>17780</v>
      </c>
      <c r="J67">
        <v>293</v>
      </c>
      <c r="K67">
        <v>820</v>
      </c>
      <c r="L67">
        <v>357</v>
      </c>
      <c r="P67">
        <v>132</v>
      </c>
      <c r="Q67">
        <v>195</v>
      </c>
      <c r="R67">
        <v>677</v>
      </c>
      <c r="U67">
        <v>6170</v>
      </c>
      <c r="V67">
        <v>84</v>
      </c>
      <c r="Z67">
        <v>186</v>
      </c>
      <c r="AA67">
        <v>718</v>
      </c>
      <c r="AB67" t="s">
        <v>1319</v>
      </c>
    </row>
    <row r="68" spans="1:28" x14ac:dyDescent="0.3">
      <c r="A68">
        <v>77693</v>
      </c>
      <c r="B68" t="s">
        <v>1320</v>
      </c>
      <c r="C68">
        <v>0</v>
      </c>
      <c r="D68">
        <v>1610612752</v>
      </c>
      <c r="E68" t="s">
        <v>1248</v>
      </c>
      <c r="F68">
        <v>230</v>
      </c>
      <c r="G68">
        <v>68</v>
      </c>
      <c r="I68">
        <v>23690</v>
      </c>
      <c r="J68">
        <v>472</v>
      </c>
      <c r="K68">
        <v>1189</v>
      </c>
      <c r="L68">
        <v>397</v>
      </c>
      <c r="P68">
        <v>284</v>
      </c>
      <c r="Q68">
        <v>344</v>
      </c>
      <c r="R68">
        <v>826</v>
      </c>
      <c r="U68">
        <v>7990</v>
      </c>
      <c r="V68">
        <v>97</v>
      </c>
      <c r="Z68">
        <v>220</v>
      </c>
      <c r="AA68">
        <v>1228</v>
      </c>
      <c r="AB68" t="s">
        <v>1319</v>
      </c>
    </row>
    <row r="69" spans="1:28" x14ac:dyDescent="0.3">
      <c r="A69">
        <v>77693</v>
      </c>
      <c r="B69" t="s">
        <v>1250</v>
      </c>
      <c r="C69">
        <v>0</v>
      </c>
      <c r="D69">
        <v>1610612752</v>
      </c>
      <c r="E69" t="s">
        <v>1248</v>
      </c>
      <c r="F69">
        <v>240</v>
      </c>
      <c r="G69">
        <v>68</v>
      </c>
      <c r="I69">
        <v>20610</v>
      </c>
      <c r="J69">
        <v>405</v>
      </c>
      <c r="K69">
        <v>1072</v>
      </c>
      <c r="L69">
        <v>378</v>
      </c>
      <c r="P69">
        <v>258</v>
      </c>
      <c r="Q69">
        <v>311</v>
      </c>
      <c r="R69">
        <v>83</v>
      </c>
      <c r="U69">
        <v>7230</v>
      </c>
      <c r="V69">
        <v>102</v>
      </c>
      <c r="Z69">
        <v>233</v>
      </c>
      <c r="AA69">
        <v>1068</v>
      </c>
      <c r="AB69" t="s">
        <v>1319</v>
      </c>
    </row>
    <row r="70" spans="1:28" x14ac:dyDescent="0.3">
      <c r="A70">
        <v>77693</v>
      </c>
      <c r="B70" t="s">
        <v>1321</v>
      </c>
      <c r="C70">
        <v>0</v>
      </c>
      <c r="D70">
        <v>1610612752</v>
      </c>
      <c r="E70" t="s">
        <v>1248</v>
      </c>
      <c r="F70">
        <v>250</v>
      </c>
      <c r="G70">
        <v>65</v>
      </c>
      <c r="I70">
        <v>22500</v>
      </c>
      <c r="J70">
        <v>551</v>
      </c>
      <c r="K70">
        <v>1286</v>
      </c>
      <c r="L70">
        <v>428</v>
      </c>
      <c r="P70">
        <v>286</v>
      </c>
      <c r="Q70">
        <v>342</v>
      </c>
      <c r="R70">
        <v>836</v>
      </c>
      <c r="U70">
        <v>9210</v>
      </c>
      <c r="V70">
        <v>138</v>
      </c>
      <c r="Z70">
        <v>214</v>
      </c>
      <c r="AA70">
        <v>1388</v>
      </c>
      <c r="AB70" t="s">
        <v>1319</v>
      </c>
    </row>
    <row r="71" spans="1:28" x14ac:dyDescent="0.3">
      <c r="A71">
        <v>77693</v>
      </c>
      <c r="B71" t="s">
        <v>1322</v>
      </c>
      <c r="C71">
        <v>0</v>
      </c>
      <c r="D71">
        <v>1610612752</v>
      </c>
      <c r="E71" t="s">
        <v>1248</v>
      </c>
      <c r="F71">
        <v>260</v>
      </c>
      <c r="G71">
        <v>79</v>
      </c>
      <c r="I71">
        <v>29760</v>
      </c>
      <c r="J71">
        <v>737</v>
      </c>
      <c r="K71">
        <v>1723</v>
      </c>
      <c r="L71">
        <v>428</v>
      </c>
      <c r="P71">
        <v>372</v>
      </c>
      <c r="Q71">
        <v>456</v>
      </c>
      <c r="R71">
        <v>816</v>
      </c>
      <c r="U71">
        <v>10550</v>
      </c>
      <c r="V71">
        <v>191</v>
      </c>
      <c r="Z71">
        <v>268</v>
      </c>
      <c r="AA71">
        <v>1846</v>
      </c>
      <c r="AB71" t="s">
        <v>1319</v>
      </c>
    </row>
    <row r="72" spans="1:28" x14ac:dyDescent="0.3">
      <c r="A72">
        <v>77693</v>
      </c>
      <c r="B72" t="s">
        <v>1323</v>
      </c>
      <c r="C72">
        <v>0</v>
      </c>
      <c r="D72">
        <v>1610612752</v>
      </c>
      <c r="E72" t="s">
        <v>1248</v>
      </c>
      <c r="F72">
        <v>270</v>
      </c>
      <c r="G72">
        <v>75</v>
      </c>
      <c r="I72">
        <v>29780</v>
      </c>
      <c r="J72">
        <v>747</v>
      </c>
      <c r="K72">
        <v>1798</v>
      </c>
      <c r="L72">
        <v>415</v>
      </c>
      <c r="P72">
        <v>383</v>
      </c>
      <c r="Q72">
        <v>455</v>
      </c>
      <c r="R72">
        <v>842</v>
      </c>
      <c r="U72">
        <v>8670</v>
      </c>
      <c r="V72">
        <v>192</v>
      </c>
      <c r="Z72">
        <v>260</v>
      </c>
      <c r="AA72">
        <v>1877</v>
      </c>
      <c r="AB72" t="s">
        <v>1319</v>
      </c>
    </row>
    <row r="73" spans="1:28" x14ac:dyDescent="0.3">
      <c r="A73">
        <v>2853</v>
      </c>
      <c r="B73" t="s">
        <v>1305</v>
      </c>
      <c r="C73">
        <v>0</v>
      </c>
      <c r="D73">
        <v>1610612752</v>
      </c>
      <c r="E73" t="s">
        <v>1248</v>
      </c>
      <c r="F73">
        <v>280</v>
      </c>
      <c r="G73">
        <v>7</v>
      </c>
      <c r="H73">
        <v>60</v>
      </c>
      <c r="I73">
        <v>2320</v>
      </c>
      <c r="J73">
        <v>30</v>
      </c>
      <c r="K73">
        <v>68</v>
      </c>
      <c r="L73">
        <v>441</v>
      </c>
      <c r="M73">
        <v>0</v>
      </c>
      <c r="N73">
        <v>0</v>
      </c>
      <c r="O73">
        <v>0</v>
      </c>
      <c r="P73">
        <v>22</v>
      </c>
      <c r="Q73">
        <v>29</v>
      </c>
      <c r="R73">
        <v>759</v>
      </c>
      <c r="S73">
        <v>310</v>
      </c>
      <c r="T73">
        <v>460</v>
      </c>
      <c r="U73">
        <v>770</v>
      </c>
      <c r="V73">
        <v>8</v>
      </c>
      <c r="W73">
        <v>40</v>
      </c>
      <c r="X73">
        <v>40</v>
      </c>
      <c r="Y73">
        <v>110</v>
      </c>
      <c r="Z73">
        <v>24</v>
      </c>
      <c r="AA73">
        <v>82</v>
      </c>
      <c r="AB73" t="s">
        <v>1324</v>
      </c>
    </row>
    <row r="74" spans="1:28" x14ac:dyDescent="0.3">
      <c r="A74">
        <v>2853</v>
      </c>
      <c r="B74" t="s">
        <v>1292</v>
      </c>
      <c r="C74">
        <v>0</v>
      </c>
      <c r="D74">
        <v>1610612752</v>
      </c>
      <c r="E74" t="s">
        <v>1248</v>
      </c>
      <c r="F74">
        <v>310</v>
      </c>
      <c r="G74">
        <v>1</v>
      </c>
      <c r="H74">
        <v>10</v>
      </c>
      <c r="I74">
        <v>370</v>
      </c>
      <c r="J74">
        <v>5</v>
      </c>
      <c r="K74">
        <v>14</v>
      </c>
      <c r="L74">
        <v>357</v>
      </c>
      <c r="M74">
        <v>0</v>
      </c>
      <c r="N74">
        <v>0</v>
      </c>
      <c r="O74">
        <v>0</v>
      </c>
      <c r="P74">
        <v>1</v>
      </c>
      <c r="Q74">
        <v>2</v>
      </c>
      <c r="R74">
        <v>5</v>
      </c>
      <c r="S74">
        <v>60</v>
      </c>
      <c r="T74">
        <v>120</v>
      </c>
      <c r="U74">
        <v>180</v>
      </c>
      <c r="V74">
        <v>2</v>
      </c>
      <c r="W74">
        <v>0</v>
      </c>
      <c r="X74">
        <v>10</v>
      </c>
      <c r="Y74">
        <v>10</v>
      </c>
      <c r="Z74">
        <v>1</v>
      </c>
      <c r="AA74">
        <v>11</v>
      </c>
      <c r="AB74" t="s">
        <v>1324</v>
      </c>
    </row>
    <row r="75" spans="1:28" x14ac:dyDescent="0.3">
      <c r="A75">
        <v>1924</v>
      </c>
      <c r="B75" t="s">
        <v>1325</v>
      </c>
      <c r="C75">
        <v>0</v>
      </c>
      <c r="D75">
        <v>1610612752</v>
      </c>
      <c r="E75" t="s">
        <v>1248</v>
      </c>
      <c r="F75">
        <v>280</v>
      </c>
      <c r="G75">
        <v>38</v>
      </c>
      <c r="H75">
        <v>0</v>
      </c>
      <c r="I75">
        <v>4060</v>
      </c>
      <c r="J75">
        <v>84</v>
      </c>
      <c r="K75">
        <v>190</v>
      </c>
      <c r="L75">
        <v>442</v>
      </c>
      <c r="M75">
        <v>0</v>
      </c>
      <c r="N75">
        <v>10</v>
      </c>
      <c r="O75">
        <v>0</v>
      </c>
      <c r="P75">
        <v>42</v>
      </c>
      <c r="Q75">
        <v>51</v>
      </c>
      <c r="R75">
        <v>824</v>
      </c>
      <c r="S75">
        <v>320</v>
      </c>
      <c r="T75">
        <v>380</v>
      </c>
      <c r="U75">
        <v>700</v>
      </c>
      <c r="V75">
        <v>26</v>
      </c>
      <c r="W75">
        <v>60</v>
      </c>
      <c r="X75">
        <v>30</v>
      </c>
      <c r="Y75">
        <v>320</v>
      </c>
      <c r="Z75">
        <v>46</v>
      </c>
      <c r="AA75">
        <v>210</v>
      </c>
      <c r="AB75" t="s">
        <v>1326</v>
      </c>
    </row>
    <row r="76" spans="1:28" x14ac:dyDescent="0.3">
      <c r="A76">
        <v>1629004</v>
      </c>
      <c r="B76" t="s">
        <v>1327</v>
      </c>
      <c r="C76">
        <v>0</v>
      </c>
      <c r="D76">
        <v>1610612752</v>
      </c>
      <c r="E76" t="s">
        <v>1248</v>
      </c>
      <c r="F76">
        <v>260</v>
      </c>
      <c r="G76">
        <v>13</v>
      </c>
      <c r="H76">
        <v>0</v>
      </c>
      <c r="I76">
        <v>400</v>
      </c>
      <c r="J76">
        <v>6</v>
      </c>
      <c r="K76">
        <v>12</v>
      </c>
      <c r="L76">
        <v>5</v>
      </c>
      <c r="M76">
        <v>60</v>
      </c>
      <c r="N76">
        <v>100</v>
      </c>
      <c r="O76">
        <v>6</v>
      </c>
      <c r="P76">
        <v>3</v>
      </c>
      <c r="Q76">
        <v>5</v>
      </c>
      <c r="R76">
        <v>6</v>
      </c>
      <c r="S76">
        <v>0</v>
      </c>
      <c r="T76">
        <v>70</v>
      </c>
      <c r="U76">
        <v>70</v>
      </c>
      <c r="V76">
        <v>1</v>
      </c>
      <c r="W76">
        <v>10</v>
      </c>
      <c r="X76">
        <v>0</v>
      </c>
      <c r="Y76">
        <v>20</v>
      </c>
      <c r="Z76">
        <v>1</v>
      </c>
      <c r="AA76">
        <v>21</v>
      </c>
      <c r="AB76" t="s">
        <v>1328</v>
      </c>
    </row>
    <row r="77" spans="1:28" x14ac:dyDescent="0.3">
      <c r="A77">
        <v>147</v>
      </c>
      <c r="B77" t="s">
        <v>1300</v>
      </c>
      <c r="C77">
        <v>0</v>
      </c>
      <c r="D77">
        <v>1610612752</v>
      </c>
      <c r="E77" t="s">
        <v>1248</v>
      </c>
      <c r="F77">
        <v>330</v>
      </c>
      <c r="G77">
        <v>26</v>
      </c>
      <c r="H77">
        <v>230</v>
      </c>
      <c r="I77">
        <v>7460</v>
      </c>
      <c r="J77">
        <v>110</v>
      </c>
      <c r="K77">
        <v>239</v>
      </c>
      <c r="L77">
        <v>46</v>
      </c>
      <c r="M77">
        <v>280</v>
      </c>
      <c r="N77">
        <v>570</v>
      </c>
      <c r="O77">
        <v>491</v>
      </c>
      <c r="P77">
        <v>82</v>
      </c>
      <c r="Q77">
        <v>101</v>
      </c>
      <c r="R77">
        <v>812</v>
      </c>
      <c r="S77">
        <v>130</v>
      </c>
      <c r="T77">
        <v>690</v>
      </c>
      <c r="U77">
        <v>820</v>
      </c>
      <c r="V77">
        <v>68</v>
      </c>
      <c r="W77">
        <v>100</v>
      </c>
      <c r="X77">
        <v>30</v>
      </c>
      <c r="Y77">
        <v>500</v>
      </c>
      <c r="Z77">
        <v>55</v>
      </c>
      <c r="AA77">
        <v>330</v>
      </c>
      <c r="AB77" t="s">
        <v>1329</v>
      </c>
    </row>
    <row r="78" spans="1:28" x14ac:dyDescent="0.3">
      <c r="A78">
        <v>1683</v>
      </c>
      <c r="B78" t="s">
        <v>1330</v>
      </c>
      <c r="C78">
        <v>0</v>
      </c>
      <c r="D78">
        <v>1610612752</v>
      </c>
      <c r="E78" t="s">
        <v>1248</v>
      </c>
      <c r="F78">
        <v>340</v>
      </c>
      <c r="G78">
        <v>2</v>
      </c>
      <c r="H78">
        <v>0</v>
      </c>
      <c r="I78">
        <v>110</v>
      </c>
      <c r="J78">
        <v>1</v>
      </c>
      <c r="K78">
        <v>4</v>
      </c>
      <c r="L78">
        <v>25</v>
      </c>
      <c r="M78">
        <v>10</v>
      </c>
      <c r="N78">
        <v>20</v>
      </c>
      <c r="O78">
        <v>5</v>
      </c>
      <c r="P78">
        <v>0</v>
      </c>
      <c r="Q78">
        <v>0</v>
      </c>
      <c r="R78">
        <v>0</v>
      </c>
      <c r="S78">
        <v>0</v>
      </c>
      <c r="T78">
        <v>20</v>
      </c>
      <c r="U78">
        <v>20</v>
      </c>
      <c r="V78">
        <v>0</v>
      </c>
      <c r="W78">
        <v>0</v>
      </c>
      <c r="X78">
        <v>0</v>
      </c>
      <c r="Y78">
        <v>0</v>
      </c>
      <c r="Z78">
        <v>1</v>
      </c>
      <c r="AA78">
        <v>3</v>
      </c>
      <c r="AB78" t="s">
        <v>1331</v>
      </c>
    </row>
    <row r="79" spans="1:28" x14ac:dyDescent="0.3">
      <c r="A79">
        <v>939</v>
      </c>
      <c r="B79" t="s">
        <v>1268</v>
      </c>
      <c r="C79">
        <v>0</v>
      </c>
      <c r="D79">
        <v>1610612752</v>
      </c>
      <c r="E79" t="s">
        <v>1248</v>
      </c>
      <c r="F79">
        <v>250</v>
      </c>
      <c r="G79">
        <v>29</v>
      </c>
      <c r="H79">
        <v>0</v>
      </c>
      <c r="I79">
        <v>2300</v>
      </c>
      <c r="J79">
        <v>25</v>
      </c>
      <c r="K79">
        <v>61</v>
      </c>
      <c r="L79">
        <v>41</v>
      </c>
      <c r="M79">
        <v>0</v>
      </c>
      <c r="N79">
        <v>20</v>
      </c>
      <c r="O79">
        <v>0</v>
      </c>
      <c r="P79">
        <v>31</v>
      </c>
      <c r="Q79">
        <v>44</v>
      </c>
      <c r="R79">
        <v>705</v>
      </c>
      <c r="S79">
        <v>120</v>
      </c>
      <c r="T79">
        <v>110</v>
      </c>
      <c r="U79">
        <v>230</v>
      </c>
      <c r="V79">
        <v>46</v>
      </c>
      <c r="W79">
        <v>170</v>
      </c>
      <c r="X79">
        <v>20</v>
      </c>
      <c r="Y79">
        <v>190</v>
      </c>
      <c r="Z79">
        <v>41</v>
      </c>
      <c r="AA79">
        <v>81</v>
      </c>
      <c r="AB79" t="s">
        <v>1332</v>
      </c>
    </row>
    <row r="80" spans="1:28" x14ac:dyDescent="0.3">
      <c r="A80">
        <v>939</v>
      </c>
      <c r="B80" t="s">
        <v>1270</v>
      </c>
      <c r="C80">
        <v>0</v>
      </c>
      <c r="D80">
        <v>1610612752</v>
      </c>
      <c r="E80" t="s">
        <v>1248</v>
      </c>
      <c r="F80">
        <v>260</v>
      </c>
      <c r="G80">
        <v>24</v>
      </c>
      <c r="H80">
        <v>0</v>
      </c>
      <c r="I80">
        <v>2080</v>
      </c>
      <c r="J80">
        <v>15</v>
      </c>
      <c r="K80">
        <v>45</v>
      </c>
      <c r="L80">
        <v>333</v>
      </c>
      <c r="M80">
        <v>0</v>
      </c>
      <c r="N80">
        <v>10</v>
      </c>
      <c r="O80">
        <v>0</v>
      </c>
      <c r="P80">
        <v>16</v>
      </c>
      <c r="Q80">
        <v>31</v>
      </c>
      <c r="R80">
        <v>516</v>
      </c>
      <c r="S80">
        <v>100</v>
      </c>
      <c r="T80">
        <v>180</v>
      </c>
      <c r="U80">
        <v>280</v>
      </c>
      <c r="V80">
        <v>35</v>
      </c>
      <c r="W80">
        <v>150</v>
      </c>
      <c r="X80">
        <v>20</v>
      </c>
      <c r="Y80">
        <v>180</v>
      </c>
      <c r="Z80">
        <v>39</v>
      </c>
      <c r="AA80">
        <v>46</v>
      </c>
      <c r="AB80" t="s">
        <v>1332</v>
      </c>
    </row>
    <row r="81" spans="1:28" x14ac:dyDescent="0.3">
      <c r="A81">
        <v>939</v>
      </c>
      <c r="B81" t="s">
        <v>1278</v>
      </c>
      <c r="C81">
        <v>0</v>
      </c>
      <c r="D81">
        <v>1610612752</v>
      </c>
      <c r="E81" t="s">
        <v>1248</v>
      </c>
      <c r="F81">
        <v>340</v>
      </c>
      <c r="G81">
        <v>9</v>
      </c>
      <c r="H81">
        <v>0</v>
      </c>
      <c r="I81">
        <v>400</v>
      </c>
      <c r="J81">
        <v>5</v>
      </c>
      <c r="K81">
        <v>10</v>
      </c>
      <c r="L81">
        <v>5</v>
      </c>
      <c r="M81">
        <v>0</v>
      </c>
      <c r="N81">
        <v>0</v>
      </c>
      <c r="O81">
        <v>0</v>
      </c>
      <c r="P81">
        <v>4</v>
      </c>
      <c r="Q81">
        <v>6</v>
      </c>
      <c r="R81">
        <v>667</v>
      </c>
      <c r="S81">
        <v>50</v>
      </c>
      <c r="T81">
        <v>50</v>
      </c>
      <c r="U81">
        <v>100</v>
      </c>
      <c r="V81">
        <v>3</v>
      </c>
      <c r="W81">
        <v>40</v>
      </c>
      <c r="X81">
        <v>0</v>
      </c>
      <c r="Y81">
        <v>40</v>
      </c>
      <c r="Z81">
        <v>7</v>
      </c>
      <c r="AA81">
        <v>14</v>
      </c>
      <c r="AB81" t="s">
        <v>1332</v>
      </c>
    </row>
    <row r="82" spans="1:28" x14ac:dyDescent="0.3">
      <c r="A82">
        <v>78200</v>
      </c>
      <c r="B82" t="s">
        <v>1284</v>
      </c>
      <c r="C82">
        <v>0</v>
      </c>
      <c r="D82">
        <v>1610612752</v>
      </c>
      <c r="E82" t="s">
        <v>1248</v>
      </c>
      <c r="F82">
        <v>330</v>
      </c>
      <c r="G82">
        <v>82</v>
      </c>
      <c r="H82">
        <v>400</v>
      </c>
      <c r="I82">
        <v>20330</v>
      </c>
      <c r="J82">
        <v>348</v>
      </c>
      <c r="K82">
        <v>748</v>
      </c>
      <c r="L82">
        <v>465</v>
      </c>
      <c r="M82">
        <v>30</v>
      </c>
      <c r="N82">
        <v>110</v>
      </c>
      <c r="O82">
        <v>273</v>
      </c>
      <c r="P82">
        <v>122</v>
      </c>
      <c r="Q82">
        <v>151</v>
      </c>
      <c r="R82">
        <v>808</v>
      </c>
      <c r="S82">
        <v>530</v>
      </c>
      <c r="T82">
        <v>1020</v>
      </c>
      <c r="U82">
        <v>1550</v>
      </c>
      <c r="V82">
        <v>255</v>
      </c>
      <c r="W82">
        <v>910</v>
      </c>
      <c r="X82">
        <v>10</v>
      </c>
      <c r="Y82">
        <v>1240</v>
      </c>
      <c r="Z82">
        <v>199</v>
      </c>
      <c r="AA82">
        <v>821</v>
      </c>
      <c r="AB82" t="s">
        <v>1333</v>
      </c>
    </row>
    <row r="83" spans="1:28" x14ac:dyDescent="0.3">
      <c r="A83">
        <v>87</v>
      </c>
      <c r="B83" t="s">
        <v>1293</v>
      </c>
      <c r="C83">
        <v>0</v>
      </c>
      <c r="D83">
        <v>1610612752</v>
      </c>
      <c r="E83" t="s">
        <v>1248</v>
      </c>
      <c r="F83">
        <v>380</v>
      </c>
      <c r="G83">
        <v>65</v>
      </c>
      <c r="H83">
        <v>560</v>
      </c>
      <c r="I83">
        <v>14970</v>
      </c>
      <c r="J83">
        <v>141</v>
      </c>
      <c r="K83">
        <v>295</v>
      </c>
      <c r="L83">
        <v>478</v>
      </c>
      <c r="M83">
        <v>0</v>
      </c>
      <c r="N83">
        <v>0</v>
      </c>
      <c r="O83">
        <v>0</v>
      </c>
      <c r="P83">
        <v>81</v>
      </c>
      <c r="Q83">
        <v>119</v>
      </c>
      <c r="R83">
        <v>681</v>
      </c>
      <c r="S83">
        <v>1450</v>
      </c>
      <c r="T83">
        <v>2920</v>
      </c>
      <c r="U83">
        <v>4370</v>
      </c>
      <c r="V83">
        <v>25</v>
      </c>
      <c r="W83">
        <v>170</v>
      </c>
      <c r="X83">
        <v>1230</v>
      </c>
      <c r="Y83">
        <v>540</v>
      </c>
      <c r="Z83">
        <v>141</v>
      </c>
      <c r="AA83">
        <v>363</v>
      </c>
      <c r="AB83" t="s">
        <v>1334</v>
      </c>
    </row>
    <row r="84" spans="1:28" x14ac:dyDescent="0.3">
      <c r="A84">
        <v>1710</v>
      </c>
      <c r="B84" t="s">
        <v>1290</v>
      </c>
      <c r="C84">
        <v>0</v>
      </c>
      <c r="D84">
        <v>1610612752</v>
      </c>
      <c r="E84" t="s">
        <v>1248</v>
      </c>
      <c r="F84">
        <v>340</v>
      </c>
      <c r="G84">
        <v>39</v>
      </c>
      <c r="H84">
        <v>40</v>
      </c>
      <c r="I84">
        <v>5570</v>
      </c>
      <c r="J84">
        <v>35</v>
      </c>
      <c r="K84">
        <v>124</v>
      </c>
      <c r="L84">
        <v>282</v>
      </c>
      <c r="M84">
        <v>270</v>
      </c>
      <c r="N84">
        <v>850</v>
      </c>
      <c r="O84">
        <v>318</v>
      </c>
      <c r="P84">
        <v>6</v>
      </c>
      <c r="Q84">
        <v>8</v>
      </c>
      <c r="R84">
        <v>75</v>
      </c>
      <c r="S84">
        <v>50</v>
      </c>
      <c r="T84">
        <v>540</v>
      </c>
      <c r="U84">
        <v>590</v>
      </c>
      <c r="V84">
        <v>80</v>
      </c>
      <c r="W84">
        <v>210</v>
      </c>
      <c r="X84">
        <v>30</v>
      </c>
      <c r="Y84">
        <v>200</v>
      </c>
      <c r="Z84">
        <v>45</v>
      </c>
      <c r="AA84">
        <v>103</v>
      </c>
      <c r="AB84" t="s">
        <v>1335</v>
      </c>
    </row>
    <row r="85" spans="1:28" x14ac:dyDescent="0.3">
      <c r="A85">
        <v>1054</v>
      </c>
      <c r="B85" t="s">
        <v>1271</v>
      </c>
      <c r="C85">
        <v>0</v>
      </c>
      <c r="D85">
        <v>1610612752</v>
      </c>
      <c r="E85" t="s">
        <v>1248</v>
      </c>
      <c r="F85">
        <v>210</v>
      </c>
      <c r="G85">
        <v>62</v>
      </c>
      <c r="H85">
        <v>50</v>
      </c>
      <c r="I85">
        <v>8250</v>
      </c>
      <c r="J85">
        <v>106</v>
      </c>
      <c r="K85">
        <v>228</v>
      </c>
      <c r="L85">
        <v>465</v>
      </c>
      <c r="M85">
        <v>0</v>
      </c>
      <c r="N85">
        <v>10</v>
      </c>
      <c r="O85">
        <v>0</v>
      </c>
      <c r="P85">
        <v>56</v>
      </c>
      <c r="Q85">
        <v>87</v>
      </c>
      <c r="R85">
        <v>644</v>
      </c>
      <c r="S85">
        <v>510</v>
      </c>
      <c r="T85">
        <v>1180</v>
      </c>
      <c r="U85">
        <v>1690</v>
      </c>
      <c r="V85">
        <v>36</v>
      </c>
      <c r="W85">
        <v>150</v>
      </c>
      <c r="X85">
        <v>140</v>
      </c>
      <c r="Y85">
        <v>610</v>
      </c>
      <c r="Z85">
        <v>109</v>
      </c>
      <c r="AA85">
        <v>268</v>
      </c>
      <c r="AB85" t="s">
        <v>1336</v>
      </c>
    </row>
    <row r="86" spans="1:28" x14ac:dyDescent="0.3">
      <c r="A86">
        <v>203315</v>
      </c>
      <c r="B86" t="s">
        <v>1337</v>
      </c>
      <c r="C86">
        <v>0</v>
      </c>
      <c r="D86">
        <v>1610612752</v>
      </c>
      <c r="E86" t="s">
        <v>1248</v>
      </c>
      <c r="F86">
        <v>240</v>
      </c>
      <c r="G86">
        <v>51</v>
      </c>
      <c r="H86">
        <v>0</v>
      </c>
      <c r="I86">
        <v>3720</v>
      </c>
      <c r="J86">
        <v>56</v>
      </c>
      <c r="K86">
        <v>129</v>
      </c>
      <c r="L86">
        <v>434</v>
      </c>
      <c r="M86">
        <v>50</v>
      </c>
      <c r="N86">
        <v>120</v>
      </c>
      <c r="O86">
        <v>417</v>
      </c>
      <c r="P86">
        <v>23</v>
      </c>
      <c r="Q86">
        <v>39</v>
      </c>
      <c r="R86">
        <v>59</v>
      </c>
      <c r="S86">
        <v>130</v>
      </c>
      <c r="T86">
        <v>310</v>
      </c>
      <c r="U86">
        <v>440</v>
      </c>
      <c r="V86">
        <v>49</v>
      </c>
      <c r="W86">
        <v>190</v>
      </c>
      <c r="X86">
        <v>10</v>
      </c>
      <c r="Y86">
        <v>340</v>
      </c>
      <c r="Z86">
        <v>46</v>
      </c>
      <c r="AA86">
        <v>140</v>
      </c>
      <c r="AB86" t="s">
        <v>1338</v>
      </c>
    </row>
    <row r="87" spans="1:28" x14ac:dyDescent="0.3">
      <c r="A87">
        <v>77671</v>
      </c>
      <c r="B87" t="s">
        <v>1339</v>
      </c>
      <c r="C87">
        <v>0</v>
      </c>
      <c r="D87">
        <v>1610612752</v>
      </c>
      <c r="E87" t="s">
        <v>1248</v>
      </c>
      <c r="F87">
        <v>220</v>
      </c>
      <c r="G87">
        <v>9</v>
      </c>
      <c r="I87">
        <v>0</v>
      </c>
      <c r="J87">
        <v>8</v>
      </c>
      <c r="K87">
        <v>25</v>
      </c>
      <c r="L87">
        <v>32</v>
      </c>
      <c r="P87">
        <v>8</v>
      </c>
      <c r="Q87">
        <v>12</v>
      </c>
      <c r="R87">
        <v>667</v>
      </c>
      <c r="U87">
        <v>0</v>
      </c>
      <c r="V87">
        <v>0</v>
      </c>
      <c r="Z87">
        <v>3</v>
      </c>
      <c r="AA87">
        <v>24</v>
      </c>
      <c r="AB87" t="s">
        <v>1340</v>
      </c>
    </row>
    <row r="88" spans="1:28" x14ac:dyDescent="0.3">
      <c r="A88">
        <v>77672</v>
      </c>
      <c r="B88" t="s">
        <v>1339</v>
      </c>
      <c r="C88">
        <v>0</v>
      </c>
      <c r="D88">
        <v>1610612752</v>
      </c>
      <c r="E88" t="s">
        <v>1248</v>
      </c>
      <c r="F88">
        <v>260</v>
      </c>
      <c r="G88">
        <v>24</v>
      </c>
      <c r="I88">
        <v>0</v>
      </c>
      <c r="J88">
        <v>14</v>
      </c>
      <c r="K88">
        <v>58</v>
      </c>
      <c r="L88">
        <v>241</v>
      </c>
      <c r="P88">
        <v>4</v>
      </c>
      <c r="Q88">
        <v>5</v>
      </c>
      <c r="R88">
        <v>8</v>
      </c>
      <c r="U88">
        <v>0</v>
      </c>
      <c r="V88">
        <v>5</v>
      </c>
      <c r="Z88">
        <v>9</v>
      </c>
      <c r="AA88">
        <v>32</v>
      </c>
      <c r="AB88" t="s">
        <v>1341</v>
      </c>
    </row>
    <row r="89" spans="1:28" x14ac:dyDescent="0.3">
      <c r="A89">
        <v>200745</v>
      </c>
      <c r="B89" t="s">
        <v>1337</v>
      </c>
      <c r="C89">
        <v>0</v>
      </c>
      <c r="D89">
        <v>1610612752</v>
      </c>
      <c r="E89" t="s">
        <v>1248</v>
      </c>
      <c r="F89">
        <v>280</v>
      </c>
      <c r="G89">
        <v>42</v>
      </c>
      <c r="H89">
        <v>390</v>
      </c>
      <c r="I89">
        <v>12570</v>
      </c>
      <c r="J89">
        <v>222</v>
      </c>
      <c r="K89">
        <v>502</v>
      </c>
      <c r="L89">
        <v>442</v>
      </c>
      <c r="M89">
        <v>300</v>
      </c>
      <c r="N89">
        <v>1080</v>
      </c>
      <c r="O89">
        <v>278</v>
      </c>
      <c r="P89">
        <v>84</v>
      </c>
      <c r="Q89">
        <v>102</v>
      </c>
      <c r="R89">
        <v>824</v>
      </c>
      <c r="S89">
        <v>690</v>
      </c>
      <c r="T89">
        <v>1530</v>
      </c>
      <c r="U89">
        <v>2220</v>
      </c>
      <c r="V89">
        <v>45</v>
      </c>
      <c r="W89">
        <v>140</v>
      </c>
      <c r="X89">
        <v>520</v>
      </c>
      <c r="Y89">
        <v>580</v>
      </c>
      <c r="Z89">
        <v>100</v>
      </c>
      <c r="AA89">
        <v>558</v>
      </c>
      <c r="AB89" t="s">
        <v>1342</v>
      </c>
    </row>
    <row r="90" spans="1:28" x14ac:dyDescent="0.3">
      <c r="A90">
        <v>200745</v>
      </c>
      <c r="B90" t="s">
        <v>1343</v>
      </c>
      <c r="C90">
        <v>0</v>
      </c>
      <c r="D90">
        <v>1610612752</v>
      </c>
      <c r="E90" t="s">
        <v>1248</v>
      </c>
      <c r="F90">
        <v>290</v>
      </c>
      <c r="G90">
        <v>29</v>
      </c>
      <c r="H90">
        <v>220</v>
      </c>
      <c r="I90">
        <v>7850</v>
      </c>
      <c r="J90">
        <v>164</v>
      </c>
      <c r="K90">
        <v>361</v>
      </c>
      <c r="L90">
        <v>454</v>
      </c>
      <c r="M90">
        <v>150</v>
      </c>
      <c r="N90">
        <v>410</v>
      </c>
      <c r="O90">
        <v>366</v>
      </c>
      <c r="P90">
        <v>87</v>
      </c>
      <c r="Q90">
        <v>107</v>
      </c>
      <c r="R90">
        <v>813</v>
      </c>
      <c r="S90">
        <v>320</v>
      </c>
      <c r="T90">
        <v>950</v>
      </c>
      <c r="U90">
        <v>1270</v>
      </c>
      <c r="V90">
        <v>46</v>
      </c>
      <c r="W90">
        <v>20</v>
      </c>
      <c r="X90">
        <v>270</v>
      </c>
      <c r="Y90">
        <v>420</v>
      </c>
      <c r="Z90">
        <v>53</v>
      </c>
      <c r="AA90">
        <v>430</v>
      </c>
      <c r="AB90" t="s">
        <v>1342</v>
      </c>
    </row>
    <row r="91" spans="1:28" x14ac:dyDescent="0.3">
      <c r="A91">
        <v>77660</v>
      </c>
      <c r="B91" t="s">
        <v>1339</v>
      </c>
      <c r="C91">
        <v>0</v>
      </c>
      <c r="D91">
        <v>1610612752</v>
      </c>
      <c r="E91" t="s">
        <v>1248</v>
      </c>
      <c r="F91">
        <v>240</v>
      </c>
      <c r="G91">
        <v>26</v>
      </c>
      <c r="I91">
        <v>0</v>
      </c>
      <c r="J91">
        <v>27</v>
      </c>
      <c r="K91">
        <v>104</v>
      </c>
      <c r="L91">
        <v>26</v>
      </c>
      <c r="P91">
        <v>22</v>
      </c>
      <c r="Q91">
        <v>34</v>
      </c>
      <c r="R91">
        <v>647</v>
      </c>
      <c r="U91">
        <v>0</v>
      </c>
      <c r="V91">
        <v>18</v>
      </c>
      <c r="Z91">
        <v>32</v>
      </c>
      <c r="AA91">
        <v>76</v>
      </c>
      <c r="AB91" t="s">
        <v>1344</v>
      </c>
    </row>
    <row r="92" spans="1:28" x14ac:dyDescent="0.3">
      <c r="A92">
        <v>1626144</v>
      </c>
      <c r="B92" t="s">
        <v>1259</v>
      </c>
      <c r="C92">
        <v>0</v>
      </c>
      <c r="D92">
        <v>1610612752</v>
      </c>
      <c r="E92" t="s">
        <v>1248</v>
      </c>
      <c r="F92">
        <v>220</v>
      </c>
      <c r="G92">
        <v>22</v>
      </c>
      <c r="H92">
        <v>140</v>
      </c>
      <c r="I92">
        <v>4930</v>
      </c>
      <c r="J92">
        <v>75</v>
      </c>
      <c r="K92">
        <v>204</v>
      </c>
      <c r="L92">
        <v>368</v>
      </c>
      <c r="M92">
        <v>90</v>
      </c>
      <c r="N92">
        <v>460</v>
      </c>
      <c r="O92">
        <v>196</v>
      </c>
      <c r="P92">
        <v>35</v>
      </c>
      <c r="Q92">
        <v>51</v>
      </c>
      <c r="R92">
        <v>686</v>
      </c>
      <c r="S92">
        <v>100</v>
      </c>
      <c r="T92">
        <v>480</v>
      </c>
      <c r="U92">
        <v>580</v>
      </c>
      <c r="V92">
        <v>85</v>
      </c>
      <c r="W92">
        <v>200</v>
      </c>
      <c r="X92">
        <v>70</v>
      </c>
      <c r="Y92">
        <v>410</v>
      </c>
      <c r="Z92">
        <v>33</v>
      </c>
      <c r="AA92">
        <v>194</v>
      </c>
      <c r="AB92" t="s">
        <v>1345</v>
      </c>
    </row>
    <row r="93" spans="1:28" x14ac:dyDescent="0.3">
      <c r="A93">
        <v>1626144</v>
      </c>
      <c r="B93" t="s">
        <v>1287</v>
      </c>
      <c r="C93">
        <v>0</v>
      </c>
      <c r="D93">
        <v>1610612752</v>
      </c>
      <c r="E93" t="s">
        <v>1248</v>
      </c>
      <c r="F93">
        <v>230</v>
      </c>
      <c r="G93">
        <v>59</v>
      </c>
      <c r="H93">
        <v>420</v>
      </c>
      <c r="I93">
        <v>16070</v>
      </c>
      <c r="J93">
        <v>330</v>
      </c>
      <c r="K93">
        <v>740</v>
      </c>
      <c r="L93">
        <v>446</v>
      </c>
      <c r="M93">
        <v>690</v>
      </c>
      <c r="N93">
        <v>2100</v>
      </c>
      <c r="O93">
        <v>329</v>
      </c>
      <c r="P93">
        <v>144</v>
      </c>
      <c r="Q93">
        <v>186</v>
      </c>
      <c r="R93">
        <v>774</v>
      </c>
      <c r="S93">
        <v>330</v>
      </c>
      <c r="T93">
        <v>1630</v>
      </c>
      <c r="U93">
        <v>1960</v>
      </c>
      <c r="V93">
        <v>228</v>
      </c>
      <c r="W93">
        <v>430</v>
      </c>
      <c r="X93">
        <v>190</v>
      </c>
      <c r="Y93">
        <v>1400</v>
      </c>
      <c r="Z93">
        <v>103</v>
      </c>
      <c r="AA93">
        <v>873</v>
      </c>
      <c r="AB93" t="s">
        <v>1345</v>
      </c>
    </row>
    <row r="94" spans="1:28" x14ac:dyDescent="0.3">
      <c r="A94">
        <v>202389</v>
      </c>
      <c r="B94" t="s">
        <v>1312</v>
      </c>
      <c r="C94">
        <v>0</v>
      </c>
      <c r="D94">
        <v>1610612752</v>
      </c>
      <c r="E94" t="s">
        <v>1248</v>
      </c>
      <c r="F94">
        <v>240</v>
      </c>
      <c r="G94">
        <v>34</v>
      </c>
      <c r="H94">
        <v>140</v>
      </c>
      <c r="I94">
        <v>4580</v>
      </c>
      <c r="J94">
        <v>52</v>
      </c>
      <c r="K94">
        <v>112</v>
      </c>
      <c r="L94">
        <v>464</v>
      </c>
      <c r="M94">
        <v>0</v>
      </c>
      <c r="N94">
        <v>0</v>
      </c>
      <c r="O94">
        <v>0</v>
      </c>
      <c r="P94">
        <v>31</v>
      </c>
      <c r="Q94">
        <v>44</v>
      </c>
      <c r="R94">
        <v>705</v>
      </c>
      <c r="S94">
        <v>410</v>
      </c>
      <c r="T94">
        <v>630</v>
      </c>
      <c r="U94">
        <v>1040</v>
      </c>
      <c r="V94">
        <v>15</v>
      </c>
      <c r="W94">
        <v>140</v>
      </c>
      <c r="X94">
        <v>230</v>
      </c>
      <c r="Y94">
        <v>320</v>
      </c>
      <c r="Z94">
        <v>76</v>
      </c>
      <c r="AA94">
        <v>135</v>
      </c>
      <c r="AB94" t="s">
        <v>1346</v>
      </c>
    </row>
    <row r="95" spans="1:28" x14ac:dyDescent="0.3">
      <c r="A95">
        <v>203085</v>
      </c>
      <c r="B95" t="s">
        <v>1289</v>
      </c>
      <c r="C95">
        <v>0</v>
      </c>
      <c r="D95">
        <v>1610612752</v>
      </c>
      <c r="E95" t="s">
        <v>1248</v>
      </c>
      <c r="F95">
        <v>280</v>
      </c>
      <c r="G95">
        <v>21</v>
      </c>
      <c r="H95">
        <v>20</v>
      </c>
      <c r="I95">
        <v>4420</v>
      </c>
      <c r="J95">
        <v>58</v>
      </c>
      <c r="K95">
        <v>135</v>
      </c>
      <c r="L95">
        <v>43</v>
      </c>
      <c r="M95">
        <v>280</v>
      </c>
      <c r="N95">
        <v>770</v>
      </c>
      <c r="O95">
        <v>364</v>
      </c>
      <c r="P95">
        <v>10</v>
      </c>
      <c r="Q95">
        <v>14</v>
      </c>
      <c r="R95">
        <v>714</v>
      </c>
      <c r="S95">
        <v>50</v>
      </c>
      <c r="T95">
        <v>420</v>
      </c>
      <c r="U95">
        <v>470</v>
      </c>
      <c r="V95">
        <v>42</v>
      </c>
      <c r="W95">
        <v>120</v>
      </c>
      <c r="X95">
        <v>0</v>
      </c>
      <c r="Y95">
        <v>220</v>
      </c>
      <c r="Z95">
        <v>32</v>
      </c>
      <c r="AA95">
        <v>154</v>
      </c>
      <c r="AB95" t="s">
        <v>1347</v>
      </c>
    </row>
    <row r="96" spans="1:28" x14ac:dyDescent="0.3">
      <c r="A96">
        <v>202694</v>
      </c>
      <c r="B96" t="s">
        <v>1288</v>
      </c>
      <c r="C96">
        <v>0</v>
      </c>
      <c r="D96">
        <v>1610612752</v>
      </c>
      <c r="E96" t="s">
        <v>1248</v>
      </c>
      <c r="F96">
        <v>300</v>
      </c>
      <c r="G96">
        <v>43</v>
      </c>
      <c r="H96">
        <v>430</v>
      </c>
      <c r="I96">
        <v>13870</v>
      </c>
      <c r="J96">
        <v>281</v>
      </c>
      <c r="K96">
        <v>636</v>
      </c>
      <c r="L96">
        <v>442</v>
      </c>
      <c r="M96">
        <v>1160</v>
      </c>
      <c r="N96">
        <v>2640</v>
      </c>
      <c r="O96">
        <v>439</v>
      </c>
      <c r="P96">
        <v>163</v>
      </c>
      <c r="Q96">
        <v>198</v>
      </c>
      <c r="R96">
        <v>823</v>
      </c>
      <c r="S96">
        <v>480</v>
      </c>
      <c r="T96">
        <v>1850</v>
      </c>
      <c r="U96">
        <v>2330</v>
      </c>
      <c r="V96">
        <v>59</v>
      </c>
      <c r="W96">
        <v>340</v>
      </c>
      <c r="X96">
        <v>170</v>
      </c>
      <c r="Y96">
        <v>730</v>
      </c>
      <c r="Z96">
        <v>128</v>
      </c>
      <c r="AA96">
        <v>841</v>
      </c>
      <c r="AB96" t="s">
        <v>1348</v>
      </c>
    </row>
    <row r="97" spans="1:28" x14ac:dyDescent="0.3">
      <c r="A97">
        <v>78075</v>
      </c>
      <c r="B97" t="s">
        <v>1349</v>
      </c>
      <c r="C97">
        <v>0</v>
      </c>
      <c r="D97">
        <v>1610612752</v>
      </c>
      <c r="E97" t="s">
        <v>1248</v>
      </c>
      <c r="F97">
        <v>280</v>
      </c>
      <c r="G97">
        <v>67</v>
      </c>
      <c r="I97">
        <v>15150</v>
      </c>
      <c r="J97">
        <v>161</v>
      </c>
      <c r="K97">
        <v>415</v>
      </c>
      <c r="L97">
        <v>388</v>
      </c>
      <c r="P97">
        <v>153</v>
      </c>
      <c r="Q97">
        <v>195</v>
      </c>
      <c r="R97">
        <v>785</v>
      </c>
      <c r="U97">
        <v>2670</v>
      </c>
      <c r="V97">
        <v>109</v>
      </c>
      <c r="Z97">
        <v>176</v>
      </c>
      <c r="AA97">
        <v>475</v>
      </c>
      <c r="AB97" t="s">
        <v>1350</v>
      </c>
    </row>
    <row r="98" spans="1:28" x14ac:dyDescent="0.3">
      <c r="A98">
        <v>201043</v>
      </c>
      <c r="B98" t="s">
        <v>1302</v>
      </c>
      <c r="C98">
        <v>0</v>
      </c>
      <c r="D98">
        <v>1610612752</v>
      </c>
      <c r="E98" t="s">
        <v>1248</v>
      </c>
      <c r="F98">
        <v>210</v>
      </c>
      <c r="G98">
        <v>5</v>
      </c>
      <c r="H98">
        <v>0</v>
      </c>
      <c r="I98">
        <v>440</v>
      </c>
      <c r="J98">
        <v>1</v>
      </c>
      <c r="K98">
        <v>6</v>
      </c>
      <c r="L98">
        <v>167</v>
      </c>
      <c r="M98">
        <v>0</v>
      </c>
      <c r="N98">
        <v>0</v>
      </c>
      <c r="O98">
        <v>0</v>
      </c>
      <c r="P98">
        <v>2</v>
      </c>
      <c r="Q98">
        <v>6</v>
      </c>
      <c r="R98">
        <v>333</v>
      </c>
      <c r="S98">
        <v>10</v>
      </c>
      <c r="T98">
        <v>80</v>
      </c>
      <c r="U98">
        <v>90</v>
      </c>
      <c r="V98">
        <v>1</v>
      </c>
      <c r="W98">
        <v>20</v>
      </c>
      <c r="X98">
        <v>10</v>
      </c>
      <c r="Y98">
        <v>20</v>
      </c>
      <c r="Z98">
        <v>4</v>
      </c>
      <c r="AA98">
        <v>4</v>
      </c>
      <c r="AB98" t="s">
        <v>1351</v>
      </c>
    </row>
    <row r="99" spans="1:28" x14ac:dyDescent="0.3">
      <c r="A99">
        <v>201043</v>
      </c>
      <c r="B99" t="s">
        <v>1303</v>
      </c>
      <c r="C99">
        <v>0</v>
      </c>
      <c r="D99">
        <v>1610612752</v>
      </c>
      <c r="E99" t="s">
        <v>1248</v>
      </c>
      <c r="F99">
        <v>220</v>
      </c>
      <c r="G99">
        <v>18</v>
      </c>
      <c r="H99">
        <v>20</v>
      </c>
      <c r="I99">
        <v>1810</v>
      </c>
      <c r="J99">
        <v>21</v>
      </c>
      <c r="K99">
        <v>58</v>
      </c>
      <c r="L99">
        <v>362</v>
      </c>
      <c r="M99">
        <v>0</v>
      </c>
      <c r="N99">
        <v>0</v>
      </c>
      <c r="O99">
        <v>0</v>
      </c>
      <c r="P99">
        <v>14</v>
      </c>
      <c r="Q99">
        <v>29</v>
      </c>
      <c r="R99">
        <v>483</v>
      </c>
      <c r="S99">
        <v>120</v>
      </c>
      <c r="T99">
        <v>250</v>
      </c>
      <c r="U99">
        <v>370</v>
      </c>
      <c r="V99">
        <v>2</v>
      </c>
      <c r="W99">
        <v>40</v>
      </c>
      <c r="X99">
        <v>20</v>
      </c>
      <c r="Y99">
        <v>90</v>
      </c>
      <c r="Z99">
        <v>37</v>
      </c>
      <c r="AA99">
        <v>56</v>
      </c>
      <c r="AB99" t="s">
        <v>1351</v>
      </c>
    </row>
    <row r="100" spans="1:28" x14ac:dyDescent="0.3">
      <c r="A100">
        <v>201235</v>
      </c>
      <c r="B100" t="s">
        <v>1304</v>
      </c>
      <c r="C100">
        <v>0</v>
      </c>
      <c r="D100">
        <v>1610612752</v>
      </c>
      <c r="E100" t="s">
        <v>1248</v>
      </c>
      <c r="F100">
        <v>250</v>
      </c>
      <c r="G100">
        <v>1</v>
      </c>
      <c r="H100">
        <v>0</v>
      </c>
      <c r="I100">
        <v>110</v>
      </c>
      <c r="J100">
        <v>3</v>
      </c>
      <c r="K100">
        <v>6</v>
      </c>
      <c r="L100">
        <v>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20</v>
      </c>
      <c r="T100">
        <v>20</v>
      </c>
      <c r="U100">
        <v>40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6</v>
      </c>
      <c r="AB100" t="s">
        <v>1352</v>
      </c>
    </row>
    <row r="101" spans="1:28" x14ac:dyDescent="0.3">
      <c r="A101">
        <v>1629760</v>
      </c>
      <c r="B101" t="s">
        <v>1308</v>
      </c>
      <c r="C101">
        <v>0</v>
      </c>
      <c r="D101">
        <v>1610612752</v>
      </c>
      <c r="E101" t="s">
        <v>1248</v>
      </c>
      <c r="F101">
        <v>270</v>
      </c>
      <c r="G101">
        <v>1</v>
      </c>
      <c r="H101">
        <v>0</v>
      </c>
      <c r="I101">
        <v>20</v>
      </c>
      <c r="J101">
        <v>0</v>
      </c>
      <c r="K101">
        <v>1</v>
      </c>
      <c r="L101">
        <v>0</v>
      </c>
      <c r="M101">
        <v>0</v>
      </c>
      <c r="N101">
        <v>10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10</v>
      </c>
      <c r="X101">
        <v>0</v>
      </c>
      <c r="Y101">
        <v>10</v>
      </c>
      <c r="Z101">
        <v>0</v>
      </c>
      <c r="AA101">
        <v>0</v>
      </c>
      <c r="AB101" t="s">
        <v>1353</v>
      </c>
    </row>
    <row r="102" spans="1:28" x14ac:dyDescent="0.3">
      <c r="A102">
        <v>600006</v>
      </c>
      <c r="B102" t="s">
        <v>1354</v>
      </c>
      <c r="C102">
        <v>0</v>
      </c>
      <c r="D102">
        <v>1610612752</v>
      </c>
      <c r="E102" t="s">
        <v>1248</v>
      </c>
      <c r="F102">
        <v>270</v>
      </c>
      <c r="G102">
        <v>60</v>
      </c>
      <c r="I102">
        <v>12340</v>
      </c>
      <c r="J102">
        <v>261</v>
      </c>
      <c r="K102">
        <v>598</v>
      </c>
      <c r="L102">
        <v>436</v>
      </c>
      <c r="P102">
        <v>162</v>
      </c>
      <c r="Q102">
        <v>206</v>
      </c>
      <c r="R102">
        <v>786</v>
      </c>
      <c r="U102">
        <v>920</v>
      </c>
      <c r="V102">
        <v>132</v>
      </c>
      <c r="Z102">
        <v>130</v>
      </c>
      <c r="AA102">
        <v>684</v>
      </c>
      <c r="AB102" t="s">
        <v>1355</v>
      </c>
    </row>
    <row r="103" spans="1:28" x14ac:dyDescent="0.3">
      <c r="A103">
        <v>600006</v>
      </c>
      <c r="B103" t="s">
        <v>1356</v>
      </c>
      <c r="C103">
        <v>0</v>
      </c>
      <c r="D103">
        <v>1610612752</v>
      </c>
      <c r="E103" t="s">
        <v>1248</v>
      </c>
      <c r="F103">
        <v>280</v>
      </c>
      <c r="G103">
        <v>75</v>
      </c>
      <c r="I103">
        <v>23700</v>
      </c>
      <c r="J103">
        <v>496</v>
      </c>
      <c r="K103">
        <v>1016</v>
      </c>
      <c r="L103">
        <v>488</v>
      </c>
      <c r="P103">
        <v>171</v>
      </c>
      <c r="Q103">
        <v>208</v>
      </c>
      <c r="R103">
        <v>822</v>
      </c>
      <c r="U103">
        <v>2450</v>
      </c>
      <c r="V103">
        <v>288</v>
      </c>
      <c r="Z103">
        <v>195</v>
      </c>
      <c r="AA103">
        <v>1163</v>
      </c>
      <c r="AB103" t="s">
        <v>1355</v>
      </c>
    </row>
    <row r="104" spans="1:28" x14ac:dyDescent="0.3">
      <c r="A104">
        <v>600006</v>
      </c>
      <c r="B104" t="s">
        <v>1357</v>
      </c>
      <c r="C104">
        <v>0</v>
      </c>
      <c r="D104">
        <v>1610612752</v>
      </c>
      <c r="E104" t="s">
        <v>1248</v>
      </c>
      <c r="F104">
        <v>290</v>
      </c>
      <c r="G104">
        <v>41</v>
      </c>
      <c r="I104">
        <v>11940</v>
      </c>
      <c r="J104">
        <v>240</v>
      </c>
      <c r="K104">
        <v>513</v>
      </c>
      <c r="L104">
        <v>468</v>
      </c>
      <c r="P104">
        <v>93</v>
      </c>
      <c r="Q104">
        <v>113</v>
      </c>
      <c r="R104">
        <v>823</v>
      </c>
      <c r="S104">
        <v>220</v>
      </c>
      <c r="T104">
        <v>990</v>
      </c>
      <c r="U104">
        <v>1210</v>
      </c>
      <c r="V104">
        <v>110</v>
      </c>
      <c r="W104">
        <v>340</v>
      </c>
      <c r="X104">
        <v>190</v>
      </c>
      <c r="Z104">
        <v>97</v>
      </c>
      <c r="AA104">
        <v>573</v>
      </c>
      <c r="AB104" t="s">
        <v>1355</v>
      </c>
    </row>
    <row r="105" spans="1:28" x14ac:dyDescent="0.3">
      <c r="A105">
        <v>600006</v>
      </c>
      <c r="B105" t="s">
        <v>1358</v>
      </c>
      <c r="C105">
        <v>0</v>
      </c>
      <c r="D105">
        <v>1610612752</v>
      </c>
      <c r="E105" t="s">
        <v>1248</v>
      </c>
      <c r="F105">
        <v>300</v>
      </c>
      <c r="G105">
        <v>78</v>
      </c>
      <c r="I105">
        <v>28140</v>
      </c>
      <c r="J105">
        <v>668</v>
      </c>
      <c r="K105">
        <v>1462</v>
      </c>
      <c r="L105">
        <v>457</v>
      </c>
      <c r="P105">
        <v>297</v>
      </c>
      <c r="Q105">
        <v>359</v>
      </c>
      <c r="R105">
        <v>827</v>
      </c>
      <c r="S105">
        <v>560</v>
      </c>
      <c r="T105">
        <v>2710</v>
      </c>
      <c r="U105">
        <v>3270</v>
      </c>
      <c r="V105">
        <v>270</v>
      </c>
      <c r="W105">
        <v>1080</v>
      </c>
      <c r="X105">
        <v>290</v>
      </c>
      <c r="Z105">
        <v>200</v>
      </c>
      <c r="AA105">
        <v>1633</v>
      </c>
      <c r="AB105" t="s">
        <v>1355</v>
      </c>
    </row>
    <row r="106" spans="1:28" x14ac:dyDescent="0.3">
      <c r="A106">
        <v>600006</v>
      </c>
      <c r="B106" t="s">
        <v>1261</v>
      </c>
      <c r="C106">
        <v>0</v>
      </c>
      <c r="D106">
        <v>1610612752</v>
      </c>
      <c r="E106" t="s">
        <v>1248</v>
      </c>
      <c r="F106">
        <v>310</v>
      </c>
      <c r="G106">
        <v>76</v>
      </c>
      <c r="I106">
        <v>28890</v>
      </c>
      <c r="J106">
        <v>647</v>
      </c>
      <c r="K106">
        <v>1354</v>
      </c>
      <c r="L106">
        <v>478</v>
      </c>
      <c r="P106">
        <v>280</v>
      </c>
      <c r="Q106">
        <v>356</v>
      </c>
      <c r="R106">
        <v>787</v>
      </c>
      <c r="S106">
        <v>480</v>
      </c>
      <c r="T106">
        <v>2250</v>
      </c>
      <c r="U106">
        <v>2730</v>
      </c>
      <c r="V106">
        <v>304</v>
      </c>
      <c r="W106">
        <v>1110</v>
      </c>
      <c r="X106">
        <v>220</v>
      </c>
      <c r="Z106">
        <v>209</v>
      </c>
      <c r="AA106">
        <v>1574</v>
      </c>
      <c r="AB106" t="s">
        <v>1355</v>
      </c>
    </row>
    <row r="107" spans="1:28" x14ac:dyDescent="0.3">
      <c r="A107">
        <v>600006</v>
      </c>
      <c r="B107" t="s">
        <v>1263</v>
      </c>
      <c r="C107">
        <v>0</v>
      </c>
      <c r="D107">
        <v>1610612752</v>
      </c>
      <c r="E107" t="s">
        <v>1248</v>
      </c>
      <c r="F107">
        <v>320</v>
      </c>
      <c r="G107">
        <v>77</v>
      </c>
      <c r="I107">
        <v>26560</v>
      </c>
      <c r="J107">
        <v>613</v>
      </c>
      <c r="K107">
        <v>1185</v>
      </c>
      <c r="L107">
        <v>517</v>
      </c>
      <c r="P107">
        <v>307</v>
      </c>
      <c r="Q107">
        <v>366</v>
      </c>
      <c r="R107">
        <v>839</v>
      </c>
      <c r="S107">
        <v>450</v>
      </c>
      <c r="T107">
        <v>1780</v>
      </c>
      <c r="U107">
        <v>2230</v>
      </c>
      <c r="V107">
        <v>366</v>
      </c>
      <c r="W107">
        <v>910</v>
      </c>
      <c r="X107">
        <v>230</v>
      </c>
      <c r="Z107">
        <v>197</v>
      </c>
      <c r="AA107">
        <v>1533</v>
      </c>
      <c r="AB107" t="s">
        <v>1355</v>
      </c>
    </row>
    <row r="108" spans="1:28" x14ac:dyDescent="0.3">
      <c r="A108">
        <v>600006</v>
      </c>
      <c r="B108" t="s">
        <v>1264</v>
      </c>
      <c r="C108">
        <v>0</v>
      </c>
      <c r="D108">
        <v>1610612752</v>
      </c>
      <c r="E108" t="s">
        <v>1248</v>
      </c>
      <c r="F108">
        <v>330</v>
      </c>
      <c r="G108">
        <v>76</v>
      </c>
      <c r="I108">
        <v>23690</v>
      </c>
      <c r="J108">
        <v>556</v>
      </c>
      <c r="K108">
        <v>1123</v>
      </c>
      <c r="L108">
        <v>495</v>
      </c>
      <c r="P108">
        <v>242</v>
      </c>
      <c r="Q108">
        <v>291</v>
      </c>
      <c r="R108">
        <v>832</v>
      </c>
      <c r="S108">
        <v>470</v>
      </c>
      <c r="T108">
        <v>1350</v>
      </c>
      <c r="U108">
        <v>1820</v>
      </c>
      <c r="V108">
        <v>361</v>
      </c>
      <c r="W108">
        <v>600</v>
      </c>
      <c r="X108">
        <v>190</v>
      </c>
      <c r="Y108">
        <v>1790</v>
      </c>
      <c r="Z108">
        <v>189</v>
      </c>
      <c r="AA108">
        <v>1354</v>
      </c>
      <c r="AB108" t="s">
        <v>1355</v>
      </c>
    </row>
    <row r="109" spans="1:28" x14ac:dyDescent="0.3">
      <c r="A109">
        <v>600006</v>
      </c>
      <c r="B109" t="s">
        <v>1265</v>
      </c>
      <c r="C109">
        <v>0</v>
      </c>
      <c r="D109">
        <v>1610612752</v>
      </c>
      <c r="E109" t="s">
        <v>1248</v>
      </c>
      <c r="F109">
        <v>340</v>
      </c>
      <c r="G109">
        <v>64</v>
      </c>
      <c r="I109">
        <v>13930</v>
      </c>
      <c r="J109">
        <v>329</v>
      </c>
      <c r="K109">
        <v>699</v>
      </c>
      <c r="L109">
        <v>471</v>
      </c>
      <c r="P109">
        <v>129</v>
      </c>
      <c r="Q109">
        <v>154</v>
      </c>
      <c r="R109">
        <v>838</v>
      </c>
      <c r="S109">
        <v>260</v>
      </c>
      <c r="T109">
        <v>480</v>
      </c>
      <c r="U109">
        <v>740</v>
      </c>
      <c r="V109">
        <v>189</v>
      </c>
      <c r="W109">
        <v>480</v>
      </c>
      <c r="X109">
        <v>60</v>
      </c>
      <c r="Y109">
        <v>980</v>
      </c>
      <c r="Z109">
        <v>123</v>
      </c>
      <c r="AA109">
        <v>787</v>
      </c>
      <c r="AB109" t="s">
        <v>1355</v>
      </c>
    </row>
    <row r="110" spans="1:28" x14ac:dyDescent="0.3">
      <c r="A110">
        <v>600006</v>
      </c>
      <c r="B110" t="s">
        <v>1359</v>
      </c>
      <c r="C110">
        <v>0</v>
      </c>
      <c r="D110">
        <v>1610612752</v>
      </c>
      <c r="E110" t="s">
        <v>1248</v>
      </c>
      <c r="F110">
        <v>350</v>
      </c>
      <c r="G110">
        <v>51</v>
      </c>
      <c r="I110">
        <v>6330</v>
      </c>
      <c r="J110">
        <v>161</v>
      </c>
      <c r="K110">
        <v>352</v>
      </c>
      <c r="L110">
        <v>457</v>
      </c>
      <c r="M110">
        <v>0</v>
      </c>
      <c r="N110">
        <v>0</v>
      </c>
      <c r="P110">
        <v>56</v>
      </c>
      <c r="Q110">
        <v>64</v>
      </c>
      <c r="R110">
        <v>875</v>
      </c>
      <c r="S110">
        <v>160</v>
      </c>
      <c r="T110">
        <v>200</v>
      </c>
      <c r="U110">
        <v>360</v>
      </c>
      <c r="V110">
        <v>67</v>
      </c>
      <c r="W110">
        <v>210</v>
      </c>
      <c r="X110">
        <v>30</v>
      </c>
      <c r="Y110">
        <v>280</v>
      </c>
      <c r="Z110">
        <v>46</v>
      </c>
      <c r="AA110">
        <v>378</v>
      </c>
      <c r="AB110" t="s">
        <v>1355</v>
      </c>
    </row>
    <row r="111" spans="1:28" x14ac:dyDescent="0.3">
      <c r="A111">
        <v>77625</v>
      </c>
      <c r="B111" t="s">
        <v>1360</v>
      </c>
      <c r="C111">
        <v>0</v>
      </c>
      <c r="D111">
        <v>1610612752</v>
      </c>
      <c r="E111" t="s">
        <v>1248</v>
      </c>
      <c r="F111">
        <v>240</v>
      </c>
      <c r="G111">
        <v>13</v>
      </c>
      <c r="I111">
        <v>750</v>
      </c>
      <c r="J111">
        <v>19</v>
      </c>
      <c r="K111">
        <v>51</v>
      </c>
      <c r="L111">
        <v>373</v>
      </c>
      <c r="P111">
        <v>7</v>
      </c>
      <c r="Q111">
        <v>13</v>
      </c>
      <c r="R111">
        <v>538</v>
      </c>
      <c r="U111">
        <v>220</v>
      </c>
      <c r="V111">
        <v>2</v>
      </c>
      <c r="Z111">
        <v>9</v>
      </c>
      <c r="AA111">
        <v>45</v>
      </c>
      <c r="AB111" t="s">
        <v>1361</v>
      </c>
    </row>
    <row r="112" spans="1:28" x14ac:dyDescent="0.3">
      <c r="A112">
        <v>76049</v>
      </c>
      <c r="B112" t="s">
        <v>1362</v>
      </c>
      <c r="C112">
        <v>0</v>
      </c>
      <c r="D112">
        <v>1610612752</v>
      </c>
      <c r="E112" t="s">
        <v>1248</v>
      </c>
      <c r="F112">
        <v>240</v>
      </c>
      <c r="G112">
        <v>1</v>
      </c>
      <c r="I112">
        <v>100</v>
      </c>
      <c r="J112">
        <v>0</v>
      </c>
      <c r="K112">
        <v>4</v>
      </c>
      <c r="L112">
        <v>0</v>
      </c>
      <c r="P112">
        <v>3</v>
      </c>
      <c r="Q112">
        <v>4</v>
      </c>
      <c r="R112">
        <v>75</v>
      </c>
      <c r="U112">
        <v>20</v>
      </c>
      <c r="V112">
        <v>0</v>
      </c>
      <c r="Z112">
        <v>0</v>
      </c>
      <c r="AA112">
        <v>3</v>
      </c>
      <c r="AB112" t="s">
        <v>1363</v>
      </c>
    </row>
    <row r="113" spans="1:28" x14ac:dyDescent="0.3">
      <c r="A113">
        <v>1737</v>
      </c>
      <c r="B113" t="s">
        <v>1293</v>
      </c>
      <c r="C113">
        <v>0</v>
      </c>
      <c r="D113">
        <v>1610612752</v>
      </c>
      <c r="E113" t="s">
        <v>1248</v>
      </c>
      <c r="F113">
        <v>260</v>
      </c>
      <c r="G113">
        <v>27</v>
      </c>
      <c r="H113">
        <v>230</v>
      </c>
      <c r="I113">
        <v>6730</v>
      </c>
      <c r="J113">
        <v>108</v>
      </c>
      <c r="K113">
        <v>192</v>
      </c>
      <c r="L113">
        <v>563</v>
      </c>
      <c r="M113">
        <v>0</v>
      </c>
      <c r="N113">
        <v>0</v>
      </c>
      <c r="O113">
        <v>0</v>
      </c>
      <c r="P113">
        <v>31</v>
      </c>
      <c r="Q113">
        <v>59</v>
      </c>
      <c r="R113">
        <v>525</v>
      </c>
      <c r="S113">
        <v>770</v>
      </c>
      <c r="T113">
        <v>1300</v>
      </c>
      <c r="U113">
        <v>2070</v>
      </c>
      <c r="V113">
        <v>16</v>
      </c>
      <c r="W113">
        <v>330</v>
      </c>
      <c r="X113">
        <v>250</v>
      </c>
      <c r="Y113">
        <v>410</v>
      </c>
      <c r="Z113">
        <v>82</v>
      </c>
      <c r="AA113">
        <v>247</v>
      </c>
      <c r="AB113" t="s">
        <v>1364</v>
      </c>
    </row>
    <row r="114" spans="1:28" x14ac:dyDescent="0.3">
      <c r="A114">
        <v>1737</v>
      </c>
      <c r="B114" t="s">
        <v>1295</v>
      </c>
      <c r="C114">
        <v>0</v>
      </c>
      <c r="D114">
        <v>1610612752</v>
      </c>
      <c r="E114" t="s">
        <v>1248</v>
      </c>
      <c r="F114">
        <v>270</v>
      </c>
      <c r="G114">
        <v>54</v>
      </c>
      <c r="H114">
        <v>540</v>
      </c>
      <c r="I114">
        <v>15190</v>
      </c>
      <c r="J114">
        <v>234</v>
      </c>
      <c r="K114">
        <v>460</v>
      </c>
      <c r="L114">
        <v>509</v>
      </c>
      <c r="M114">
        <v>0</v>
      </c>
      <c r="N114">
        <v>10</v>
      </c>
      <c r="O114">
        <v>0</v>
      </c>
      <c r="P114">
        <v>121</v>
      </c>
      <c r="Q114">
        <v>171</v>
      </c>
      <c r="R114">
        <v>708</v>
      </c>
      <c r="S114">
        <v>1690</v>
      </c>
      <c r="T114">
        <v>2700</v>
      </c>
      <c r="U114">
        <v>4390</v>
      </c>
      <c r="V114">
        <v>26</v>
      </c>
      <c r="W114">
        <v>530</v>
      </c>
      <c r="X114">
        <v>530</v>
      </c>
      <c r="Y114">
        <v>810</v>
      </c>
      <c r="Z114">
        <v>172</v>
      </c>
      <c r="AA114">
        <v>589</v>
      </c>
      <c r="AB114" t="s">
        <v>1364</v>
      </c>
    </row>
    <row r="115" spans="1:28" x14ac:dyDescent="0.3">
      <c r="A115">
        <v>78036</v>
      </c>
      <c r="B115" t="s">
        <v>1265</v>
      </c>
      <c r="C115">
        <v>0</v>
      </c>
      <c r="D115">
        <v>1610612752</v>
      </c>
      <c r="E115" t="s">
        <v>1248</v>
      </c>
      <c r="F115">
        <v>230</v>
      </c>
      <c r="G115">
        <v>58</v>
      </c>
      <c r="I115">
        <v>7230</v>
      </c>
      <c r="J115">
        <v>59</v>
      </c>
      <c r="K115">
        <v>133</v>
      </c>
      <c r="L115">
        <v>444</v>
      </c>
      <c r="P115">
        <v>66</v>
      </c>
      <c r="Q115">
        <v>93</v>
      </c>
      <c r="R115">
        <v>71</v>
      </c>
      <c r="S115">
        <v>690</v>
      </c>
      <c r="T115">
        <v>980</v>
      </c>
      <c r="U115">
        <v>1670</v>
      </c>
      <c r="V115">
        <v>35</v>
      </c>
      <c r="W115">
        <v>170</v>
      </c>
      <c r="X115">
        <v>80</v>
      </c>
      <c r="Y115">
        <v>590</v>
      </c>
      <c r="Z115">
        <v>95</v>
      </c>
      <c r="AA115">
        <v>184</v>
      </c>
      <c r="AB115" t="s">
        <v>1365</v>
      </c>
    </row>
    <row r="116" spans="1:28" x14ac:dyDescent="0.3">
      <c r="A116">
        <v>77613</v>
      </c>
      <c r="B116" t="s">
        <v>1297</v>
      </c>
      <c r="C116">
        <v>0</v>
      </c>
      <c r="D116">
        <v>1610612752</v>
      </c>
      <c r="E116" t="s">
        <v>1248</v>
      </c>
      <c r="F116">
        <v>240</v>
      </c>
      <c r="G116">
        <v>3</v>
      </c>
      <c r="J116">
        <v>3</v>
      </c>
      <c r="K116">
        <v>13</v>
      </c>
      <c r="L116">
        <v>231</v>
      </c>
      <c r="P116">
        <v>1</v>
      </c>
      <c r="Q116">
        <v>3</v>
      </c>
      <c r="R116">
        <v>333</v>
      </c>
      <c r="V116">
        <v>0</v>
      </c>
      <c r="Z116">
        <v>7</v>
      </c>
      <c r="AA116">
        <v>7</v>
      </c>
      <c r="AB116" t="s">
        <v>1366</v>
      </c>
    </row>
    <row r="117" spans="1:28" x14ac:dyDescent="0.3">
      <c r="A117">
        <v>78078</v>
      </c>
      <c r="B117" t="s">
        <v>1339</v>
      </c>
      <c r="C117">
        <v>0</v>
      </c>
      <c r="D117">
        <v>1610612752</v>
      </c>
      <c r="E117" t="s">
        <v>1248</v>
      </c>
      <c r="F117">
        <v>280</v>
      </c>
      <c r="G117">
        <v>54</v>
      </c>
      <c r="J117">
        <v>162</v>
      </c>
      <c r="K117">
        <v>588</v>
      </c>
      <c r="L117">
        <v>276</v>
      </c>
      <c r="P117">
        <v>111</v>
      </c>
      <c r="Q117">
        <v>179</v>
      </c>
      <c r="R117">
        <v>62</v>
      </c>
      <c r="V117">
        <v>109</v>
      </c>
      <c r="Z117">
        <v>115</v>
      </c>
      <c r="AA117">
        <v>435</v>
      </c>
      <c r="AB117" t="s">
        <v>1367</v>
      </c>
    </row>
    <row r="118" spans="1:28" x14ac:dyDescent="0.3">
      <c r="A118">
        <v>2772</v>
      </c>
      <c r="B118" t="s">
        <v>1295</v>
      </c>
      <c r="C118">
        <v>0</v>
      </c>
      <c r="D118">
        <v>1610612752</v>
      </c>
      <c r="E118" t="s">
        <v>1248</v>
      </c>
      <c r="F118">
        <v>200</v>
      </c>
      <c r="G118">
        <v>80</v>
      </c>
      <c r="H118">
        <v>120</v>
      </c>
      <c r="I118">
        <v>13850</v>
      </c>
      <c r="J118">
        <v>172</v>
      </c>
      <c r="K118">
        <v>389</v>
      </c>
      <c r="L118">
        <v>442</v>
      </c>
      <c r="M118">
        <v>30</v>
      </c>
      <c r="N118">
        <v>130</v>
      </c>
      <c r="O118">
        <v>231</v>
      </c>
      <c r="P118">
        <v>121</v>
      </c>
      <c r="Q118">
        <v>174</v>
      </c>
      <c r="R118">
        <v>695</v>
      </c>
      <c r="S118">
        <v>890</v>
      </c>
      <c r="T118">
        <v>1530</v>
      </c>
      <c r="U118">
        <v>2420</v>
      </c>
      <c r="V118">
        <v>85</v>
      </c>
      <c r="W118">
        <v>700</v>
      </c>
      <c r="X118">
        <v>180</v>
      </c>
      <c r="Y118">
        <v>730</v>
      </c>
      <c r="Z118">
        <v>150</v>
      </c>
      <c r="AA118">
        <v>468</v>
      </c>
      <c r="AB118" t="s">
        <v>1368</v>
      </c>
    </row>
    <row r="119" spans="1:28" x14ac:dyDescent="0.3">
      <c r="A119">
        <v>2772</v>
      </c>
      <c r="B119" t="s">
        <v>1300</v>
      </c>
      <c r="C119">
        <v>0</v>
      </c>
      <c r="D119">
        <v>1610612752</v>
      </c>
      <c r="E119" t="s">
        <v>1248</v>
      </c>
      <c r="F119">
        <v>200</v>
      </c>
      <c r="G119">
        <v>36</v>
      </c>
      <c r="H119">
        <v>100</v>
      </c>
      <c r="I119">
        <v>7090</v>
      </c>
      <c r="J119">
        <v>61</v>
      </c>
      <c r="K119">
        <v>146</v>
      </c>
      <c r="L119">
        <v>418</v>
      </c>
      <c r="M119">
        <v>10</v>
      </c>
      <c r="N119">
        <v>30</v>
      </c>
      <c r="O119">
        <v>333</v>
      </c>
      <c r="P119">
        <v>42</v>
      </c>
      <c r="Q119">
        <v>77</v>
      </c>
      <c r="R119">
        <v>545</v>
      </c>
      <c r="S119">
        <v>490</v>
      </c>
      <c r="T119">
        <v>880</v>
      </c>
      <c r="U119">
        <v>1370</v>
      </c>
      <c r="V119">
        <v>46</v>
      </c>
      <c r="W119">
        <v>430</v>
      </c>
      <c r="X119">
        <v>90</v>
      </c>
      <c r="Y119">
        <v>460</v>
      </c>
      <c r="Z119">
        <v>78</v>
      </c>
      <c r="AA119">
        <v>165</v>
      </c>
      <c r="AB119" t="s">
        <v>1368</v>
      </c>
    </row>
    <row r="120" spans="1:28" x14ac:dyDescent="0.3">
      <c r="A120">
        <v>1629003</v>
      </c>
      <c r="B120" t="s">
        <v>1369</v>
      </c>
      <c r="C120">
        <v>0</v>
      </c>
      <c r="D120">
        <v>1610612752</v>
      </c>
      <c r="E120" t="s">
        <v>1248</v>
      </c>
      <c r="F120">
        <v>270</v>
      </c>
      <c r="G120">
        <v>6</v>
      </c>
      <c r="H120">
        <v>0</v>
      </c>
      <c r="I120">
        <v>270</v>
      </c>
      <c r="J120">
        <v>4</v>
      </c>
      <c r="K120">
        <v>9</v>
      </c>
      <c r="L120">
        <v>444</v>
      </c>
      <c r="M120">
        <v>10</v>
      </c>
      <c r="N120">
        <v>20</v>
      </c>
      <c r="O120">
        <v>5</v>
      </c>
      <c r="P120">
        <v>2</v>
      </c>
      <c r="Q120">
        <v>2</v>
      </c>
      <c r="R120">
        <v>10</v>
      </c>
      <c r="S120">
        <v>0</v>
      </c>
      <c r="T120">
        <v>60</v>
      </c>
      <c r="U120">
        <v>60</v>
      </c>
      <c r="V120">
        <v>4</v>
      </c>
      <c r="W120">
        <v>10</v>
      </c>
      <c r="X120">
        <v>0</v>
      </c>
      <c r="Y120">
        <v>0</v>
      </c>
      <c r="Z120">
        <v>7</v>
      </c>
      <c r="AA120">
        <v>11</v>
      </c>
      <c r="AB120" t="s">
        <v>1370</v>
      </c>
    </row>
    <row r="121" spans="1:28" x14ac:dyDescent="0.3">
      <c r="A121">
        <v>76176</v>
      </c>
      <c r="B121" t="s">
        <v>1273</v>
      </c>
      <c r="C121">
        <v>0</v>
      </c>
      <c r="D121">
        <v>1610612752</v>
      </c>
      <c r="E121" t="s">
        <v>1248</v>
      </c>
      <c r="F121">
        <v>340</v>
      </c>
      <c r="G121">
        <v>60</v>
      </c>
      <c r="H121">
        <v>330</v>
      </c>
      <c r="I121">
        <v>14340</v>
      </c>
      <c r="J121">
        <v>239</v>
      </c>
      <c r="K121">
        <v>539</v>
      </c>
      <c r="L121">
        <v>443</v>
      </c>
      <c r="M121">
        <v>310</v>
      </c>
      <c r="N121">
        <v>730</v>
      </c>
      <c r="O121">
        <v>425</v>
      </c>
      <c r="P121">
        <v>71</v>
      </c>
      <c r="Q121">
        <v>90</v>
      </c>
      <c r="R121">
        <v>789</v>
      </c>
      <c r="S121">
        <v>230</v>
      </c>
      <c r="T121">
        <v>790</v>
      </c>
      <c r="U121">
        <v>1020</v>
      </c>
      <c r="V121">
        <v>157</v>
      </c>
      <c r="W121">
        <v>220</v>
      </c>
      <c r="X121">
        <v>100</v>
      </c>
      <c r="Y121">
        <v>650</v>
      </c>
      <c r="Z121">
        <v>129</v>
      </c>
      <c r="AA121">
        <v>580</v>
      </c>
      <c r="AB121" t="s">
        <v>1371</v>
      </c>
    </row>
    <row r="122" spans="1:28" x14ac:dyDescent="0.3">
      <c r="A122">
        <v>76176</v>
      </c>
      <c r="B122" t="s">
        <v>1274</v>
      </c>
      <c r="C122">
        <v>0</v>
      </c>
      <c r="D122">
        <v>1610612752</v>
      </c>
      <c r="E122" t="s">
        <v>1248</v>
      </c>
      <c r="F122">
        <v>350</v>
      </c>
      <c r="G122">
        <v>55</v>
      </c>
      <c r="H122">
        <v>10</v>
      </c>
      <c r="I122">
        <v>9690</v>
      </c>
      <c r="J122">
        <v>161</v>
      </c>
      <c r="K122">
        <v>369</v>
      </c>
      <c r="L122">
        <v>436</v>
      </c>
      <c r="M122">
        <v>300</v>
      </c>
      <c r="N122">
        <v>840</v>
      </c>
      <c r="O122">
        <v>357</v>
      </c>
      <c r="P122">
        <v>48</v>
      </c>
      <c r="Q122">
        <v>53</v>
      </c>
      <c r="R122">
        <v>906</v>
      </c>
      <c r="S122">
        <v>230</v>
      </c>
      <c r="T122">
        <v>700</v>
      </c>
      <c r="U122">
        <v>930</v>
      </c>
      <c r="V122">
        <v>76</v>
      </c>
      <c r="W122">
        <v>250</v>
      </c>
      <c r="X122">
        <v>60</v>
      </c>
      <c r="Y122">
        <v>440</v>
      </c>
      <c r="Z122">
        <v>100</v>
      </c>
      <c r="AA122">
        <v>400</v>
      </c>
      <c r="AB122" t="s">
        <v>1371</v>
      </c>
    </row>
    <row r="123" spans="1:28" x14ac:dyDescent="0.3">
      <c r="A123">
        <v>203144</v>
      </c>
      <c r="B123" t="s">
        <v>1343</v>
      </c>
      <c r="C123">
        <v>0</v>
      </c>
      <c r="D123">
        <v>1610612752</v>
      </c>
      <c r="E123" t="s">
        <v>1248</v>
      </c>
      <c r="F123">
        <v>260</v>
      </c>
      <c r="G123">
        <v>16</v>
      </c>
      <c r="H123">
        <v>90</v>
      </c>
      <c r="I123">
        <v>4230</v>
      </c>
      <c r="J123">
        <v>73</v>
      </c>
      <c r="K123">
        <v>181</v>
      </c>
      <c r="L123">
        <v>403</v>
      </c>
      <c r="M123">
        <v>260</v>
      </c>
      <c r="N123">
        <v>700</v>
      </c>
      <c r="O123">
        <v>371</v>
      </c>
      <c r="P123">
        <v>64</v>
      </c>
      <c r="Q123">
        <v>82</v>
      </c>
      <c r="R123">
        <v>78</v>
      </c>
      <c r="S123">
        <v>140</v>
      </c>
      <c r="T123">
        <v>590</v>
      </c>
      <c r="U123">
        <v>730</v>
      </c>
      <c r="V123">
        <v>57</v>
      </c>
      <c r="W123">
        <v>150</v>
      </c>
      <c r="X123">
        <v>50</v>
      </c>
      <c r="Y123">
        <v>250</v>
      </c>
      <c r="Z123">
        <v>25</v>
      </c>
      <c r="AA123">
        <v>236</v>
      </c>
      <c r="AB123" t="s">
        <v>1372</v>
      </c>
    </row>
    <row r="124" spans="1:28" x14ac:dyDescent="0.3">
      <c r="A124">
        <v>168</v>
      </c>
      <c r="B124" t="s">
        <v>1278</v>
      </c>
      <c r="C124">
        <v>0</v>
      </c>
      <c r="D124">
        <v>1610612752</v>
      </c>
      <c r="E124" t="s">
        <v>1248</v>
      </c>
      <c r="F124">
        <v>280</v>
      </c>
      <c r="G124">
        <v>80</v>
      </c>
      <c r="H124">
        <v>290</v>
      </c>
      <c r="I124">
        <v>21830</v>
      </c>
      <c r="J124">
        <v>292</v>
      </c>
      <c r="K124">
        <v>675</v>
      </c>
      <c r="L124">
        <v>433</v>
      </c>
      <c r="M124">
        <v>400</v>
      </c>
      <c r="N124">
        <v>1370</v>
      </c>
      <c r="O124">
        <v>292</v>
      </c>
      <c r="P124">
        <v>152</v>
      </c>
      <c r="Q124">
        <v>189</v>
      </c>
      <c r="R124">
        <v>804</v>
      </c>
      <c r="S124">
        <v>1200</v>
      </c>
      <c r="T124">
        <v>2880</v>
      </c>
      <c r="U124">
        <v>4080</v>
      </c>
      <c r="V124">
        <v>133</v>
      </c>
      <c r="W124">
        <v>450</v>
      </c>
      <c r="X124">
        <v>300</v>
      </c>
      <c r="Y124">
        <v>1070</v>
      </c>
      <c r="Z124">
        <v>218</v>
      </c>
      <c r="AA124">
        <v>776</v>
      </c>
      <c r="AB124" t="s">
        <v>1373</v>
      </c>
    </row>
    <row r="125" spans="1:28" x14ac:dyDescent="0.3">
      <c r="A125">
        <v>201167</v>
      </c>
      <c r="B125" t="s">
        <v>1279</v>
      </c>
      <c r="C125">
        <v>0</v>
      </c>
      <c r="D125">
        <v>1610612752</v>
      </c>
      <c r="E125" t="s">
        <v>1248</v>
      </c>
      <c r="F125">
        <v>300</v>
      </c>
      <c r="G125">
        <v>71</v>
      </c>
      <c r="H125">
        <v>570</v>
      </c>
      <c r="I125">
        <v>23710</v>
      </c>
      <c r="J125">
        <v>354</v>
      </c>
      <c r="K125">
        <v>799</v>
      </c>
      <c r="L125">
        <v>443</v>
      </c>
      <c r="M125">
        <v>910</v>
      </c>
      <c r="N125">
        <v>2380</v>
      </c>
      <c r="O125">
        <v>382</v>
      </c>
      <c r="P125">
        <v>110</v>
      </c>
      <c r="Q125">
        <v>131</v>
      </c>
      <c r="R125">
        <v>84</v>
      </c>
      <c r="S125">
        <v>230</v>
      </c>
      <c r="T125">
        <v>2430</v>
      </c>
      <c r="U125">
        <v>2660</v>
      </c>
      <c r="V125">
        <v>144</v>
      </c>
      <c r="W125">
        <v>250</v>
      </c>
      <c r="X125">
        <v>100</v>
      </c>
      <c r="Y125">
        <v>820</v>
      </c>
      <c r="Z125">
        <v>142</v>
      </c>
      <c r="AA125">
        <v>909</v>
      </c>
      <c r="AB125" t="s">
        <v>1374</v>
      </c>
    </row>
    <row r="126" spans="1:28" x14ac:dyDescent="0.3">
      <c r="A126">
        <v>201196</v>
      </c>
      <c r="B126" t="s">
        <v>1259</v>
      </c>
      <c r="C126">
        <v>0</v>
      </c>
      <c r="D126">
        <v>1610612752</v>
      </c>
      <c r="E126" t="s">
        <v>1248</v>
      </c>
      <c r="F126">
        <v>320</v>
      </c>
      <c r="G126">
        <v>13</v>
      </c>
      <c r="H126">
        <v>30</v>
      </c>
      <c r="I126">
        <v>1670</v>
      </c>
      <c r="J126">
        <v>17</v>
      </c>
      <c r="K126">
        <v>53</v>
      </c>
      <c r="L126">
        <v>321</v>
      </c>
      <c r="M126">
        <v>20</v>
      </c>
      <c r="N126">
        <v>110</v>
      </c>
      <c r="O126">
        <v>182</v>
      </c>
      <c r="P126">
        <v>12</v>
      </c>
      <c r="Q126">
        <v>15</v>
      </c>
      <c r="R126">
        <v>8</v>
      </c>
      <c r="S126">
        <v>10</v>
      </c>
      <c r="T126">
        <v>170</v>
      </c>
      <c r="U126">
        <v>180</v>
      </c>
      <c r="V126">
        <v>27</v>
      </c>
      <c r="W126">
        <v>70</v>
      </c>
      <c r="X126">
        <v>10</v>
      </c>
      <c r="Y126">
        <v>150</v>
      </c>
      <c r="Z126">
        <v>14</v>
      </c>
      <c r="AA126">
        <v>48</v>
      </c>
      <c r="AB126" t="s">
        <v>1375</v>
      </c>
    </row>
    <row r="127" spans="1:28" x14ac:dyDescent="0.3">
      <c r="A127">
        <v>77598</v>
      </c>
      <c r="B127" t="s">
        <v>1339</v>
      </c>
      <c r="C127">
        <v>0</v>
      </c>
      <c r="D127">
        <v>1610612752</v>
      </c>
      <c r="E127" t="s">
        <v>1248</v>
      </c>
      <c r="F127">
        <v>240</v>
      </c>
      <c r="G127">
        <v>36</v>
      </c>
      <c r="I127">
        <v>0</v>
      </c>
      <c r="J127">
        <v>52</v>
      </c>
      <c r="K127">
        <v>214</v>
      </c>
      <c r="L127">
        <v>243</v>
      </c>
      <c r="P127">
        <v>40</v>
      </c>
      <c r="Q127">
        <v>73</v>
      </c>
      <c r="R127">
        <v>548</v>
      </c>
      <c r="U127">
        <v>0</v>
      </c>
      <c r="V127">
        <v>28</v>
      </c>
      <c r="Z127">
        <v>91</v>
      </c>
      <c r="AA127">
        <v>144</v>
      </c>
      <c r="AB127" t="s">
        <v>1376</v>
      </c>
    </row>
    <row r="128" spans="1:28" x14ac:dyDescent="0.3">
      <c r="A128">
        <v>77968</v>
      </c>
      <c r="B128" t="s">
        <v>1299</v>
      </c>
      <c r="C128">
        <v>0</v>
      </c>
      <c r="D128">
        <v>1610612752</v>
      </c>
      <c r="E128" t="s">
        <v>1248</v>
      </c>
      <c r="F128">
        <v>250</v>
      </c>
      <c r="G128">
        <v>55</v>
      </c>
      <c r="J128">
        <v>123</v>
      </c>
      <c r="K128">
        <v>353</v>
      </c>
      <c r="L128">
        <v>348</v>
      </c>
      <c r="P128">
        <v>91</v>
      </c>
      <c r="Q128">
        <v>146</v>
      </c>
      <c r="R128">
        <v>623</v>
      </c>
      <c r="V128">
        <v>57</v>
      </c>
      <c r="Z128">
        <v>71</v>
      </c>
      <c r="AA128">
        <v>337</v>
      </c>
      <c r="AB128" t="s">
        <v>1377</v>
      </c>
    </row>
    <row r="129" spans="1:28" x14ac:dyDescent="0.3">
      <c r="A129">
        <v>77968</v>
      </c>
      <c r="B129" t="s">
        <v>1266</v>
      </c>
      <c r="C129">
        <v>0</v>
      </c>
      <c r="D129">
        <v>1610612752</v>
      </c>
      <c r="E129" t="s">
        <v>1248</v>
      </c>
      <c r="F129">
        <v>260</v>
      </c>
      <c r="G129">
        <v>62</v>
      </c>
      <c r="J129">
        <v>100</v>
      </c>
      <c r="K129">
        <v>297</v>
      </c>
      <c r="L129">
        <v>337</v>
      </c>
      <c r="P129">
        <v>125</v>
      </c>
      <c r="Q129">
        <v>176</v>
      </c>
      <c r="R129">
        <v>71</v>
      </c>
      <c r="V129">
        <v>51</v>
      </c>
      <c r="Z129">
        <v>101</v>
      </c>
      <c r="AA129">
        <v>325</v>
      </c>
      <c r="AB129" t="s">
        <v>1377</v>
      </c>
    </row>
    <row r="130" spans="1:28" x14ac:dyDescent="0.3">
      <c r="A130">
        <v>77968</v>
      </c>
      <c r="B130" t="s">
        <v>1378</v>
      </c>
      <c r="C130">
        <v>0</v>
      </c>
      <c r="D130">
        <v>1610612752</v>
      </c>
      <c r="E130" t="s">
        <v>1248</v>
      </c>
      <c r="F130">
        <v>270</v>
      </c>
      <c r="G130">
        <v>34</v>
      </c>
      <c r="J130">
        <v>39</v>
      </c>
      <c r="K130">
        <v>103</v>
      </c>
      <c r="L130">
        <v>379</v>
      </c>
      <c r="P130">
        <v>49</v>
      </c>
      <c r="Q130">
        <v>71</v>
      </c>
      <c r="R130">
        <v>69</v>
      </c>
      <c r="U130">
        <v>650</v>
      </c>
      <c r="V130">
        <v>37</v>
      </c>
      <c r="Z130">
        <v>52</v>
      </c>
      <c r="AA130">
        <v>127</v>
      </c>
      <c r="AB130" t="s">
        <v>1377</v>
      </c>
    </row>
    <row r="131" spans="1:28" x14ac:dyDescent="0.3">
      <c r="A131">
        <v>2545</v>
      </c>
      <c r="B131" t="s">
        <v>1305</v>
      </c>
      <c r="C131">
        <v>0</v>
      </c>
      <c r="D131">
        <v>1610612752</v>
      </c>
      <c r="E131" t="s">
        <v>1248</v>
      </c>
      <c r="F131">
        <v>250</v>
      </c>
      <c r="G131">
        <v>8</v>
      </c>
      <c r="H131">
        <v>0</v>
      </c>
      <c r="I131">
        <v>710</v>
      </c>
      <c r="J131">
        <v>8</v>
      </c>
      <c r="K131">
        <v>17</v>
      </c>
      <c r="L131">
        <v>471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50</v>
      </c>
      <c r="T131">
        <v>130</v>
      </c>
      <c r="U131">
        <v>180</v>
      </c>
      <c r="V131">
        <v>4</v>
      </c>
      <c r="W131">
        <v>40</v>
      </c>
      <c r="X131">
        <v>10</v>
      </c>
      <c r="Y131">
        <v>20</v>
      </c>
      <c r="Z131">
        <v>7</v>
      </c>
      <c r="AA131">
        <v>16</v>
      </c>
      <c r="AB131" t="s">
        <v>1379</v>
      </c>
    </row>
    <row r="132" spans="1:28" x14ac:dyDescent="0.3">
      <c r="A132">
        <v>78023</v>
      </c>
      <c r="B132" t="s">
        <v>1299</v>
      </c>
      <c r="C132">
        <v>0</v>
      </c>
      <c r="D132">
        <v>1610612752</v>
      </c>
      <c r="E132" t="s">
        <v>1248</v>
      </c>
      <c r="F132">
        <v>270</v>
      </c>
      <c r="G132">
        <v>53</v>
      </c>
      <c r="J132">
        <v>101</v>
      </c>
      <c r="K132">
        <v>367</v>
      </c>
      <c r="L132">
        <v>275</v>
      </c>
      <c r="P132">
        <v>112</v>
      </c>
      <c r="Q132">
        <v>174</v>
      </c>
      <c r="R132">
        <v>644</v>
      </c>
      <c r="V132">
        <v>68</v>
      </c>
      <c r="Z132">
        <v>174</v>
      </c>
      <c r="AA132">
        <v>314</v>
      </c>
      <c r="AB132" t="s">
        <v>1380</v>
      </c>
    </row>
    <row r="133" spans="1:28" x14ac:dyDescent="0.3">
      <c r="A133">
        <v>78019</v>
      </c>
      <c r="B133" t="s">
        <v>1339</v>
      </c>
      <c r="C133">
        <v>0</v>
      </c>
      <c r="D133">
        <v>1610612752</v>
      </c>
      <c r="E133" t="s">
        <v>1248</v>
      </c>
      <c r="F133">
        <v>270</v>
      </c>
      <c r="G133">
        <v>31</v>
      </c>
      <c r="I133">
        <v>0</v>
      </c>
      <c r="J133">
        <v>38</v>
      </c>
      <c r="K133">
        <v>145</v>
      </c>
      <c r="L133">
        <v>262</v>
      </c>
      <c r="P133">
        <v>57</v>
      </c>
      <c r="Q133">
        <v>95</v>
      </c>
      <c r="R133">
        <v>6</v>
      </c>
      <c r="U133">
        <v>0</v>
      </c>
      <c r="V133">
        <v>19</v>
      </c>
      <c r="Z133">
        <v>71</v>
      </c>
      <c r="AA133">
        <v>133</v>
      </c>
      <c r="AB133" t="s">
        <v>1381</v>
      </c>
    </row>
    <row r="134" spans="1:28" x14ac:dyDescent="0.3">
      <c r="A134">
        <v>77596</v>
      </c>
      <c r="B134" t="s">
        <v>1354</v>
      </c>
      <c r="C134">
        <v>0</v>
      </c>
      <c r="D134">
        <v>1610612752</v>
      </c>
      <c r="E134" t="s">
        <v>1248</v>
      </c>
      <c r="F134">
        <v>310</v>
      </c>
      <c r="G134">
        <v>42</v>
      </c>
      <c r="I134">
        <v>1980</v>
      </c>
      <c r="J134">
        <v>23</v>
      </c>
      <c r="K134">
        <v>64</v>
      </c>
      <c r="L134">
        <v>359</v>
      </c>
      <c r="P134">
        <v>16</v>
      </c>
      <c r="Q134">
        <v>18</v>
      </c>
      <c r="R134">
        <v>889</v>
      </c>
      <c r="U134">
        <v>160</v>
      </c>
      <c r="V134">
        <v>17</v>
      </c>
      <c r="Z134">
        <v>46</v>
      </c>
      <c r="AA134">
        <v>62</v>
      </c>
      <c r="AB134" t="s">
        <v>1382</v>
      </c>
    </row>
    <row r="135" spans="1:28" x14ac:dyDescent="0.3">
      <c r="A135">
        <v>77582</v>
      </c>
      <c r="B135" t="s">
        <v>1265</v>
      </c>
      <c r="C135">
        <v>0</v>
      </c>
      <c r="D135">
        <v>1610612752</v>
      </c>
      <c r="E135" t="s">
        <v>1248</v>
      </c>
      <c r="F135">
        <v>250</v>
      </c>
      <c r="G135">
        <v>41</v>
      </c>
      <c r="I135">
        <v>10530</v>
      </c>
      <c r="J135">
        <v>158</v>
      </c>
      <c r="K135">
        <v>313</v>
      </c>
      <c r="L135">
        <v>505</v>
      </c>
      <c r="P135">
        <v>75</v>
      </c>
      <c r="Q135">
        <v>109</v>
      </c>
      <c r="R135">
        <v>688</v>
      </c>
      <c r="S135">
        <v>810</v>
      </c>
      <c r="T135">
        <v>1440</v>
      </c>
      <c r="U135">
        <v>2250</v>
      </c>
      <c r="V135">
        <v>48</v>
      </c>
      <c r="W135">
        <v>230</v>
      </c>
      <c r="X135">
        <v>530</v>
      </c>
      <c r="Y135">
        <v>850</v>
      </c>
      <c r="Z135">
        <v>178</v>
      </c>
      <c r="AA135">
        <v>391</v>
      </c>
      <c r="AB135" t="s">
        <v>1383</v>
      </c>
    </row>
    <row r="136" spans="1:28" x14ac:dyDescent="0.3">
      <c r="A136">
        <v>77582</v>
      </c>
      <c r="B136" t="s">
        <v>1359</v>
      </c>
      <c r="C136">
        <v>0</v>
      </c>
      <c r="D136">
        <v>1610612752</v>
      </c>
      <c r="E136" t="s">
        <v>1248</v>
      </c>
      <c r="F136">
        <v>260</v>
      </c>
      <c r="G136">
        <v>65</v>
      </c>
      <c r="I136">
        <v>15650</v>
      </c>
      <c r="J136">
        <v>252</v>
      </c>
      <c r="K136">
        <v>477</v>
      </c>
      <c r="L136">
        <v>528</v>
      </c>
      <c r="M136">
        <v>0</v>
      </c>
      <c r="N136">
        <v>10</v>
      </c>
      <c r="O136">
        <v>0</v>
      </c>
      <c r="P136">
        <v>78</v>
      </c>
      <c r="Q136">
        <v>121</v>
      </c>
      <c r="R136">
        <v>645</v>
      </c>
      <c r="S136">
        <v>1220</v>
      </c>
      <c r="T136">
        <v>2280</v>
      </c>
      <c r="U136">
        <v>3500</v>
      </c>
      <c r="V136">
        <v>66</v>
      </c>
      <c r="W136">
        <v>370</v>
      </c>
      <c r="X136">
        <v>1200</v>
      </c>
      <c r="Y136">
        <v>1120</v>
      </c>
      <c r="Z136">
        <v>239</v>
      </c>
      <c r="AA136">
        <v>582</v>
      </c>
      <c r="AB136" t="s">
        <v>1383</v>
      </c>
    </row>
    <row r="137" spans="1:28" x14ac:dyDescent="0.3">
      <c r="A137">
        <v>2440</v>
      </c>
      <c r="B137" t="s">
        <v>1300</v>
      </c>
      <c r="C137">
        <v>0</v>
      </c>
      <c r="D137">
        <v>1610612752</v>
      </c>
      <c r="E137" t="s">
        <v>1248</v>
      </c>
      <c r="F137">
        <v>260</v>
      </c>
      <c r="G137">
        <v>6</v>
      </c>
      <c r="H137">
        <v>50</v>
      </c>
      <c r="I137">
        <v>930</v>
      </c>
      <c r="J137">
        <v>11</v>
      </c>
      <c r="K137">
        <v>30</v>
      </c>
      <c r="L137">
        <v>367</v>
      </c>
      <c r="M137">
        <v>10</v>
      </c>
      <c r="N137">
        <v>40</v>
      </c>
      <c r="O137">
        <v>25</v>
      </c>
      <c r="P137">
        <v>3</v>
      </c>
      <c r="Q137">
        <v>4</v>
      </c>
      <c r="R137">
        <v>75</v>
      </c>
      <c r="S137">
        <v>70</v>
      </c>
      <c r="T137">
        <v>170</v>
      </c>
      <c r="U137">
        <v>240</v>
      </c>
      <c r="V137">
        <v>6</v>
      </c>
      <c r="W137">
        <v>40</v>
      </c>
      <c r="X137">
        <v>0</v>
      </c>
      <c r="Y137">
        <v>60</v>
      </c>
      <c r="Z137">
        <v>8</v>
      </c>
      <c r="AA137">
        <v>26</v>
      </c>
      <c r="AB137" t="s">
        <v>1384</v>
      </c>
    </row>
    <row r="138" spans="1:28" x14ac:dyDescent="0.3">
      <c r="A138">
        <v>78013</v>
      </c>
      <c r="B138" t="s">
        <v>1322</v>
      </c>
      <c r="C138">
        <v>0</v>
      </c>
      <c r="D138">
        <v>1610612752</v>
      </c>
      <c r="E138" t="s">
        <v>1248</v>
      </c>
      <c r="F138">
        <v>270</v>
      </c>
      <c r="G138">
        <v>60</v>
      </c>
      <c r="I138">
        <v>8160</v>
      </c>
      <c r="J138">
        <v>109</v>
      </c>
      <c r="K138">
        <v>293</v>
      </c>
      <c r="L138">
        <v>372</v>
      </c>
      <c r="P138">
        <v>58</v>
      </c>
      <c r="Q138">
        <v>88</v>
      </c>
      <c r="R138">
        <v>659</v>
      </c>
      <c r="U138">
        <v>970</v>
      </c>
      <c r="V138">
        <v>123</v>
      </c>
      <c r="Z138">
        <v>121</v>
      </c>
      <c r="AA138">
        <v>276</v>
      </c>
      <c r="AB138" t="s">
        <v>1385</v>
      </c>
    </row>
    <row r="139" spans="1:28" x14ac:dyDescent="0.3">
      <c r="A139">
        <v>77578</v>
      </c>
      <c r="B139" t="s">
        <v>1354</v>
      </c>
      <c r="C139">
        <v>0</v>
      </c>
      <c r="D139">
        <v>1610612752</v>
      </c>
      <c r="E139" t="s">
        <v>1248</v>
      </c>
      <c r="F139">
        <v>240</v>
      </c>
      <c r="G139">
        <v>78</v>
      </c>
      <c r="I139">
        <v>11730</v>
      </c>
      <c r="J139">
        <v>139</v>
      </c>
      <c r="K139">
        <v>293</v>
      </c>
      <c r="L139">
        <v>474</v>
      </c>
      <c r="P139">
        <v>79</v>
      </c>
      <c r="Q139">
        <v>140</v>
      </c>
      <c r="R139">
        <v>564</v>
      </c>
      <c r="U139">
        <v>1850</v>
      </c>
      <c r="V139">
        <v>103</v>
      </c>
      <c r="Z139">
        <v>137</v>
      </c>
      <c r="AA139">
        <v>357</v>
      </c>
      <c r="AB139" t="s">
        <v>1386</v>
      </c>
    </row>
    <row r="140" spans="1:28" x14ac:dyDescent="0.3">
      <c r="A140">
        <v>77578</v>
      </c>
      <c r="B140" t="s">
        <v>1356</v>
      </c>
      <c r="C140">
        <v>0</v>
      </c>
      <c r="D140">
        <v>1610612752</v>
      </c>
      <c r="E140" t="s">
        <v>1248</v>
      </c>
      <c r="F140">
        <v>250</v>
      </c>
      <c r="G140">
        <v>80</v>
      </c>
      <c r="I140">
        <v>14530</v>
      </c>
      <c r="J140">
        <v>188</v>
      </c>
      <c r="K140">
        <v>365</v>
      </c>
      <c r="L140">
        <v>515</v>
      </c>
      <c r="P140">
        <v>81</v>
      </c>
      <c r="Q140">
        <v>129</v>
      </c>
      <c r="R140">
        <v>628</v>
      </c>
      <c r="U140">
        <v>2290</v>
      </c>
      <c r="V140">
        <v>133</v>
      </c>
      <c r="Z140">
        <v>109</v>
      </c>
      <c r="AA140">
        <v>457</v>
      </c>
      <c r="AB140" t="s">
        <v>1386</v>
      </c>
    </row>
    <row r="141" spans="1:28" x14ac:dyDescent="0.3">
      <c r="A141">
        <v>77578</v>
      </c>
      <c r="B141" t="s">
        <v>1357</v>
      </c>
      <c r="C141">
        <v>0</v>
      </c>
      <c r="D141">
        <v>1610612752</v>
      </c>
      <c r="E141" t="s">
        <v>1248</v>
      </c>
      <c r="F141">
        <v>260</v>
      </c>
      <c r="G141">
        <v>78</v>
      </c>
      <c r="I141">
        <v>20790</v>
      </c>
      <c r="J141">
        <v>274</v>
      </c>
      <c r="K141">
        <v>539</v>
      </c>
      <c r="L141">
        <v>508</v>
      </c>
      <c r="P141">
        <v>103</v>
      </c>
      <c r="Q141">
        <v>160</v>
      </c>
      <c r="R141">
        <v>644</v>
      </c>
      <c r="S141">
        <v>1250</v>
      </c>
      <c r="T141">
        <v>1560</v>
      </c>
      <c r="U141">
        <v>2810</v>
      </c>
      <c r="V141">
        <v>162</v>
      </c>
      <c r="W141">
        <v>620</v>
      </c>
      <c r="X141">
        <v>80</v>
      </c>
      <c r="Z141">
        <v>161</v>
      </c>
      <c r="AA141">
        <v>651</v>
      </c>
      <c r="AB141" t="s">
        <v>1386</v>
      </c>
    </row>
    <row r="142" spans="1:28" x14ac:dyDescent="0.3">
      <c r="A142">
        <v>77578</v>
      </c>
      <c r="B142" t="s">
        <v>1263</v>
      </c>
      <c r="C142">
        <v>0</v>
      </c>
      <c r="D142">
        <v>1610612752</v>
      </c>
      <c r="E142" t="s">
        <v>1248</v>
      </c>
      <c r="F142">
        <v>290</v>
      </c>
      <c r="G142">
        <v>32</v>
      </c>
      <c r="I142">
        <v>2540</v>
      </c>
      <c r="J142">
        <v>15</v>
      </c>
      <c r="K142">
        <v>36</v>
      </c>
      <c r="L142">
        <v>417</v>
      </c>
      <c r="P142">
        <v>13</v>
      </c>
      <c r="Q142">
        <v>23</v>
      </c>
      <c r="R142">
        <v>565</v>
      </c>
      <c r="S142">
        <v>120</v>
      </c>
      <c r="T142">
        <v>140</v>
      </c>
      <c r="U142">
        <v>260</v>
      </c>
      <c r="V142">
        <v>29</v>
      </c>
      <c r="W142">
        <v>80</v>
      </c>
      <c r="X142">
        <v>10</v>
      </c>
      <c r="Z142">
        <v>17</v>
      </c>
      <c r="AA142">
        <v>43</v>
      </c>
      <c r="AB142" t="s">
        <v>1386</v>
      </c>
    </row>
    <row r="143" spans="1:28" x14ac:dyDescent="0.3">
      <c r="A143">
        <v>77562</v>
      </c>
      <c r="B143" t="s">
        <v>1322</v>
      </c>
      <c r="C143">
        <v>0</v>
      </c>
      <c r="D143">
        <v>1610612752</v>
      </c>
      <c r="E143" t="s">
        <v>1248</v>
      </c>
      <c r="F143">
        <v>220</v>
      </c>
      <c r="G143">
        <v>75</v>
      </c>
      <c r="I143">
        <v>13870</v>
      </c>
      <c r="J143">
        <v>166</v>
      </c>
      <c r="K143">
        <v>427</v>
      </c>
      <c r="L143">
        <v>389</v>
      </c>
      <c r="P143">
        <v>105</v>
      </c>
      <c r="Q143">
        <v>126</v>
      </c>
      <c r="R143">
        <v>833</v>
      </c>
      <c r="U143">
        <v>1230</v>
      </c>
      <c r="V143">
        <v>238</v>
      </c>
      <c r="Z143">
        <v>148</v>
      </c>
      <c r="AA143">
        <v>437</v>
      </c>
      <c r="AB143" t="s">
        <v>1387</v>
      </c>
    </row>
    <row r="144" spans="1:28" x14ac:dyDescent="0.3">
      <c r="A144">
        <v>452</v>
      </c>
      <c r="B144" t="s">
        <v>1293</v>
      </c>
      <c r="C144">
        <v>0</v>
      </c>
      <c r="D144">
        <v>1610612752</v>
      </c>
      <c r="E144" t="s">
        <v>1248</v>
      </c>
      <c r="F144">
        <v>320</v>
      </c>
      <c r="G144">
        <v>17</v>
      </c>
      <c r="H144">
        <v>0</v>
      </c>
      <c r="I144">
        <v>3130</v>
      </c>
      <c r="J144">
        <v>40</v>
      </c>
      <c r="K144">
        <v>99</v>
      </c>
      <c r="L144">
        <v>404</v>
      </c>
      <c r="M144">
        <v>10</v>
      </c>
      <c r="N144">
        <v>20</v>
      </c>
      <c r="O144">
        <v>5</v>
      </c>
      <c r="P144">
        <v>32</v>
      </c>
      <c r="Q144">
        <v>45</v>
      </c>
      <c r="R144">
        <v>711</v>
      </c>
      <c r="S144">
        <v>360</v>
      </c>
      <c r="T144">
        <v>340</v>
      </c>
      <c r="U144">
        <v>700</v>
      </c>
      <c r="V144">
        <v>12</v>
      </c>
      <c r="W144">
        <v>70</v>
      </c>
      <c r="X144">
        <v>90</v>
      </c>
      <c r="Y144">
        <v>250</v>
      </c>
      <c r="Z144">
        <v>62</v>
      </c>
      <c r="AA144">
        <v>113</v>
      </c>
      <c r="AB144" t="s">
        <v>1388</v>
      </c>
    </row>
    <row r="145" spans="1:28" x14ac:dyDescent="0.3">
      <c r="A145">
        <v>452</v>
      </c>
      <c r="B145" t="s">
        <v>1295</v>
      </c>
      <c r="C145">
        <v>0</v>
      </c>
      <c r="D145">
        <v>1610612752</v>
      </c>
      <c r="E145" t="s">
        <v>1248</v>
      </c>
      <c r="F145">
        <v>330</v>
      </c>
      <c r="G145">
        <v>24</v>
      </c>
      <c r="H145">
        <v>0</v>
      </c>
      <c r="I145">
        <v>1910</v>
      </c>
      <c r="J145">
        <v>13</v>
      </c>
      <c r="K145">
        <v>38</v>
      </c>
      <c r="L145">
        <v>342</v>
      </c>
      <c r="M145">
        <v>0</v>
      </c>
      <c r="N145">
        <v>10</v>
      </c>
      <c r="O145">
        <v>0</v>
      </c>
      <c r="P145">
        <v>7</v>
      </c>
      <c r="Q145">
        <v>15</v>
      </c>
      <c r="R145">
        <v>467</v>
      </c>
      <c r="S145">
        <v>170</v>
      </c>
      <c r="T145">
        <v>200</v>
      </c>
      <c r="U145">
        <v>370</v>
      </c>
      <c r="V145">
        <v>9</v>
      </c>
      <c r="W145">
        <v>20</v>
      </c>
      <c r="X145">
        <v>40</v>
      </c>
      <c r="Y145">
        <v>150</v>
      </c>
      <c r="Z145">
        <v>31</v>
      </c>
      <c r="AA145">
        <v>33</v>
      </c>
      <c r="AB145" t="s">
        <v>1388</v>
      </c>
    </row>
    <row r="146" spans="1:28" x14ac:dyDescent="0.3">
      <c r="A146">
        <v>78153</v>
      </c>
      <c r="B146" t="s">
        <v>1266</v>
      </c>
      <c r="C146">
        <v>0</v>
      </c>
      <c r="D146">
        <v>1610612752</v>
      </c>
      <c r="E146" t="s">
        <v>1248</v>
      </c>
      <c r="F146">
        <v>250</v>
      </c>
      <c r="G146">
        <v>60</v>
      </c>
      <c r="J146">
        <v>241</v>
      </c>
      <c r="K146">
        <v>729</v>
      </c>
      <c r="L146">
        <v>331</v>
      </c>
      <c r="P146">
        <v>198</v>
      </c>
      <c r="Q146">
        <v>299</v>
      </c>
      <c r="R146">
        <v>662</v>
      </c>
      <c r="V146">
        <v>102</v>
      </c>
      <c r="Z146">
        <v>203</v>
      </c>
      <c r="AA146">
        <v>680</v>
      </c>
      <c r="AB146" t="s">
        <v>1389</v>
      </c>
    </row>
    <row r="147" spans="1:28" x14ac:dyDescent="0.3">
      <c r="A147">
        <v>78153</v>
      </c>
      <c r="B147" t="s">
        <v>1378</v>
      </c>
      <c r="C147">
        <v>0</v>
      </c>
      <c r="D147">
        <v>1610612752</v>
      </c>
      <c r="E147" t="s">
        <v>1248</v>
      </c>
      <c r="F147">
        <v>260</v>
      </c>
      <c r="G147">
        <v>66</v>
      </c>
      <c r="J147">
        <v>229</v>
      </c>
      <c r="K147">
        <v>613</v>
      </c>
      <c r="L147">
        <v>374</v>
      </c>
      <c r="P147">
        <v>146</v>
      </c>
      <c r="Q147">
        <v>208</v>
      </c>
      <c r="R147">
        <v>702</v>
      </c>
      <c r="U147">
        <v>4260</v>
      </c>
      <c r="V147">
        <v>117</v>
      </c>
      <c r="Z147">
        <v>222</v>
      </c>
      <c r="AA147">
        <v>604</v>
      </c>
      <c r="AB147" t="s">
        <v>1389</v>
      </c>
    </row>
    <row r="148" spans="1:28" x14ac:dyDescent="0.3">
      <c r="A148">
        <v>78153</v>
      </c>
      <c r="B148" t="s">
        <v>1247</v>
      </c>
      <c r="C148">
        <v>0</v>
      </c>
      <c r="D148">
        <v>1610612752</v>
      </c>
      <c r="E148" t="s">
        <v>1248</v>
      </c>
      <c r="F148">
        <v>270</v>
      </c>
      <c r="G148">
        <v>66</v>
      </c>
      <c r="I148">
        <v>15580</v>
      </c>
      <c r="J148">
        <v>227</v>
      </c>
      <c r="K148">
        <v>600</v>
      </c>
      <c r="L148">
        <v>378</v>
      </c>
      <c r="P148">
        <v>175</v>
      </c>
      <c r="Q148">
        <v>254</v>
      </c>
      <c r="R148">
        <v>689</v>
      </c>
      <c r="U148">
        <v>4710</v>
      </c>
      <c r="V148">
        <v>121</v>
      </c>
      <c r="Z148">
        <v>214</v>
      </c>
      <c r="AA148">
        <v>629</v>
      </c>
      <c r="AB148" t="s">
        <v>1389</v>
      </c>
    </row>
    <row r="149" spans="1:28" x14ac:dyDescent="0.3">
      <c r="A149">
        <v>78153</v>
      </c>
      <c r="B149" t="s">
        <v>1390</v>
      </c>
      <c r="C149">
        <v>0</v>
      </c>
      <c r="D149">
        <v>1610612752</v>
      </c>
      <c r="E149" t="s">
        <v>1248</v>
      </c>
      <c r="F149">
        <v>280</v>
      </c>
      <c r="G149">
        <v>65</v>
      </c>
      <c r="I149">
        <v>17070</v>
      </c>
      <c r="J149">
        <v>240</v>
      </c>
      <c r="K149">
        <v>637</v>
      </c>
      <c r="L149">
        <v>377</v>
      </c>
      <c r="P149">
        <v>249</v>
      </c>
      <c r="Q149">
        <v>340</v>
      </c>
      <c r="R149">
        <v>732</v>
      </c>
      <c r="U149">
        <v>4580</v>
      </c>
      <c r="V149">
        <v>127</v>
      </c>
      <c r="Z149">
        <v>252</v>
      </c>
      <c r="AA149">
        <v>729</v>
      </c>
      <c r="AB149" t="s">
        <v>1389</v>
      </c>
    </row>
    <row r="150" spans="1:28" x14ac:dyDescent="0.3">
      <c r="A150">
        <v>78153</v>
      </c>
      <c r="B150" t="s">
        <v>1349</v>
      </c>
      <c r="C150">
        <v>0</v>
      </c>
      <c r="D150">
        <v>1610612752</v>
      </c>
      <c r="E150" t="s">
        <v>1248</v>
      </c>
      <c r="F150">
        <v>290</v>
      </c>
      <c r="G150">
        <v>72</v>
      </c>
      <c r="I150">
        <v>20060</v>
      </c>
      <c r="J150">
        <v>255</v>
      </c>
      <c r="K150">
        <v>713</v>
      </c>
      <c r="L150">
        <v>358</v>
      </c>
      <c r="P150">
        <v>210</v>
      </c>
      <c r="Q150">
        <v>305</v>
      </c>
      <c r="R150">
        <v>689</v>
      </c>
      <c r="U150">
        <v>4840</v>
      </c>
      <c r="V150">
        <v>128</v>
      </c>
      <c r="Z150">
        <v>234</v>
      </c>
      <c r="AA150">
        <v>720</v>
      </c>
      <c r="AB150" t="s">
        <v>1389</v>
      </c>
    </row>
    <row r="151" spans="1:28" x14ac:dyDescent="0.3">
      <c r="A151">
        <v>200771</v>
      </c>
      <c r="B151" t="s">
        <v>1305</v>
      </c>
      <c r="C151">
        <v>0</v>
      </c>
      <c r="D151">
        <v>1610612752</v>
      </c>
      <c r="E151" t="s">
        <v>1248</v>
      </c>
      <c r="F151">
        <v>240</v>
      </c>
      <c r="G151">
        <v>27</v>
      </c>
      <c r="H151">
        <v>80</v>
      </c>
      <c r="I151">
        <v>5310</v>
      </c>
      <c r="J151">
        <v>79</v>
      </c>
      <c r="K151">
        <v>161</v>
      </c>
      <c r="L151">
        <v>491</v>
      </c>
      <c r="M151">
        <v>170</v>
      </c>
      <c r="N151">
        <v>490</v>
      </c>
      <c r="O151">
        <v>347</v>
      </c>
      <c r="P151">
        <v>25</v>
      </c>
      <c r="Q151">
        <v>31</v>
      </c>
      <c r="R151">
        <v>806</v>
      </c>
      <c r="S151">
        <v>90</v>
      </c>
      <c r="T151">
        <v>300</v>
      </c>
      <c r="U151">
        <v>390</v>
      </c>
      <c r="V151">
        <v>91</v>
      </c>
      <c r="W151">
        <v>210</v>
      </c>
      <c r="X151">
        <v>20</v>
      </c>
      <c r="Y151">
        <v>550</v>
      </c>
      <c r="Z151">
        <v>38</v>
      </c>
      <c r="AA151">
        <v>200</v>
      </c>
      <c r="AB151" t="s">
        <v>1391</v>
      </c>
    </row>
    <row r="152" spans="1:28" x14ac:dyDescent="0.3">
      <c r="A152">
        <v>77560</v>
      </c>
      <c r="B152" t="s">
        <v>1392</v>
      </c>
      <c r="C152">
        <v>0</v>
      </c>
      <c r="D152">
        <v>1610612752</v>
      </c>
      <c r="E152" t="s">
        <v>1248</v>
      </c>
      <c r="F152">
        <v>240</v>
      </c>
      <c r="G152">
        <v>30</v>
      </c>
      <c r="H152">
        <v>60</v>
      </c>
      <c r="I152">
        <v>6270</v>
      </c>
      <c r="J152">
        <v>70</v>
      </c>
      <c r="K152">
        <v>144</v>
      </c>
      <c r="L152">
        <v>486</v>
      </c>
      <c r="M152">
        <v>0</v>
      </c>
      <c r="N152">
        <v>0</v>
      </c>
      <c r="P152">
        <v>31</v>
      </c>
      <c r="Q152">
        <v>47</v>
      </c>
      <c r="R152">
        <v>66</v>
      </c>
      <c r="S152">
        <v>620</v>
      </c>
      <c r="T152">
        <v>1410</v>
      </c>
      <c r="U152">
        <v>2030</v>
      </c>
      <c r="V152">
        <v>41</v>
      </c>
      <c r="W152">
        <v>380</v>
      </c>
      <c r="X152">
        <v>120</v>
      </c>
      <c r="Y152">
        <v>350</v>
      </c>
      <c r="Z152">
        <v>88</v>
      </c>
      <c r="AA152">
        <v>171</v>
      </c>
      <c r="AB152" t="s">
        <v>1393</v>
      </c>
    </row>
    <row r="153" spans="1:28" x14ac:dyDescent="0.3">
      <c r="A153">
        <v>77560</v>
      </c>
      <c r="B153" t="s">
        <v>1394</v>
      </c>
      <c r="C153">
        <v>0</v>
      </c>
      <c r="D153">
        <v>1610612752</v>
      </c>
      <c r="E153" t="s">
        <v>1248</v>
      </c>
      <c r="F153">
        <v>250</v>
      </c>
      <c r="G153">
        <v>59</v>
      </c>
      <c r="H153">
        <v>160</v>
      </c>
      <c r="I153">
        <v>9720</v>
      </c>
      <c r="J153">
        <v>88</v>
      </c>
      <c r="K153">
        <v>179</v>
      </c>
      <c r="L153">
        <v>492</v>
      </c>
      <c r="M153">
        <v>0</v>
      </c>
      <c r="N153">
        <v>0</v>
      </c>
      <c r="O153">
        <v>0</v>
      </c>
      <c r="P153">
        <v>52</v>
      </c>
      <c r="Q153">
        <v>80</v>
      </c>
      <c r="R153">
        <v>65</v>
      </c>
      <c r="S153">
        <v>740</v>
      </c>
      <c r="T153">
        <v>1530</v>
      </c>
      <c r="U153">
        <v>2270</v>
      </c>
      <c r="V153">
        <v>46</v>
      </c>
      <c r="W153">
        <v>360</v>
      </c>
      <c r="X153">
        <v>160</v>
      </c>
      <c r="Y153">
        <v>640</v>
      </c>
      <c r="Z153">
        <v>136</v>
      </c>
      <c r="AA153">
        <v>228</v>
      </c>
      <c r="AB153" t="s">
        <v>1393</v>
      </c>
    </row>
    <row r="154" spans="1:28" x14ac:dyDescent="0.3">
      <c r="A154">
        <v>77560</v>
      </c>
      <c r="B154" t="s">
        <v>1253</v>
      </c>
      <c r="C154">
        <v>0</v>
      </c>
      <c r="D154">
        <v>1610612752</v>
      </c>
      <c r="E154" t="s">
        <v>1248</v>
      </c>
      <c r="F154">
        <v>260</v>
      </c>
      <c r="G154">
        <v>19</v>
      </c>
      <c r="H154">
        <v>0</v>
      </c>
      <c r="I154">
        <v>2650</v>
      </c>
      <c r="J154">
        <v>23</v>
      </c>
      <c r="K154">
        <v>74</v>
      </c>
      <c r="L154">
        <v>311</v>
      </c>
      <c r="M154">
        <v>0</v>
      </c>
      <c r="N154">
        <v>0</v>
      </c>
      <c r="O154">
        <v>0</v>
      </c>
      <c r="P154">
        <v>21</v>
      </c>
      <c r="Q154">
        <v>31</v>
      </c>
      <c r="R154">
        <v>677</v>
      </c>
      <c r="S154">
        <v>240</v>
      </c>
      <c r="T154">
        <v>400</v>
      </c>
      <c r="U154">
        <v>640</v>
      </c>
      <c r="V154">
        <v>23</v>
      </c>
      <c r="W154">
        <v>160</v>
      </c>
      <c r="X154">
        <v>20</v>
      </c>
      <c r="Y154">
        <v>170</v>
      </c>
      <c r="Z154">
        <v>50</v>
      </c>
      <c r="AA154">
        <v>67</v>
      </c>
      <c r="AB154" t="s">
        <v>1393</v>
      </c>
    </row>
    <row r="155" spans="1:28" x14ac:dyDescent="0.3">
      <c r="A155">
        <v>1629628</v>
      </c>
      <c r="B155" t="s">
        <v>1288</v>
      </c>
      <c r="C155">
        <v>0</v>
      </c>
      <c r="D155">
        <v>1610612752</v>
      </c>
      <c r="E155" t="s">
        <v>1248</v>
      </c>
      <c r="F155">
        <v>200</v>
      </c>
      <c r="G155">
        <v>56</v>
      </c>
      <c r="H155">
        <v>550</v>
      </c>
      <c r="I155">
        <v>17040</v>
      </c>
      <c r="J155">
        <v>292</v>
      </c>
      <c r="K155">
        <v>727</v>
      </c>
      <c r="L155">
        <v>402</v>
      </c>
      <c r="M155">
        <v>630</v>
      </c>
      <c r="N155">
        <v>1970</v>
      </c>
      <c r="O155">
        <v>32</v>
      </c>
      <c r="P155">
        <v>156</v>
      </c>
      <c r="Q155">
        <v>254</v>
      </c>
      <c r="R155">
        <v>614</v>
      </c>
      <c r="S155">
        <v>500</v>
      </c>
      <c r="T155">
        <v>2290</v>
      </c>
      <c r="U155">
        <v>2790</v>
      </c>
      <c r="V155">
        <v>143</v>
      </c>
      <c r="W155">
        <v>550</v>
      </c>
      <c r="X155">
        <v>170</v>
      </c>
      <c r="Y155">
        <v>1240</v>
      </c>
      <c r="Z155">
        <v>122</v>
      </c>
      <c r="AA155">
        <v>803</v>
      </c>
      <c r="AB155" t="s">
        <v>1395</v>
      </c>
    </row>
    <row r="156" spans="1:28" x14ac:dyDescent="0.3">
      <c r="A156">
        <v>1629628</v>
      </c>
      <c r="B156" t="s">
        <v>1289</v>
      </c>
      <c r="C156">
        <v>0</v>
      </c>
      <c r="D156">
        <v>1610612752</v>
      </c>
      <c r="E156" t="s">
        <v>1248</v>
      </c>
      <c r="F156">
        <v>210</v>
      </c>
      <c r="G156">
        <v>72</v>
      </c>
      <c r="H156">
        <v>720</v>
      </c>
      <c r="I156">
        <v>25110</v>
      </c>
      <c r="J156">
        <v>467</v>
      </c>
      <c r="K156">
        <v>1060</v>
      </c>
      <c r="L156">
        <v>441</v>
      </c>
      <c r="M156">
        <v>1240</v>
      </c>
      <c r="N156">
        <v>3090</v>
      </c>
      <c r="O156">
        <v>401</v>
      </c>
      <c r="P156">
        <v>206</v>
      </c>
      <c r="Q156">
        <v>276</v>
      </c>
      <c r="R156">
        <v>746</v>
      </c>
      <c r="S156">
        <v>680</v>
      </c>
      <c r="T156">
        <v>3460</v>
      </c>
      <c r="U156">
        <v>4140</v>
      </c>
      <c r="V156">
        <v>217</v>
      </c>
      <c r="W156">
        <v>530</v>
      </c>
      <c r="X156">
        <v>200</v>
      </c>
      <c r="Y156">
        <v>1390</v>
      </c>
      <c r="Z156">
        <v>188</v>
      </c>
      <c r="AA156">
        <v>1264</v>
      </c>
      <c r="AB156" t="s">
        <v>1395</v>
      </c>
    </row>
    <row r="157" spans="1:28" x14ac:dyDescent="0.3">
      <c r="A157">
        <v>1629628</v>
      </c>
      <c r="B157" t="s">
        <v>1308</v>
      </c>
      <c r="C157">
        <v>0</v>
      </c>
      <c r="D157">
        <v>1610612752</v>
      </c>
      <c r="E157" t="s">
        <v>1248</v>
      </c>
      <c r="F157">
        <v>220</v>
      </c>
      <c r="G157">
        <v>70</v>
      </c>
      <c r="H157">
        <v>700</v>
      </c>
      <c r="I157">
        <v>24170</v>
      </c>
      <c r="J157">
        <v>487</v>
      </c>
      <c r="K157">
        <v>1194</v>
      </c>
      <c r="L157">
        <v>408</v>
      </c>
      <c r="M157">
        <v>1380</v>
      </c>
      <c r="N157">
        <v>4040</v>
      </c>
      <c r="O157">
        <v>342</v>
      </c>
      <c r="P157">
        <v>290</v>
      </c>
      <c r="Q157">
        <v>406</v>
      </c>
      <c r="R157">
        <v>714</v>
      </c>
      <c r="S157">
        <v>660</v>
      </c>
      <c r="T157">
        <v>3420</v>
      </c>
      <c r="U157">
        <v>4080</v>
      </c>
      <c r="V157">
        <v>208</v>
      </c>
      <c r="W157">
        <v>430</v>
      </c>
      <c r="X157">
        <v>160</v>
      </c>
      <c r="Y157">
        <v>1510</v>
      </c>
      <c r="Z157">
        <v>142</v>
      </c>
      <c r="AA157">
        <v>1402</v>
      </c>
      <c r="AB157" t="s">
        <v>1395</v>
      </c>
    </row>
    <row r="158" spans="1:28" x14ac:dyDescent="0.3">
      <c r="A158">
        <v>1629628</v>
      </c>
      <c r="B158" t="s">
        <v>1327</v>
      </c>
      <c r="C158">
        <v>0</v>
      </c>
      <c r="D158">
        <v>1610612752</v>
      </c>
      <c r="E158" t="s">
        <v>1248</v>
      </c>
      <c r="F158">
        <v>230</v>
      </c>
      <c r="G158">
        <v>73</v>
      </c>
      <c r="H158">
        <v>730</v>
      </c>
      <c r="I158">
        <v>24760</v>
      </c>
      <c r="J158">
        <v>510</v>
      </c>
      <c r="K158">
        <v>1176</v>
      </c>
      <c r="L158">
        <v>434</v>
      </c>
      <c r="M158">
        <v>1210</v>
      </c>
      <c r="N158">
        <v>3900</v>
      </c>
      <c r="O158">
        <v>31</v>
      </c>
      <c r="P158">
        <v>290</v>
      </c>
      <c r="Q158">
        <v>392</v>
      </c>
      <c r="R158">
        <v>74</v>
      </c>
      <c r="S158">
        <v>600</v>
      </c>
      <c r="T158">
        <v>3080</v>
      </c>
      <c r="U158">
        <v>3680</v>
      </c>
      <c r="V158">
        <v>201</v>
      </c>
      <c r="W158">
        <v>310</v>
      </c>
      <c r="X158">
        <v>150</v>
      </c>
      <c r="Y158">
        <v>1640</v>
      </c>
      <c r="Z158">
        <v>179</v>
      </c>
      <c r="AA158">
        <v>1431</v>
      </c>
      <c r="AB158" t="s">
        <v>1395</v>
      </c>
    </row>
    <row r="159" spans="1:28" x14ac:dyDescent="0.3">
      <c r="A159">
        <v>1629628</v>
      </c>
      <c r="B159" t="s">
        <v>1369</v>
      </c>
      <c r="C159">
        <v>0</v>
      </c>
      <c r="D159">
        <v>1610612752</v>
      </c>
      <c r="E159" t="s">
        <v>1248</v>
      </c>
      <c r="F159">
        <v>240</v>
      </c>
      <c r="G159">
        <v>26</v>
      </c>
      <c r="H159">
        <v>260</v>
      </c>
      <c r="I159">
        <v>7670</v>
      </c>
      <c r="J159">
        <v>164</v>
      </c>
      <c r="K159">
        <v>388</v>
      </c>
      <c r="L159">
        <v>423</v>
      </c>
      <c r="M159">
        <v>430</v>
      </c>
      <c r="N159">
        <v>1300</v>
      </c>
      <c r="O159">
        <v>331</v>
      </c>
      <c r="P159">
        <v>103</v>
      </c>
      <c r="Q159">
        <v>124</v>
      </c>
      <c r="R159">
        <v>831</v>
      </c>
      <c r="S159">
        <v>190</v>
      </c>
      <c r="T159">
        <v>920</v>
      </c>
      <c r="U159">
        <v>1110</v>
      </c>
      <c r="V159">
        <v>63</v>
      </c>
      <c r="W159">
        <v>120</v>
      </c>
      <c r="X159">
        <v>90</v>
      </c>
      <c r="Y159">
        <v>470</v>
      </c>
      <c r="Z159">
        <v>45</v>
      </c>
      <c r="AA159">
        <v>474</v>
      </c>
      <c r="AB159" t="s">
        <v>1395</v>
      </c>
    </row>
    <row r="160" spans="1:28" x14ac:dyDescent="0.3">
      <c r="A160">
        <v>77554</v>
      </c>
      <c r="B160" t="s">
        <v>1263</v>
      </c>
      <c r="C160">
        <v>0</v>
      </c>
      <c r="D160">
        <v>1610612752</v>
      </c>
      <c r="E160" t="s">
        <v>1248</v>
      </c>
      <c r="F160">
        <v>290</v>
      </c>
      <c r="G160">
        <v>67</v>
      </c>
      <c r="I160">
        <v>21580</v>
      </c>
      <c r="J160">
        <v>298</v>
      </c>
      <c r="K160">
        <v>642</v>
      </c>
      <c r="L160">
        <v>464</v>
      </c>
      <c r="P160">
        <v>67</v>
      </c>
      <c r="Q160">
        <v>86</v>
      </c>
      <c r="R160">
        <v>779</v>
      </c>
      <c r="S160">
        <v>660</v>
      </c>
      <c r="T160">
        <v>2410</v>
      </c>
      <c r="U160">
        <v>3070</v>
      </c>
      <c r="V160">
        <v>139</v>
      </c>
      <c r="W160">
        <v>630</v>
      </c>
      <c r="X160">
        <v>50</v>
      </c>
      <c r="Z160">
        <v>103</v>
      </c>
      <c r="AA160">
        <v>663</v>
      </c>
      <c r="AB160" t="s">
        <v>1396</v>
      </c>
    </row>
    <row r="161" spans="1:28" x14ac:dyDescent="0.3">
      <c r="A161">
        <v>77554</v>
      </c>
      <c r="B161" t="s">
        <v>1264</v>
      </c>
      <c r="C161">
        <v>0</v>
      </c>
      <c r="D161">
        <v>1610612752</v>
      </c>
      <c r="E161" t="s">
        <v>1248</v>
      </c>
      <c r="F161">
        <v>300</v>
      </c>
      <c r="G161">
        <v>81</v>
      </c>
      <c r="I161">
        <v>19770</v>
      </c>
      <c r="J161">
        <v>288</v>
      </c>
      <c r="K161">
        <v>623</v>
      </c>
      <c r="L161">
        <v>462</v>
      </c>
      <c r="P161">
        <v>115</v>
      </c>
      <c r="Q161">
        <v>134</v>
      </c>
      <c r="R161">
        <v>858</v>
      </c>
      <c r="S161">
        <v>800</v>
      </c>
      <c r="T161">
        <v>2090</v>
      </c>
      <c r="U161">
        <v>2890</v>
      </c>
      <c r="V161">
        <v>205</v>
      </c>
      <c r="W161">
        <v>760</v>
      </c>
      <c r="X161">
        <v>170</v>
      </c>
      <c r="Y161">
        <v>1040</v>
      </c>
      <c r="Z161">
        <v>116</v>
      </c>
      <c r="AA161">
        <v>691</v>
      </c>
      <c r="AB161" t="s">
        <v>1396</v>
      </c>
    </row>
    <row r="162" spans="1:28" x14ac:dyDescent="0.3">
      <c r="A162">
        <v>76140</v>
      </c>
      <c r="B162" t="s">
        <v>1265</v>
      </c>
      <c r="C162">
        <v>0</v>
      </c>
      <c r="D162">
        <v>1610612752</v>
      </c>
      <c r="E162" t="s">
        <v>1248</v>
      </c>
      <c r="F162">
        <v>280</v>
      </c>
      <c r="G162">
        <v>5</v>
      </c>
      <c r="I162">
        <v>380</v>
      </c>
      <c r="J162">
        <v>5</v>
      </c>
      <c r="K162">
        <v>12</v>
      </c>
      <c r="L162">
        <v>417</v>
      </c>
      <c r="P162">
        <v>2</v>
      </c>
      <c r="Q162">
        <v>2</v>
      </c>
      <c r="R162">
        <v>10</v>
      </c>
      <c r="S162">
        <v>20</v>
      </c>
      <c r="T162">
        <v>90</v>
      </c>
      <c r="U162">
        <v>110</v>
      </c>
      <c r="V162">
        <v>2</v>
      </c>
      <c r="W162">
        <v>20</v>
      </c>
      <c r="X162">
        <v>0</v>
      </c>
      <c r="Y162">
        <v>40</v>
      </c>
      <c r="Z162">
        <v>8</v>
      </c>
      <c r="AA162">
        <v>12</v>
      </c>
      <c r="AB162" t="s">
        <v>1397</v>
      </c>
    </row>
    <row r="163" spans="1:28" x14ac:dyDescent="0.3">
      <c r="A163">
        <v>78106</v>
      </c>
      <c r="B163" t="s">
        <v>1315</v>
      </c>
      <c r="C163">
        <v>0</v>
      </c>
      <c r="D163">
        <v>1610612752</v>
      </c>
      <c r="E163" t="s">
        <v>1248</v>
      </c>
      <c r="F163">
        <v>220</v>
      </c>
      <c r="G163">
        <v>70</v>
      </c>
      <c r="I163">
        <v>20690</v>
      </c>
      <c r="J163">
        <v>319</v>
      </c>
      <c r="K163">
        <v>728</v>
      </c>
      <c r="L163">
        <v>438</v>
      </c>
      <c r="P163">
        <v>258</v>
      </c>
      <c r="Q163">
        <v>324</v>
      </c>
      <c r="R163">
        <v>796</v>
      </c>
      <c r="U163">
        <v>6160</v>
      </c>
      <c r="V163">
        <v>114</v>
      </c>
      <c r="Z163">
        <v>201</v>
      </c>
      <c r="AA163">
        <v>896</v>
      </c>
      <c r="AB163" t="s">
        <v>1398</v>
      </c>
    </row>
    <row r="164" spans="1:28" x14ac:dyDescent="0.3">
      <c r="A164">
        <v>78106</v>
      </c>
      <c r="B164" t="s">
        <v>1318</v>
      </c>
      <c r="C164">
        <v>0</v>
      </c>
      <c r="D164">
        <v>1610612752</v>
      </c>
      <c r="E164" t="s">
        <v>1248</v>
      </c>
      <c r="F164">
        <v>230</v>
      </c>
      <c r="G164">
        <v>72</v>
      </c>
      <c r="I164">
        <v>25160</v>
      </c>
      <c r="J164">
        <v>343</v>
      </c>
      <c r="K164">
        <v>821</v>
      </c>
      <c r="L164">
        <v>418</v>
      </c>
      <c r="P164">
        <v>383</v>
      </c>
      <c r="Q164">
        <v>485</v>
      </c>
      <c r="R164">
        <v>79</v>
      </c>
      <c r="U164">
        <v>6140</v>
      </c>
      <c r="V164">
        <v>101</v>
      </c>
      <c r="Z164">
        <v>226</v>
      </c>
      <c r="AA164">
        <v>1069</v>
      </c>
      <c r="AB164" t="s">
        <v>1398</v>
      </c>
    </row>
    <row r="165" spans="1:28" x14ac:dyDescent="0.3">
      <c r="A165">
        <v>78106</v>
      </c>
      <c r="B165" t="s">
        <v>1320</v>
      </c>
      <c r="C165">
        <v>0</v>
      </c>
      <c r="D165">
        <v>1610612752</v>
      </c>
      <c r="E165" t="s">
        <v>1248</v>
      </c>
      <c r="F165">
        <v>240</v>
      </c>
      <c r="G165">
        <v>72</v>
      </c>
      <c r="I165">
        <v>26850</v>
      </c>
      <c r="J165">
        <v>445</v>
      </c>
      <c r="K165">
        <v>1014</v>
      </c>
      <c r="L165">
        <v>439</v>
      </c>
      <c r="P165">
        <v>452</v>
      </c>
      <c r="Q165">
        <v>550</v>
      </c>
      <c r="R165">
        <v>822</v>
      </c>
      <c r="U165">
        <v>7850</v>
      </c>
      <c r="V165">
        <v>126</v>
      </c>
      <c r="Z165">
        <v>251</v>
      </c>
      <c r="AA165">
        <v>1342</v>
      </c>
      <c r="AB165" t="s">
        <v>1398</v>
      </c>
    </row>
    <row r="166" spans="1:28" x14ac:dyDescent="0.3">
      <c r="A166">
        <v>78106</v>
      </c>
      <c r="B166" t="s">
        <v>1250</v>
      </c>
      <c r="C166">
        <v>0</v>
      </c>
      <c r="D166">
        <v>1610612752</v>
      </c>
      <c r="E166" t="s">
        <v>1248</v>
      </c>
      <c r="F166">
        <v>250</v>
      </c>
      <c r="G166">
        <v>71</v>
      </c>
      <c r="I166">
        <v>24980</v>
      </c>
      <c r="J166">
        <v>491</v>
      </c>
      <c r="K166">
        <v>1002</v>
      </c>
      <c r="L166">
        <v>49</v>
      </c>
      <c r="P166">
        <v>506</v>
      </c>
      <c r="Q166">
        <v>588</v>
      </c>
      <c r="R166">
        <v>861</v>
      </c>
      <c r="U166">
        <v>6580</v>
      </c>
      <c r="V166">
        <v>136</v>
      </c>
      <c r="Z166">
        <v>237</v>
      </c>
      <c r="AA166">
        <v>1488</v>
      </c>
      <c r="AB166" t="s">
        <v>1398</v>
      </c>
    </row>
    <row r="167" spans="1:28" x14ac:dyDescent="0.3">
      <c r="A167">
        <v>78106</v>
      </c>
      <c r="B167" t="s">
        <v>1321</v>
      </c>
      <c r="C167">
        <v>0</v>
      </c>
      <c r="D167">
        <v>1610612752</v>
      </c>
      <c r="E167" t="s">
        <v>1248</v>
      </c>
      <c r="F167">
        <v>260</v>
      </c>
      <c r="G167">
        <v>64</v>
      </c>
      <c r="I167">
        <v>20990</v>
      </c>
      <c r="J167">
        <v>412</v>
      </c>
      <c r="K167">
        <v>863</v>
      </c>
      <c r="L167">
        <v>477</v>
      </c>
      <c r="P167">
        <v>363</v>
      </c>
      <c r="Q167">
        <v>418</v>
      </c>
      <c r="R167">
        <v>868</v>
      </c>
      <c r="U167">
        <v>8760</v>
      </c>
      <c r="V167">
        <v>127</v>
      </c>
      <c r="Z167">
        <v>191</v>
      </c>
      <c r="AA167">
        <v>1187</v>
      </c>
      <c r="AB167" t="s">
        <v>1398</v>
      </c>
    </row>
    <row r="168" spans="1:28" x14ac:dyDescent="0.3">
      <c r="A168">
        <v>78106</v>
      </c>
      <c r="B168" t="s">
        <v>1322</v>
      </c>
      <c r="C168">
        <v>0</v>
      </c>
      <c r="D168">
        <v>1610612752</v>
      </c>
      <c r="E168" t="s">
        <v>1248</v>
      </c>
      <c r="F168">
        <v>270</v>
      </c>
      <c r="G168">
        <v>52</v>
      </c>
      <c r="I168">
        <v>13960</v>
      </c>
      <c r="J168">
        <v>241</v>
      </c>
      <c r="K168">
        <v>568</v>
      </c>
      <c r="L168">
        <v>424</v>
      </c>
      <c r="P168">
        <v>268</v>
      </c>
      <c r="Q168">
        <v>325</v>
      </c>
      <c r="R168">
        <v>825</v>
      </c>
      <c r="U168">
        <v>2930</v>
      </c>
      <c r="V168">
        <v>102</v>
      </c>
      <c r="Z168">
        <v>165</v>
      </c>
      <c r="AA168">
        <v>750</v>
      </c>
      <c r="AB168" t="s">
        <v>1398</v>
      </c>
    </row>
    <row r="169" spans="1:28" x14ac:dyDescent="0.3">
      <c r="A169">
        <v>76106</v>
      </c>
      <c r="B169" t="s">
        <v>1358</v>
      </c>
      <c r="C169">
        <v>0</v>
      </c>
      <c r="D169">
        <v>1610612752</v>
      </c>
      <c r="E169" t="s">
        <v>1248</v>
      </c>
      <c r="F169">
        <v>300</v>
      </c>
      <c r="G169">
        <v>28</v>
      </c>
      <c r="I169">
        <v>5380</v>
      </c>
      <c r="J169">
        <v>70</v>
      </c>
      <c r="K169">
        <v>172</v>
      </c>
      <c r="L169">
        <v>407</v>
      </c>
      <c r="P169">
        <v>43</v>
      </c>
      <c r="Q169">
        <v>50</v>
      </c>
      <c r="R169">
        <v>86</v>
      </c>
      <c r="S169">
        <v>150</v>
      </c>
      <c r="T169">
        <v>360</v>
      </c>
      <c r="U169">
        <v>510</v>
      </c>
      <c r="V169">
        <v>39</v>
      </c>
      <c r="W169">
        <v>120</v>
      </c>
      <c r="X169">
        <v>0</v>
      </c>
      <c r="Z169">
        <v>51</v>
      </c>
      <c r="AA169">
        <v>183</v>
      </c>
      <c r="AB169" t="s">
        <v>1399</v>
      </c>
    </row>
    <row r="170" spans="1:28" x14ac:dyDescent="0.3">
      <c r="A170">
        <v>76106</v>
      </c>
      <c r="B170" t="s">
        <v>1261</v>
      </c>
      <c r="C170">
        <v>0</v>
      </c>
      <c r="D170">
        <v>1610612752</v>
      </c>
      <c r="E170" t="s">
        <v>1248</v>
      </c>
      <c r="F170">
        <v>310</v>
      </c>
      <c r="G170">
        <v>71</v>
      </c>
      <c r="I170">
        <v>10260</v>
      </c>
      <c r="J170">
        <v>164</v>
      </c>
      <c r="K170">
        <v>371</v>
      </c>
      <c r="L170">
        <v>442</v>
      </c>
      <c r="P170">
        <v>90</v>
      </c>
      <c r="Q170">
        <v>114</v>
      </c>
      <c r="R170">
        <v>789</v>
      </c>
      <c r="S170">
        <v>480</v>
      </c>
      <c r="T170">
        <v>400</v>
      </c>
      <c r="U170">
        <v>880</v>
      </c>
      <c r="V170">
        <v>90</v>
      </c>
      <c r="W170">
        <v>240</v>
      </c>
      <c r="X170">
        <v>30</v>
      </c>
      <c r="Z170">
        <v>86</v>
      </c>
      <c r="AA170">
        <v>418</v>
      </c>
      <c r="AB170" t="s">
        <v>1399</v>
      </c>
    </row>
    <row r="171" spans="1:28" x14ac:dyDescent="0.3">
      <c r="A171">
        <v>77553</v>
      </c>
      <c r="B171" t="s">
        <v>1263</v>
      </c>
      <c r="C171">
        <v>0</v>
      </c>
      <c r="D171">
        <v>1610612752</v>
      </c>
      <c r="E171" t="s">
        <v>1248</v>
      </c>
      <c r="F171">
        <v>250</v>
      </c>
      <c r="G171">
        <v>56</v>
      </c>
      <c r="I171">
        <v>12220</v>
      </c>
      <c r="J171">
        <v>229</v>
      </c>
      <c r="K171">
        <v>471</v>
      </c>
      <c r="L171">
        <v>486</v>
      </c>
      <c r="P171">
        <v>70</v>
      </c>
      <c r="Q171">
        <v>87</v>
      </c>
      <c r="R171">
        <v>805</v>
      </c>
      <c r="S171">
        <v>850</v>
      </c>
      <c r="T171">
        <v>2320</v>
      </c>
      <c r="U171">
        <v>3170</v>
      </c>
      <c r="V171">
        <v>51</v>
      </c>
      <c r="W171">
        <v>100</v>
      </c>
      <c r="X171">
        <v>40</v>
      </c>
      <c r="Z171">
        <v>134</v>
      </c>
      <c r="AA171">
        <v>528</v>
      </c>
      <c r="AB171" t="s">
        <v>1400</v>
      </c>
    </row>
    <row r="172" spans="1:28" x14ac:dyDescent="0.3">
      <c r="A172">
        <v>202338</v>
      </c>
      <c r="B172" t="s">
        <v>1279</v>
      </c>
      <c r="C172">
        <v>0</v>
      </c>
      <c r="D172">
        <v>1610612752</v>
      </c>
      <c r="E172" t="s">
        <v>1248</v>
      </c>
      <c r="F172">
        <v>260</v>
      </c>
      <c r="G172">
        <v>48</v>
      </c>
      <c r="H172">
        <v>0</v>
      </c>
      <c r="I172">
        <v>5260</v>
      </c>
      <c r="J172">
        <v>84</v>
      </c>
      <c r="K172">
        <v>205</v>
      </c>
      <c r="L172">
        <v>41</v>
      </c>
      <c r="M172">
        <v>0</v>
      </c>
      <c r="N172">
        <v>20</v>
      </c>
      <c r="O172">
        <v>0</v>
      </c>
      <c r="P172">
        <v>19</v>
      </c>
      <c r="Q172">
        <v>23</v>
      </c>
      <c r="R172">
        <v>826</v>
      </c>
      <c r="S172">
        <v>310</v>
      </c>
      <c r="T172">
        <v>950</v>
      </c>
      <c r="U172">
        <v>1260</v>
      </c>
      <c r="V172">
        <v>47</v>
      </c>
      <c r="W172">
        <v>80</v>
      </c>
      <c r="X172">
        <v>360</v>
      </c>
      <c r="Y172">
        <v>430</v>
      </c>
      <c r="Z172">
        <v>67</v>
      </c>
      <c r="AA172">
        <v>187</v>
      </c>
      <c r="AB172" t="s">
        <v>1401</v>
      </c>
    </row>
    <row r="173" spans="1:28" x14ac:dyDescent="0.3">
      <c r="A173">
        <v>77545</v>
      </c>
      <c r="B173" t="s">
        <v>1272</v>
      </c>
      <c r="C173">
        <v>0</v>
      </c>
      <c r="D173">
        <v>1610612752</v>
      </c>
      <c r="E173" t="s">
        <v>1248</v>
      </c>
      <c r="F173">
        <v>270</v>
      </c>
      <c r="G173">
        <v>2</v>
      </c>
      <c r="H173">
        <v>0</v>
      </c>
      <c r="I173">
        <v>90</v>
      </c>
      <c r="J173">
        <v>2</v>
      </c>
      <c r="K173">
        <v>9</v>
      </c>
      <c r="L173">
        <v>222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</v>
      </c>
      <c r="U173">
        <v>10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4</v>
      </c>
      <c r="AB173" t="s">
        <v>1402</v>
      </c>
    </row>
    <row r="174" spans="1:28" x14ac:dyDescent="0.3">
      <c r="A174">
        <v>77960</v>
      </c>
      <c r="B174" t="s">
        <v>1356</v>
      </c>
      <c r="C174">
        <v>0</v>
      </c>
      <c r="D174">
        <v>1610612752</v>
      </c>
      <c r="E174" t="s">
        <v>1248</v>
      </c>
      <c r="F174">
        <v>230</v>
      </c>
      <c r="G174">
        <v>14</v>
      </c>
      <c r="I174">
        <v>650</v>
      </c>
      <c r="J174">
        <v>10</v>
      </c>
      <c r="K174">
        <v>24</v>
      </c>
      <c r="L174">
        <v>417</v>
      </c>
      <c r="P174">
        <v>15</v>
      </c>
      <c r="Q174">
        <v>24</v>
      </c>
      <c r="R174">
        <v>625</v>
      </c>
      <c r="U174">
        <v>160</v>
      </c>
      <c r="V174">
        <v>2</v>
      </c>
      <c r="Z174">
        <v>15</v>
      </c>
      <c r="AA174">
        <v>35</v>
      </c>
      <c r="AB174" t="s">
        <v>1403</v>
      </c>
    </row>
    <row r="175" spans="1:28" x14ac:dyDescent="0.3">
      <c r="A175">
        <v>77960</v>
      </c>
      <c r="B175" t="s">
        <v>1357</v>
      </c>
      <c r="C175">
        <v>0</v>
      </c>
      <c r="D175">
        <v>1610612752</v>
      </c>
      <c r="E175" t="s">
        <v>1248</v>
      </c>
      <c r="F175">
        <v>240</v>
      </c>
      <c r="G175">
        <v>17</v>
      </c>
      <c r="I175">
        <v>570</v>
      </c>
      <c r="J175">
        <v>13</v>
      </c>
      <c r="K175">
        <v>29</v>
      </c>
      <c r="L175">
        <v>448</v>
      </c>
      <c r="P175">
        <v>12</v>
      </c>
      <c r="Q175">
        <v>17</v>
      </c>
      <c r="R175">
        <v>706</v>
      </c>
      <c r="S175">
        <v>90</v>
      </c>
      <c r="T175">
        <v>60</v>
      </c>
      <c r="U175">
        <v>150</v>
      </c>
      <c r="V175">
        <v>3</v>
      </c>
      <c r="W175">
        <v>0</v>
      </c>
      <c r="X175">
        <v>0</v>
      </c>
      <c r="Z175">
        <v>6</v>
      </c>
      <c r="AA175">
        <v>38</v>
      </c>
      <c r="AB175" t="s">
        <v>1403</v>
      </c>
    </row>
    <row r="176" spans="1:28" x14ac:dyDescent="0.3">
      <c r="A176">
        <v>77960</v>
      </c>
      <c r="B176" t="s">
        <v>1358</v>
      </c>
      <c r="C176">
        <v>0</v>
      </c>
      <c r="D176">
        <v>1610612752</v>
      </c>
      <c r="E176" t="s">
        <v>1248</v>
      </c>
      <c r="F176">
        <v>250</v>
      </c>
      <c r="G176">
        <v>51</v>
      </c>
      <c r="I176">
        <v>4830</v>
      </c>
      <c r="J176">
        <v>53</v>
      </c>
      <c r="K176">
        <v>147</v>
      </c>
      <c r="L176">
        <v>361</v>
      </c>
      <c r="P176">
        <v>46</v>
      </c>
      <c r="Q176">
        <v>82</v>
      </c>
      <c r="R176">
        <v>561</v>
      </c>
      <c r="S176">
        <v>400</v>
      </c>
      <c r="T176">
        <v>670</v>
      </c>
      <c r="U176">
        <v>1070</v>
      </c>
      <c r="V176">
        <v>19</v>
      </c>
      <c r="W176">
        <v>150</v>
      </c>
      <c r="X176">
        <v>50</v>
      </c>
      <c r="Z176">
        <v>64</v>
      </c>
      <c r="AA176">
        <v>152</v>
      </c>
      <c r="AB176" t="s">
        <v>1403</v>
      </c>
    </row>
    <row r="177" spans="1:28" x14ac:dyDescent="0.3">
      <c r="A177">
        <v>203143</v>
      </c>
      <c r="B177" t="s">
        <v>1292</v>
      </c>
      <c r="C177">
        <v>0</v>
      </c>
      <c r="D177">
        <v>1610612752</v>
      </c>
      <c r="E177" t="s">
        <v>1248</v>
      </c>
      <c r="F177">
        <v>360</v>
      </c>
      <c r="G177">
        <v>78</v>
      </c>
      <c r="H177">
        <v>180</v>
      </c>
      <c r="I177">
        <v>12630</v>
      </c>
      <c r="J177">
        <v>100</v>
      </c>
      <c r="K177">
        <v>220</v>
      </c>
      <c r="L177">
        <v>455</v>
      </c>
      <c r="M177">
        <v>530</v>
      </c>
      <c r="N177">
        <v>1340</v>
      </c>
      <c r="O177">
        <v>396</v>
      </c>
      <c r="P177">
        <v>22</v>
      </c>
      <c r="Q177">
        <v>25</v>
      </c>
      <c r="R177">
        <v>88</v>
      </c>
      <c r="S177">
        <v>410</v>
      </c>
      <c r="T177">
        <v>1020</v>
      </c>
      <c r="U177">
        <v>1430</v>
      </c>
      <c r="V177">
        <v>236</v>
      </c>
      <c r="W177">
        <v>690</v>
      </c>
      <c r="X177">
        <v>20</v>
      </c>
      <c r="Y177">
        <v>860</v>
      </c>
      <c r="Z177">
        <v>127</v>
      </c>
      <c r="AA177">
        <v>275</v>
      </c>
      <c r="AB177" t="s">
        <v>1404</v>
      </c>
    </row>
    <row r="178" spans="1:28" x14ac:dyDescent="0.3">
      <c r="A178">
        <v>203143</v>
      </c>
      <c r="B178" t="s">
        <v>1337</v>
      </c>
      <c r="C178">
        <v>0</v>
      </c>
      <c r="D178">
        <v>1610612752</v>
      </c>
      <c r="E178" t="s">
        <v>1248</v>
      </c>
      <c r="F178">
        <v>370</v>
      </c>
      <c r="G178">
        <v>66</v>
      </c>
      <c r="H178">
        <v>270</v>
      </c>
      <c r="I178">
        <v>12830</v>
      </c>
      <c r="J178">
        <v>88</v>
      </c>
      <c r="K178">
        <v>191</v>
      </c>
      <c r="L178">
        <v>461</v>
      </c>
      <c r="M178">
        <v>650</v>
      </c>
      <c r="N178">
        <v>1400</v>
      </c>
      <c r="O178">
        <v>464</v>
      </c>
      <c r="P178">
        <v>11</v>
      </c>
      <c r="Q178">
        <v>12</v>
      </c>
      <c r="R178">
        <v>917</v>
      </c>
      <c r="S178">
        <v>360</v>
      </c>
      <c r="T178">
        <v>930</v>
      </c>
      <c r="U178">
        <v>1290</v>
      </c>
      <c r="V178">
        <v>228</v>
      </c>
      <c r="W178">
        <v>670</v>
      </c>
      <c r="X178">
        <v>20</v>
      </c>
      <c r="Y178">
        <v>600</v>
      </c>
      <c r="Z178">
        <v>132</v>
      </c>
      <c r="AA178">
        <v>252</v>
      </c>
      <c r="AB178" t="s">
        <v>1404</v>
      </c>
    </row>
    <row r="179" spans="1:28" x14ac:dyDescent="0.3">
      <c r="A179">
        <v>203143</v>
      </c>
      <c r="B179" t="s">
        <v>1343</v>
      </c>
      <c r="C179">
        <v>0</v>
      </c>
      <c r="D179">
        <v>1610612752</v>
      </c>
      <c r="E179" t="s">
        <v>1248</v>
      </c>
      <c r="F179">
        <v>380</v>
      </c>
      <c r="G179">
        <v>43</v>
      </c>
      <c r="H179">
        <v>30</v>
      </c>
      <c r="I179">
        <v>7950</v>
      </c>
      <c r="J179">
        <v>68</v>
      </c>
      <c r="K179">
        <v>161</v>
      </c>
      <c r="L179">
        <v>422</v>
      </c>
      <c r="M179">
        <v>430</v>
      </c>
      <c r="N179">
        <v>1150</v>
      </c>
      <c r="O179">
        <v>374</v>
      </c>
      <c r="P179">
        <v>22</v>
      </c>
      <c r="Q179">
        <v>26</v>
      </c>
      <c r="R179">
        <v>846</v>
      </c>
      <c r="S179">
        <v>180</v>
      </c>
      <c r="T179">
        <v>620</v>
      </c>
      <c r="U179">
        <v>800</v>
      </c>
      <c r="V179">
        <v>104</v>
      </c>
      <c r="W179">
        <v>520</v>
      </c>
      <c r="X179">
        <v>10</v>
      </c>
      <c r="Y179">
        <v>470</v>
      </c>
      <c r="Z179">
        <v>53</v>
      </c>
      <c r="AA179">
        <v>201</v>
      </c>
      <c r="AB179" t="s">
        <v>1404</v>
      </c>
    </row>
    <row r="180" spans="1:28" x14ac:dyDescent="0.3">
      <c r="A180">
        <v>77537</v>
      </c>
      <c r="B180" t="s">
        <v>1266</v>
      </c>
      <c r="C180">
        <v>0</v>
      </c>
      <c r="D180">
        <v>1610612752</v>
      </c>
      <c r="E180" t="s">
        <v>1248</v>
      </c>
      <c r="F180">
        <v>240</v>
      </c>
      <c r="G180">
        <v>68</v>
      </c>
      <c r="J180">
        <v>190</v>
      </c>
      <c r="K180">
        <v>563</v>
      </c>
      <c r="L180">
        <v>337</v>
      </c>
      <c r="P180">
        <v>204</v>
      </c>
      <c r="Q180">
        <v>313</v>
      </c>
      <c r="R180">
        <v>652</v>
      </c>
      <c r="V180">
        <v>386</v>
      </c>
      <c r="Z180">
        <v>160</v>
      </c>
      <c r="AA180">
        <v>584</v>
      </c>
      <c r="AB180" t="s">
        <v>1405</v>
      </c>
    </row>
    <row r="181" spans="1:28" x14ac:dyDescent="0.3">
      <c r="A181">
        <v>77537</v>
      </c>
      <c r="B181" t="s">
        <v>1378</v>
      </c>
      <c r="C181">
        <v>0</v>
      </c>
      <c r="D181">
        <v>1610612752</v>
      </c>
      <c r="E181" t="s">
        <v>1248</v>
      </c>
      <c r="F181">
        <v>250</v>
      </c>
      <c r="G181">
        <v>64</v>
      </c>
      <c r="J181">
        <v>179</v>
      </c>
      <c r="K181">
        <v>482</v>
      </c>
      <c r="L181">
        <v>371</v>
      </c>
      <c r="P181">
        <v>179</v>
      </c>
      <c r="Q181">
        <v>276</v>
      </c>
      <c r="R181">
        <v>649</v>
      </c>
      <c r="U181">
        <v>3340</v>
      </c>
      <c r="V181">
        <v>400</v>
      </c>
      <c r="Z181">
        <v>154</v>
      </c>
      <c r="AA181">
        <v>537</v>
      </c>
      <c r="AB181" t="s">
        <v>1405</v>
      </c>
    </row>
    <row r="182" spans="1:28" x14ac:dyDescent="0.3">
      <c r="A182">
        <v>77537</v>
      </c>
      <c r="B182" t="s">
        <v>1247</v>
      </c>
      <c r="C182">
        <v>0</v>
      </c>
      <c r="D182">
        <v>1610612752</v>
      </c>
      <c r="E182" t="s">
        <v>1248</v>
      </c>
      <c r="F182">
        <v>260</v>
      </c>
      <c r="G182">
        <v>64</v>
      </c>
      <c r="I182">
        <v>20180</v>
      </c>
      <c r="J182">
        <v>204</v>
      </c>
      <c r="K182">
        <v>474</v>
      </c>
      <c r="L182">
        <v>43</v>
      </c>
      <c r="P182">
        <v>183</v>
      </c>
      <c r="Q182">
        <v>290</v>
      </c>
      <c r="R182">
        <v>631</v>
      </c>
      <c r="U182">
        <v>3320</v>
      </c>
      <c r="V182">
        <v>388</v>
      </c>
      <c r="Z182">
        <v>181</v>
      </c>
      <c r="AA182">
        <v>591</v>
      </c>
      <c r="AB182" t="s">
        <v>1405</v>
      </c>
    </row>
    <row r="183" spans="1:28" x14ac:dyDescent="0.3">
      <c r="A183">
        <v>77537</v>
      </c>
      <c r="B183" t="s">
        <v>1390</v>
      </c>
      <c r="C183">
        <v>0</v>
      </c>
      <c r="D183">
        <v>1610612752</v>
      </c>
      <c r="E183" t="s">
        <v>1248</v>
      </c>
      <c r="F183">
        <v>270</v>
      </c>
      <c r="G183">
        <v>61</v>
      </c>
      <c r="I183">
        <v>17830</v>
      </c>
      <c r="J183">
        <v>142</v>
      </c>
      <c r="K183">
        <v>373</v>
      </c>
      <c r="L183">
        <v>381</v>
      </c>
      <c r="P183">
        <v>153</v>
      </c>
      <c r="Q183">
        <v>269</v>
      </c>
      <c r="R183">
        <v>569</v>
      </c>
      <c r="U183">
        <v>2800</v>
      </c>
      <c r="V183">
        <v>296</v>
      </c>
      <c r="Z183">
        <v>172</v>
      </c>
      <c r="AA183">
        <v>437</v>
      </c>
      <c r="AB183" t="s">
        <v>1405</v>
      </c>
    </row>
    <row r="184" spans="1:28" x14ac:dyDescent="0.3">
      <c r="A184">
        <v>77537</v>
      </c>
      <c r="B184" t="s">
        <v>1349</v>
      </c>
      <c r="C184">
        <v>0</v>
      </c>
      <c r="D184">
        <v>1610612752</v>
      </c>
      <c r="E184" t="s">
        <v>1248</v>
      </c>
      <c r="F184">
        <v>280</v>
      </c>
      <c r="G184">
        <v>68</v>
      </c>
      <c r="I184">
        <v>23430</v>
      </c>
      <c r="J184">
        <v>201</v>
      </c>
      <c r="K184">
        <v>493</v>
      </c>
      <c r="L184">
        <v>408</v>
      </c>
      <c r="P184">
        <v>220</v>
      </c>
      <c r="Q184">
        <v>345</v>
      </c>
      <c r="R184">
        <v>638</v>
      </c>
      <c r="U184">
        <v>3100</v>
      </c>
      <c r="V184">
        <v>354</v>
      </c>
      <c r="Z184">
        <v>199</v>
      </c>
      <c r="AA184">
        <v>622</v>
      </c>
      <c r="AB184" t="s">
        <v>1405</v>
      </c>
    </row>
    <row r="185" spans="1:28" x14ac:dyDescent="0.3">
      <c r="A185">
        <v>77537</v>
      </c>
      <c r="B185" t="s">
        <v>1362</v>
      </c>
      <c r="C185">
        <v>0</v>
      </c>
      <c r="D185">
        <v>1610612752</v>
      </c>
      <c r="E185" t="s">
        <v>1248</v>
      </c>
      <c r="F185">
        <v>290</v>
      </c>
      <c r="G185">
        <v>71</v>
      </c>
      <c r="I185">
        <v>23100</v>
      </c>
      <c r="J185">
        <v>226</v>
      </c>
      <c r="K185">
        <v>581</v>
      </c>
      <c r="L185">
        <v>389</v>
      </c>
      <c r="P185">
        <v>195</v>
      </c>
      <c r="Q185">
        <v>303</v>
      </c>
      <c r="R185">
        <v>644</v>
      </c>
      <c r="U185">
        <v>3220</v>
      </c>
      <c r="V185">
        <v>542</v>
      </c>
      <c r="Z185">
        <v>143</v>
      </c>
      <c r="AA185">
        <v>647</v>
      </c>
      <c r="AB185" t="s">
        <v>1405</v>
      </c>
    </row>
    <row r="186" spans="1:28" x14ac:dyDescent="0.3">
      <c r="A186">
        <v>77537</v>
      </c>
      <c r="B186" t="s">
        <v>1315</v>
      </c>
      <c r="C186">
        <v>0</v>
      </c>
      <c r="D186">
        <v>1610612752</v>
      </c>
      <c r="E186" t="s">
        <v>1248</v>
      </c>
      <c r="F186">
        <v>300</v>
      </c>
      <c r="G186">
        <v>62</v>
      </c>
      <c r="I186">
        <v>16850</v>
      </c>
      <c r="J186">
        <v>152</v>
      </c>
      <c r="K186">
        <v>438</v>
      </c>
      <c r="L186">
        <v>347</v>
      </c>
      <c r="P186">
        <v>121</v>
      </c>
      <c r="Q186">
        <v>193</v>
      </c>
      <c r="R186">
        <v>627</v>
      </c>
      <c r="U186">
        <v>2200</v>
      </c>
      <c r="V186">
        <v>362</v>
      </c>
      <c r="Z186">
        <v>146</v>
      </c>
      <c r="AA186">
        <v>425</v>
      </c>
      <c r="AB186" t="s">
        <v>1405</v>
      </c>
    </row>
    <row r="187" spans="1:28" x14ac:dyDescent="0.3">
      <c r="A187">
        <v>77537</v>
      </c>
      <c r="B187" t="s">
        <v>1318</v>
      </c>
      <c r="C187">
        <v>0</v>
      </c>
      <c r="D187">
        <v>1610612752</v>
      </c>
      <c r="E187" t="s">
        <v>1248</v>
      </c>
      <c r="F187">
        <v>310</v>
      </c>
      <c r="G187">
        <v>72</v>
      </c>
      <c r="I187">
        <v>11910</v>
      </c>
      <c r="J187">
        <v>140</v>
      </c>
      <c r="K187">
        <v>366</v>
      </c>
      <c r="L187">
        <v>383</v>
      </c>
      <c r="P187">
        <v>105</v>
      </c>
      <c r="Q187">
        <v>163</v>
      </c>
      <c r="R187">
        <v>644</v>
      </c>
      <c r="U187">
        <v>1460</v>
      </c>
      <c r="V187">
        <v>222</v>
      </c>
      <c r="Z187">
        <v>103</v>
      </c>
      <c r="AA187">
        <v>385</v>
      </c>
      <c r="AB187" t="s">
        <v>1405</v>
      </c>
    </row>
    <row r="188" spans="1:28" x14ac:dyDescent="0.3">
      <c r="A188">
        <v>76094</v>
      </c>
      <c r="B188" t="s">
        <v>1406</v>
      </c>
      <c r="C188">
        <v>0</v>
      </c>
      <c r="D188">
        <v>1610612752</v>
      </c>
      <c r="E188" t="s">
        <v>1248</v>
      </c>
      <c r="F188">
        <v>250</v>
      </c>
      <c r="G188">
        <v>75</v>
      </c>
      <c r="H188">
        <v>500</v>
      </c>
      <c r="I188">
        <v>14040</v>
      </c>
      <c r="J188">
        <v>209</v>
      </c>
      <c r="K188">
        <v>445</v>
      </c>
      <c r="L188">
        <v>47</v>
      </c>
      <c r="M188">
        <v>0</v>
      </c>
      <c r="N188">
        <v>0</v>
      </c>
      <c r="O188">
        <v>0</v>
      </c>
      <c r="P188">
        <v>91</v>
      </c>
      <c r="Q188">
        <v>192</v>
      </c>
      <c r="R188">
        <v>474</v>
      </c>
      <c r="S188">
        <v>1080</v>
      </c>
      <c r="T188">
        <v>2220</v>
      </c>
      <c r="U188">
        <v>3300</v>
      </c>
      <c r="V188">
        <v>39</v>
      </c>
      <c r="W188">
        <v>380</v>
      </c>
      <c r="X188">
        <v>400</v>
      </c>
      <c r="Y188">
        <v>1410</v>
      </c>
      <c r="Z188">
        <v>279</v>
      </c>
      <c r="AA188">
        <v>509</v>
      </c>
      <c r="AB188" t="s">
        <v>1407</v>
      </c>
    </row>
    <row r="189" spans="1:28" x14ac:dyDescent="0.3">
      <c r="A189">
        <v>76094</v>
      </c>
      <c r="B189" t="s">
        <v>1392</v>
      </c>
      <c r="C189">
        <v>0</v>
      </c>
      <c r="D189">
        <v>1610612752</v>
      </c>
      <c r="E189" t="s">
        <v>1248</v>
      </c>
      <c r="F189">
        <v>260</v>
      </c>
      <c r="G189">
        <v>70</v>
      </c>
      <c r="H189">
        <v>150</v>
      </c>
      <c r="I189">
        <v>14050</v>
      </c>
      <c r="J189">
        <v>235</v>
      </c>
      <c r="K189">
        <v>479</v>
      </c>
      <c r="L189">
        <v>491</v>
      </c>
      <c r="M189">
        <v>0</v>
      </c>
      <c r="N189">
        <v>10</v>
      </c>
      <c r="O189">
        <v>0</v>
      </c>
      <c r="P189">
        <v>131</v>
      </c>
      <c r="Q189">
        <v>249</v>
      </c>
      <c r="R189">
        <v>526</v>
      </c>
      <c r="S189">
        <v>890</v>
      </c>
      <c r="T189">
        <v>2330</v>
      </c>
      <c r="U189">
        <v>3220</v>
      </c>
      <c r="V189">
        <v>42</v>
      </c>
      <c r="W189">
        <v>420</v>
      </c>
      <c r="X189">
        <v>240</v>
      </c>
      <c r="Y189">
        <v>1290</v>
      </c>
      <c r="Z189">
        <v>208</v>
      </c>
      <c r="AA189">
        <v>601</v>
      </c>
      <c r="AB189" t="s">
        <v>1407</v>
      </c>
    </row>
    <row r="190" spans="1:28" x14ac:dyDescent="0.3">
      <c r="A190">
        <v>201565</v>
      </c>
      <c r="B190" t="s">
        <v>1281</v>
      </c>
      <c r="C190">
        <v>0</v>
      </c>
      <c r="D190">
        <v>1610612752</v>
      </c>
      <c r="E190" t="s">
        <v>1248</v>
      </c>
      <c r="F190">
        <v>280</v>
      </c>
      <c r="G190">
        <v>64</v>
      </c>
      <c r="H190">
        <v>640</v>
      </c>
      <c r="I190">
        <v>20820</v>
      </c>
      <c r="J190">
        <v>460</v>
      </c>
      <c r="K190">
        <v>977</v>
      </c>
      <c r="L190">
        <v>471</v>
      </c>
      <c r="M190">
        <v>130</v>
      </c>
      <c r="N190">
        <v>600</v>
      </c>
      <c r="O190">
        <v>217</v>
      </c>
      <c r="P190">
        <v>221</v>
      </c>
      <c r="Q190">
        <v>253</v>
      </c>
      <c r="R190">
        <v>874</v>
      </c>
      <c r="S190">
        <v>660</v>
      </c>
      <c r="T190">
        <v>1800</v>
      </c>
      <c r="U190">
        <v>2460</v>
      </c>
      <c r="V190">
        <v>283</v>
      </c>
      <c r="W190">
        <v>440</v>
      </c>
      <c r="X190">
        <v>170</v>
      </c>
      <c r="Y190">
        <v>1470</v>
      </c>
      <c r="Z190">
        <v>84</v>
      </c>
      <c r="AA190">
        <v>1154</v>
      </c>
      <c r="AB190" t="s">
        <v>1408</v>
      </c>
    </row>
    <row r="191" spans="1:28" x14ac:dyDescent="0.3">
      <c r="A191">
        <v>201565</v>
      </c>
      <c r="B191" t="s">
        <v>1289</v>
      </c>
      <c r="C191">
        <v>0</v>
      </c>
      <c r="D191">
        <v>1610612752</v>
      </c>
      <c r="E191" t="s">
        <v>1248</v>
      </c>
      <c r="F191">
        <v>320</v>
      </c>
      <c r="G191">
        <v>35</v>
      </c>
      <c r="H191">
        <v>30</v>
      </c>
      <c r="I191">
        <v>9370</v>
      </c>
      <c r="J191">
        <v>208</v>
      </c>
      <c r="K191">
        <v>427</v>
      </c>
      <c r="L191">
        <v>487</v>
      </c>
      <c r="M191">
        <v>370</v>
      </c>
      <c r="N191">
        <v>900</v>
      </c>
      <c r="O191">
        <v>411</v>
      </c>
      <c r="P191">
        <v>68</v>
      </c>
      <c r="Q191">
        <v>77</v>
      </c>
      <c r="R191">
        <v>883</v>
      </c>
      <c r="S191">
        <v>140</v>
      </c>
      <c r="T191">
        <v>870</v>
      </c>
      <c r="U191">
        <v>1010</v>
      </c>
      <c r="V191">
        <v>146</v>
      </c>
      <c r="W191">
        <v>310</v>
      </c>
      <c r="X191">
        <v>150</v>
      </c>
      <c r="Y191">
        <v>490</v>
      </c>
      <c r="Z191">
        <v>39</v>
      </c>
      <c r="AA191">
        <v>521</v>
      </c>
      <c r="AB191" t="s">
        <v>1408</v>
      </c>
    </row>
    <row r="192" spans="1:28" x14ac:dyDescent="0.3">
      <c r="A192">
        <v>201565</v>
      </c>
      <c r="B192" t="s">
        <v>1308</v>
      </c>
      <c r="C192">
        <v>0</v>
      </c>
      <c r="D192">
        <v>1610612752</v>
      </c>
      <c r="E192" t="s">
        <v>1248</v>
      </c>
      <c r="F192">
        <v>330</v>
      </c>
      <c r="G192">
        <v>26</v>
      </c>
      <c r="H192">
        <v>40</v>
      </c>
      <c r="I192">
        <v>6360</v>
      </c>
      <c r="J192">
        <v>122</v>
      </c>
      <c r="K192">
        <v>274</v>
      </c>
      <c r="L192">
        <v>445</v>
      </c>
      <c r="M192">
        <v>370</v>
      </c>
      <c r="N192">
        <v>920</v>
      </c>
      <c r="O192">
        <v>402</v>
      </c>
      <c r="P192">
        <v>30</v>
      </c>
      <c r="Q192">
        <v>31</v>
      </c>
      <c r="R192">
        <v>968</v>
      </c>
      <c r="S192">
        <v>210</v>
      </c>
      <c r="T192">
        <v>570</v>
      </c>
      <c r="U192">
        <v>780</v>
      </c>
      <c r="V192">
        <v>103</v>
      </c>
      <c r="W192">
        <v>220</v>
      </c>
      <c r="X192">
        <v>120</v>
      </c>
      <c r="Y192">
        <v>390</v>
      </c>
      <c r="Z192">
        <v>15</v>
      </c>
      <c r="AA192">
        <v>311</v>
      </c>
      <c r="AB192" t="s">
        <v>1408</v>
      </c>
    </row>
    <row r="193" spans="1:28" x14ac:dyDescent="0.3">
      <c r="A193">
        <v>201565</v>
      </c>
      <c r="B193" t="s">
        <v>1327</v>
      </c>
      <c r="C193">
        <v>0</v>
      </c>
      <c r="D193">
        <v>1610612752</v>
      </c>
      <c r="E193" t="s">
        <v>1248</v>
      </c>
      <c r="F193">
        <v>340</v>
      </c>
      <c r="G193">
        <v>27</v>
      </c>
      <c r="H193">
        <v>0</v>
      </c>
      <c r="I193">
        <v>3380</v>
      </c>
      <c r="J193">
        <v>61</v>
      </c>
      <c r="K193">
        <v>159</v>
      </c>
      <c r="L193">
        <v>384</v>
      </c>
      <c r="M193">
        <v>190</v>
      </c>
      <c r="N193">
        <v>630</v>
      </c>
      <c r="O193">
        <v>302</v>
      </c>
      <c r="P193">
        <v>11</v>
      </c>
      <c r="Q193">
        <v>12</v>
      </c>
      <c r="R193">
        <v>917</v>
      </c>
      <c r="S193">
        <v>80</v>
      </c>
      <c r="T193">
        <v>320</v>
      </c>
      <c r="U193">
        <v>400</v>
      </c>
      <c r="V193">
        <v>46</v>
      </c>
      <c r="W193">
        <v>70</v>
      </c>
      <c r="X193">
        <v>50</v>
      </c>
      <c r="Y193">
        <v>220</v>
      </c>
      <c r="Z193">
        <v>18</v>
      </c>
      <c r="AA193">
        <v>152</v>
      </c>
      <c r="AB193" t="s">
        <v>1408</v>
      </c>
    </row>
    <row r="194" spans="1:28" x14ac:dyDescent="0.3">
      <c r="A194">
        <v>77535</v>
      </c>
      <c r="B194" t="s">
        <v>1357</v>
      </c>
      <c r="C194">
        <v>0</v>
      </c>
      <c r="D194">
        <v>1610612752</v>
      </c>
      <c r="E194" t="s">
        <v>1248</v>
      </c>
      <c r="F194">
        <v>220</v>
      </c>
      <c r="G194">
        <v>2</v>
      </c>
      <c r="I194">
        <v>100</v>
      </c>
      <c r="J194">
        <v>2</v>
      </c>
      <c r="K194">
        <v>4</v>
      </c>
      <c r="L194">
        <v>5</v>
      </c>
      <c r="P194">
        <v>0</v>
      </c>
      <c r="Q194">
        <v>0</v>
      </c>
      <c r="S194">
        <v>0</v>
      </c>
      <c r="T194">
        <v>20</v>
      </c>
      <c r="U194">
        <v>20</v>
      </c>
      <c r="V194">
        <v>1</v>
      </c>
      <c r="W194">
        <v>0</v>
      </c>
      <c r="X194">
        <v>0</v>
      </c>
      <c r="Z194">
        <v>2</v>
      </c>
      <c r="AA194">
        <v>4</v>
      </c>
      <c r="AB194" t="s">
        <v>1409</v>
      </c>
    </row>
    <row r="195" spans="1:28" x14ac:dyDescent="0.3">
      <c r="A195">
        <v>76081</v>
      </c>
      <c r="B195" t="s">
        <v>1349</v>
      </c>
      <c r="C195">
        <v>0</v>
      </c>
      <c r="D195">
        <v>1610612752</v>
      </c>
      <c r="E195" t="s">
        <v>1248</v>
      </c>
      <c r="F195">
        <v>260</v>
      </c>
      <c r="G195">
        <v>70</v>
      </c>
      <c r="I195">
        <v>16270</v>
      </c>
      <c r="J195">
        <v>170</v>
      </c>
      <c r="K195">
        <v>465</v>
      </c>
      <c r="L195">
        <v>366</v>
      </c>
      <c r="P195">
        <v>134</v>
      </c>
      <c r="Q195">
        <v>177</v>
      </c>
      <c r="R195">
        <v>757</v>
      </c>
      <c r="U195">
        <v>1830</v>
      </c>
      <c r="V195">
        <v>117</v>
      </c>
      <c r="Z195">
        <v>195</v>
      </c>
      <c r="AA195">
        <v>474</v>
      </c>
      <c r="AB195" t="s">
        <v>1410</v>
      </c>
    </row>
    <row r="196" spans="1:28" x14ac:dyDescent="0.3">
      <c r="A196">
        <v>76081</v>
      </c>
      <c r="B196" t="s">
        <v>1362</v>
      </c>
      <c r="C196">
        <v>0</v>
      </c>
      <c r="D196">
        <v>1610612752</v>
      </c>
      <c r="E196" t="s">
        <v>1248</v>
      </c>
      <c r="F196">
        <v>270</v>
      </c>
      <c r="G196">
        <v>72</v>
      </c>
      <c r="I196">
        <v>25360</v>
      </c>
      <c r="J196">
        <v>362</v>
      </c>
      <c r="K196">
        <v>898</v>
      </c>
      <c r="L196">
        <v>403</v>
      </c>
      <c r="P196">
        <v>279</v>
      </c>
      <c r="Q196">
        <v>339</v>
      </c>
      <c r="R196">
        <v>823</v>
      </c>
      <c r="U196">
        <v>3070</v>
      </c>
      <c r="V196">
        <v>218</v>
      </c>
      <c r="Z196">
        <v>202</v>
      </c>
      <c r="AA196">
        <v>1003</v>
      </c>
      <c r="AB196" t="s">
        <v>1410</v>
      </c>
    </row>
    <row r="197" spans="1:28" x14ac:dyDescent="0.3">
      <c r="A197">
        <v>76081</v>
      </c>
      <c r="B197" t="s">
        <v>1315</v>
      </c>
      <c r="C197">
        <v>0</v>
      </c>
      <c r="D197">
        <v>1610612752</v>
      </c>
      <c r="E197" t="s">
        <v>1248</v>
      </c>
      <c r="F197">
        <v>280</v>
      </c>
      <c r="G197">
        <v>70</v>
      </c>
      <c r="I197">
        <v>17380</v>
      </c>
      <c r="J197">
        <v>268</v>
      </c>
      <c r="K197">
        <v>695</v>
      </c>
      <c r="L197">
        <v>386</v>
      </c>
      <c r="P197">
        <v>233</v>
      </c>
      <c r="Q197">
        <v>291</v>
      </c>
      <c r="R197">
        <v>801</v>
      </c>
      <c r="U197">
        <v>2200</v>
      </c>
      <c r="V197">
        <v>163</v>
      </c>
      <c r="Z197">
        <v>156</v>
      </c>
      <c r="AA197">
        <v>769</v>
      </c>
      <c r="AB197" t="s">
        <v>1410</v>
      </c>
    </row>
    <row r="198" spans="1:28" x14ac:dyDescent="0.3">
      <c r="A198">
        <v>76081</v>
      </c>
      <c r="B198" t="s">
        <v>1318</v>
      </c>
      <c r="C198">
        <v>0</v>
      </c>
      <c r="D198">
        <v>1610612752</v>
      </c>
      <c r="E198" t="s">
        <v>1248</v>
      </c>
      <c r="F198">
        <v>290</v>
      </c>
      <c r="G198">
        <v>45</v>
      </c>
      <c r="I198">
        <v>4620</v>
      </c>
      <c r="J198">
        <v>75</v>
      </c>
      <c r="K198">
        <v>197</v>
      </c>
      <c r="L198">
        <v>381</v>
      </c>
      <c r="P198">
        <v>66</v>
      </c>
      <c r="Q198">
        <v>88</v>
      </c>
      <c r="R198">
        <v>75</v>
      </c>
      <c r="U198">
        <v>800</v>
      </c>
      <c r="V198">
        <v>33</v>
      </c>
      <c r="Z198">
        <v>39</v>
      </c>
      <c r="AA198">
        <v>216</v>
      </c>
      <c r="AB198" t="s">
        <v>1410</v>
      </c>
    </row>
    <row r="199" spans="1:28" x14ac:dyDescent="0.3">
      <c r="A199">
        <v>77536</v>
      </c>
      <c r="B199" t="s">
        <v>1247</v>
      </c>
      <c r="C199">
        <v>0</v>
      </c>
      <c r="D199">
        <v>1610612752</v>
      </c>
      <c r="E199" t="s">
        <v>1248</v>
      </c>
      <c r="F199">
        <v>230</v>
      </c>
      <c r="G199">
        <v>59</v>
      </c>
      <c r="I199">
        <v>7880</v>
      </c>
      <c r="J199">
        <v>72</v>
      </c>
      <c r="K199">
        <v>167</v>
      </c>
      <c r="L199">
        <v>431</v>
      </c>
      <c r="P199">
        <v>64</v>
      </c>
      <c r="Q199">
        <v>122</v>
      </c>
      <c r="R199">
        <v>525</v>
      </c>
      <c r="U199">
        <v>1210</v>
      </c>
      <c r="V199">
        <v>107</v>
      </c>
      <c r="Z199">
        <v>136</v>
      </c>
      <c r="AA199">
        <v>208</v>
      </c>
      <c r="AB199" t="s">
        <v>1411</v>
      </c>
    </row>
    <row r="200" spans="1:28" x14ac:dyDescent="0.3">
      <c r="A200">
        <v>77536</v>
      </c>
      <c r="B200" t="s">
        <v>1390</v>
      </c>
      <c r="C200">
        <v>0</v>
      </c>
      <c r="D200">
        <v>1610612752</v>
      </c>
      <c r="E200" t="s">
        <v>1248</v>
      </c>
      <c r="F200">
        <v>240</v>
      </c>
      <c r="G200">
        <v>58</v>
      </c>
      <c r="I200">
        <v>12310</v>
      </c>
      <c r="J200">
        <v>112</v>
      </c>
      <c r="K200">
        <v>287</v>
      </c>
      <c r="L200">
        <v>39</v>
      </c>
      <c r="P200">
        <v>128</v>
      </c>
      <c r="Q200">
        <v>201</v>
      </c>
      <c r="R200">
        <v>637</v>
      </c>
      <c r="U200">
        <v>1670</v>
      </c>
      <c r="V200">
        <v>145</v>
      </c>
      <c r="Z200">
        <v>206</v>
      </c>
      <c r="AA200">
        <v>352</v>
      </c>
      <c r="AB200" t="s">
        <v>1411</v>
      </c>
    </row>
    <row r="201" spans="1:28" x14ac:dyDescent="0.3">
      <c r="A201">
        <v>77536</v>
      </c>
      <c r="B201" t="s">
        <v>1349</v>
      </c>
      <c r="C201">
        <v>0</v>
      </c>
      <c r="D201">
        <v>1610612752</v>
      </c>
      <c r="E201" t="s">
        <v>1248</v>
      </c>
      <c r="F201">
        <v>250</v>
      </c>
      <c r="G201">
        <v>64</v>
      </c>
      <c r="I201">
        <v>8490</v>
      </c>
      <c r="J201">
        <v>58</v>
      </c>
      <c r="K201">
        <v>177</v>
      </c>
      <c r="L201">
        <v>328</v>
      </c>
      <c r="P201">
        <v>58</v>
      </c>
      <c r="Q201">
        <v>133</v>
      </c>
      <c r="R201">
        <v>436</v>
      </c>
      <c r="U201">
        <v>1210</v>
      </c>
      <c r="V201">
        <v>103</v>
      </c>
      <c r="Z201">
        <v>144</v>
      </c>
      <c r="AA201">
        <v>174</v>
      </c>
      <c r="AB201" t="s">
        <v>1411</v>
      </c>
    </row>
    <row r="202" spans="1:28" x14ac:dyDescent="0.3">
      <c r="A202">
        <v>76107</v>
      </c>
      <c r="B202" t="s">
        <v>1412</v>
      </c>
      <c r="C202">
        <v>0</v>
      </c>
      <c r="D202">
        <v>1610612752</v>
      </c>
      <c r="E202" t="s">
        <v>1248</v>
      </c>
      <c r="F202">
        <v>290</v>
      </c>
      <c r="G202">
        <v>75</v>
      </c>
      <c r="I202">
        <v>25890</v>
      </c>
      <c r="J202">
        <v>631</v>
      </c>
      <c r="K202">
        <v>1344</v>
      </c>
      <c r="L202">
        <v>469</v>
      </c>
      <c r="P202">
        <v>467</v>
      </c>
      <c r="Q202">
        <v>605</v>
      </c>
      <c r="R202">
        <v>772</v>
      </c>
      <c r="U202">
        <v>3100</v>
      </c>
      <c r="V202">
        <v>259</v>
      </c>
      <c r="Z202">
        <v>235</v>
      </c>
      <c r="AA202">
        <v>1729</v>
      </c>
      <c r="AB202" t="s">
        <v>1413</v>
      </c>
    </row>
    <row r="203" spans="1:28" x14ac:dyDescent="0.3">
      <c r="A203">
        <v>76107</v>
      </c>
      <c r="B203" t="s">
        <v>1360</v>
      </c>
      <c r="C203">
        <v>0</v>
      </c>
      <c r="D203">
        <v>1610612752</v>
      </c>
      <c r="E203" t="s">
        <v>1248</v>
      </c>
      <c r="F203">
        <v>300</v>
      </c>
      <c r="G203">
        <v>67</v>
      </c>
      <c r="I203">
        <v>19690</v>
      </c>
      <c r="J203">
        <v>454</v>
      </c>
      <c r="K203">
        <v>949</v>
      </c>
      <c r="L203">
        <v>478</v>
      </c>
      <c r="P203">
        <v>231</v>
      </c>
      <c r="Q203">
        <v>295</v>
      </c>
      <c r="R203">
        <v>783</v>
      </c>
      <c r="U203">
        <v>2260</v>
      </c>
      <c r="V203">
        <v>161</v>
      </c>
      <c r="Z203">
        <v>185</v>
      </c>
      <c r="AA203">
        <v>1139</v>
      </c>
      <c r="AB203" t="s">
        <v>1413</v>
      </c>
    </row>
    <row r="204" spans="1:28" x14ac:dyDescent="0.3">
      <c r="A204">
        <v>76107</v>
      </c>
      <c r="B204" t="s">
        <v>1414</v>
      </c>
      <c r="C204">
        <v>0</v>
      </c>
      <c r="D204">
        <v>1610612752</v>
      </c>
      <c r="E204" t="s">
        <v>1248</v>
      </c>
      <c r="F204">
        <v>310</v>
      </c>
      <c r="G204">
        <v>81</v>
      </c>
      <c r="I204">
        <v>24880</v>
      </c>
      <c r="J204">
        <v>559</v>
      </c>
      <c r="K204">
        <v>1159</v>
      </c>
      <c r="L204">
        <v>482</v>
      </c>
      <c r="P204">
        <v>343</v>
      </c>
      <c r="Q204">
        <v>440</v>
      </c>
      <c r="R204">
        <v>78</v>
      </c>
      <c r="U204">
        <v>2380</v>
      </c>
      <c r="V204">
        <v>242</v>
      </c>
      <c r="Z204">
        <v>222</v>
      </c>
      <c r="AA204">
        <v>1461</v>
      </c>
      <c r="AB204" t="s">
        <v>1413</v>
      </c>
    </row>
    <row r="205" spans="1:28" x14ac:dyDescent="0.3">
      <c r="A205">
        <v>76107</v>
      </c>
      <c r="B205" t="s">
        <v>1415</v>
      </c>
      <c r="C205">
        <v>0</v>
      </c>
      <c r="D205">
        <v>1610612752</v>
      </c>
      <c r="E205" t="s">
        <v>1248</v>
      </c>
      <c r="F205">
        <v>320</v>
      </c>
      <c r="G205">
        <v>82</v>
      </c>
      <c r="I205">
        <v>29530</v>
      </c>
      <c r="J205">
        <v>565</v>
      </c>
      <c r="K205">
        <v>1220</v>
      </c>
      <c r="L205">
        <v>463</v>
      </c>
      <c r="P205">
        <v>312</v>
      </c>
      <c r="Q205">
        <v>403</v>
      </c>
      <c r="R205">
        <v>774</v>
      </c>
      <c r="U205">
        <v>2510</v>
      </c>
      <c r="V205">
        <v>291</v>
      </c>
      <c r="Z205">
        <v>239</v>
      </c>
      <c r="AA205">
        <v>1442</v>
      </c>
      <c r="AB205" t="s">
        <v>1413</v>
      </c>
    </row>
    <row r="206" spans="1:28" x14ac:dyDescent="0.3">
      <c r="A206">
        <v>76107</v>
      </c>
      <c r="B206" t="s">
        <v>1416</v>
      </c>
      <c r="C206">
        <v>0</v>
      </c>
      <c r="D206">
        <v>1610612752</v>
      </c>
      <c r="E206" t="s">
        <v>1248</v>
      </c>
      <c r="F206">
        <v>330</v>
      </c>
      <c r="G206">
        <v>82</v>
      </c>
      <c r="I206">
        <v>27720</v>
      </c>
      <c r="J206">
        <v>494</v>
      </c>
      <c r="K206">
        <v>1039</v>
      </c>
      <c r="L206">
        <v>475</v>
      </c>
      <c r="P206">
        <v>232</v>
      </c>
      <c r="Q206">
        <v>325</v>
      </c>
      <c r="R206">
        <v>714</v>
      </c>
      <c r="U206">
        <v>2210</v>
      </c>
      <c r="V206">
        <v>298</v>
      </c>
      <c r="Z206">
        <v>220</v>
      </c>
      <c r="AA206">
        <v>1220</v>
      </c>
      <c r="AB206" t="s">
        <v>1413</v>
      </c>
    </row>
    <row r="207" spans="1:28" x14ac:dyDescent="0.3">
      <c r="A207">
        <v>76107</v>
      </c>
      <c r="B207" t="s">
        <v>1417</v>
      </c>
      <c r="C207">
        <v>0</v>
      </c>
      <c r="D207">
        <v>1610612752</v>
      </c>
      <c r="E207" t="s">
        <v>1248</v>
      </c>
      <c r="F207">
        <v>340</v>
      </c>
      <c r="G207">
        <v>82</v>
      </c>
      <c r="I207">
        <v>28430</v>
      </c>
      <c r="J207">
        <v>540</v>
      </c>
      <c r="K207">
        <v>1184</v>
      </c>
      <c r="L207">
        <v>456</v>
      </c>
      <c r="P207">
        <v>193</v>
      </c>
      <c r="Q207">
        <v>278</v>
      </c>
      <c r="R207">
        <v>694</v>
      </c>
      <c r="U207">
        <v>2380</v>
      </c>
      <c r="V207">
        <v>225</v>
      </c>
      <c r="Z207">
        <v>232</v>
      </c>
      <c r="AA207">
        <v>1273</v>
      </c>
      <c r="AB207" t="s">
        <v>1413</v>
      </c>
    </row>
    <row r="208" spans="1:28" x14ac:dyDescent="0.3">
      <c r="A208">
        <v>76107</v>
      </c>
      <c r="B208" t="s">
        <v>1354</v>
      </c>
      <c r="C208">
        <v>0</v>
      </c>
      <c r="D208">
        <v>1610612752</v>
      </c>
      <c r="E208" t="s">
        <v>1248</v>
      </c>
      <c r="F208">
        <v>350</v>
      </c>
      <c r="G208">
        <v>79</v>
      </c>
      <c r="I208">
        <v>22560</v>
      </c>
      <c r="J208">
        <v>401</v>
      </c>
      <c r="K208">
        <v>918</v>
      </c>
      <c r="L208">
        <v>437</v>
      </c>
      <c r="P208">
        <v>162</v>
      </c>
      <c r="Q208">
        <v>215</v>
      </c>
      <c r="R208">
        <v>753</v>
      </c>
      <c r="U208">
        <v>1530</v>
      </c>
      <c r="V208">
        <v>198</v>
      </c>
      <c r="Z208">
        <v>229</v>
      </c>
      <c r="AA208">
        <v>964</v>
      </c>
      <c r="AB208" t="s">
        <v>1413</v>
      </c>
    </row>
    <row r="209" spans="1:28" x14ac:dyDescent="0.3">
      <c r="A209">
        <v>76107</v>
      </c>
      <c r="B209" t="s">
        <v>1356</v>
      </c>
      <c r="C209">
        <v>0</v>
      </c>
      <c r="D209">
        <v>1610612752</v>
      </c>
      <c r="E209" t="s">
        <v>1248</v>
      </c>
      <c r="F209">
        <v>360</v>
      </c>
      <c r="G209">
        <v>51</v>
      </c>
      <c r="I209">
        <v>5140</v>
      </c>
      <c r="J209">
        <v>88</v>
      </c>
      <c r="K209">
        <v>226</v>
      </c>
      <c r="L209">
        <v>389</v>
      </c>
      <c r="P209">
        <v>16</v>
      </c>
      <c r="Q209">
        <v>30</v>
      </c>
      <c r="R209">
        <v>533</v>
      </c>
      <c r="U209">
        <v>410</v>
      </c>
      <c r="V209">
        <v>50</v>
      </c>
      <c r="Z209">
        <v>52</v>
      </c>
      <c r="AA209">
        <v>192</v>
      </c>
      <c r="AB209" t="s">
        <v>1413</v>
      </c>
    </row>
    <row r="210" spans="1:28" x14ac:dyDescent="0.3">
      <c r="A210">
        <v>76107</v>
      </c>
      <c r="B210" t="s">
        <v>1357</v>
      </c>
      <c r="C210">
        <v>0</v>
      </c>
      <c r="D210">
        <v>1610612752</v>
      </c>
      <c r="E210" t="s">
        <v>1248</v>
      </c>
      <c r="F210">
        <v>370</v>
      </c>
      <c r="G210">
        <v>5</v>
      </c>
      <c r="I210">
        <v>580</v>
      </c>
      <c r="J210">
        <v>10</v>
      </c>
      <c r="K210">
        <v>26</v>
      </c>
      <c r="L210">
        <v>385</v>
      </c>
      <c r="P210">
        <v>2</v>
      </c>
      <c r="Q210">
        <v>3</v>
      </c>
      <c r="R210">
        <v>667</v>
      </c>
      <c r="S210">
        <v>10</v>
      </c>
      <c r="T210">
        <v>30</v>
      </c>
      <c r="U210">
        <v>40</v>
      </c>
      <c r="V210">
        <v>6</v>
      </c>
      <c r="W210">
        <v>10</v>
      </c>
      <c r="X210">
        <v>0</v>
      </c>
      <c r="Z210">
        <v>2</v>
      </c>
      <c r="AA210">
        <v>22</v>
      </c>
      <c r="AB210" t="s">
        <v>1413</v>
      </c>
    </row>
    <row r="211" spans="1:28" x14ac:dyDescent="0.3">
      <c r="A211">
        <v>1503</v>
      </c>
      <c r="B211" t="s">
        <v>1305</v>
      </c>
      <c r="C211">
        <v>0</v>
      </c>
      <c r="D211">
        <v>1610612752</v>
      </c>
      <c r="E211" t="s">
        <v>1248</v>
      </c>
      <c r="F211">
        <v>310</v>
      </c>
      <c r="G211">
        <v>24</v>
      </c>
      <c r="H211">
        <v>240</v>
      </c>
      <c r="I211">
        <v>6270</v>
      </c>
      <c r="J211">
        <v>84</v>
      </c>
      <c r="K211">
        <v>216</v>
      </c>
      <c r="L211">
        <v>389</v>
      </c>
      <c r="M211">
        <v>150</v>
      </c>
      <c r="N211">
        <v>620</v>
      </c>
      <c r="O211">
        <v>242</v>
      </c>
      <c r="P211">
        <v>43</v>
      </c>
      <c r="Q211">
        <v>57</v>
      </c>
      <c r="R211">
        <v>754</v>
      </c>
      <c r="S211">
        <v>220</v>
      </c>
      <c r="T211">
        <v>670</v>
      </c>
      <c r="U211">
        <v>890</v>
      </c>
      <c r="V211">
        <v>93</v>
      </c>
      <c r="W211">
        <v>150</v>
      </c>
      <c r="X211">
        <v>120</v>
      </c>
      <c r="Y211">
        <v>430</v>
      </c>
      <c r="Z211">
        <v>38</v>
      </c>
      <c r="AA211">
        <v>226</v>
      </c>
      <c r="AB211" t="s">
        <v>1418</v>
      </c>
    </row>
    <row r="212" spans="1:28" x14ac:dyDescent="0.3">
      <c r="A212">
        <v>2546</v>
      </c>
      <c r="B212" t="s">
        <v>1312</v>
      </c>
      <c r="C212">
        <v>0</v>
      </c>
      <c r="D212">
        <v>1610612752</v>
      </c>
      <c r="E212" t="s">
        <v>1248</v>
      </c>
      <c r="F212">
        <v>270</v>
      </c>
      <c r="G212">
        <v>27</v>
      </c>
      <c r="H212">
        <v>270</v>
      </c>
      <c r="I212">
        <v>9770</v>
      </c>
      <c r="J212">
        <v>247</v>
      </c>
      <c r="K212">
        <v>536</v>
      </c>
      <c r="L212">
        <v>461</v>
      </c>
      <c r="M212">
        <v>530</v>
      </c>
      <c r="N212">
        <v>1250</v>
      </c>
      <c r="O212">
        <v>424</v>
      </c>
      <c r="P212">
        <v>164</v>
      </c>
      <c r="Q212">
        <v>188</v>
      </c>
      <c r="R212">
        <v>872</v>
      </c>
      <c r="S212">
        <v>410</v>
      </c>
      <c r="T212">
        <v>1400</v>
      </c>
      <c r="U212">
        <v>1810</v>
      </c>
      <c r="V212">
        <v>81</v>
      </c>
      <c r="W212">
        <v>250</v>
      </c>
      <c r="X212">
        <v>150</v>
      </c>
      <c r="Y212">
        <v>640</v>
      </c>
      <c r="Z212">
        <v>90</v>
      </c>
      <c r="AA212">
        <v>711</v>
      </c>
      <c r="AB212" t="s">
        <v>1419</v>
      </c>
    </row>
    <row r="213" spans="1:28" x14ac:dyDescent="0.3">
      <c r="A213">
        <v>2546</v>
      </c>
      <c r="B213" t="s">
        <v>1290</v>
      </c>
      <c r="C213">
        <v>0</v>
      </c>
      <c r="D213">
        <v>1610612752</v>
      </c>
      <c r="E213" t="s">
        <v>1248</v>
      </c>
      <c r="F213">
        <v>280</v>
      </c>
      <c r="G213">
        <v>55</v>
      </c>
      <c r="H213">
        <v>550</v>
      </c>
      <c r="I213">
        <v>18760</v>
      </c>
      <c r="J213">
        <v>441</v>
      </c>
      <c r="K213">
        <v>1025</v>
      </c>
      <c r="L213">
        <v>43</v>
      </c>
      <c r="M213">
        <v>680</v>
      </c>
      <c r="N213">
        <v>2030</v>
      </c>
      <c r="O213">
        <v>335</v>
      </c>
      <c r="P213">
        <v>295</v>
      </c>
      <c r="Q213">
        <v>367</v>
      </c>
      <c r="R213">
        <v>804</v>
      </c>
      <c r="S213">
        <v>880</v>
      </c>
      <c r="T213">
        <v>2560</v>
      </c>
      <c r="U213">
        <v>3440</v>
      </c>
      <c r="V213">
        <v>200</v>
      </c>
      <c r="W213">
        <v>620</v>
      </c>
      <c r="X213">
        <v>240</v>
      </c>
      <c r="Y213">
        <v>1440</v>
      </c>
      <c r="Z213">
        <v>156</v>
      </c>
      <c r="AA213">
        <v>1245</v>
      </c>
      <c r="AB213" t="s">
        <v>1419</v>
      </c>
    </row>
    <row r="214" spans="1:28" x14ac:dyDescent="0.3">
      <c r="A214">
        <v>2546</v>
      </c>
      <c r="B214" t="s">
        <v>1292</v>
      </c>
      <c r="C214">
        <v>0</v>
      </c>
      <c r="D214">
        <v>1610612752</v>
      </c>
      <c r="E214" t="s">
        <v>1248</v>
      </c>
      <c r="F214">
        <v>290</v>
      </c>
      <c r="G214">
        <v>67</v>
      </c>
      <c r="H214">
        <v>670</v>
      </c>
      <c r="I214">
        <v>24820</v>
      </c>
      <c r="J214">
        <v>669</v>
      </c>
      <c r="K214">
        <v>1489</v>
      </c>
      <c r="L214">
        <v>449</v>
      </c>
      <c r="M214">
        <v>1570</v>
      </c>
      <c r="N214">
        <v>4140</v>
      </c>
      <c r="O214">
        <v>379</v>
      </c>
      <c r="P214">
        <v>425</v>
      </c>
      <c r="Q214">
        <v>512</v>
      </c>
      <c r="R214">
        <v>83</v>
      </c>
      <c r="S214">
        <v>1340</v>
      </c>
      <c r="T214">
        <v>3260</v>
      </c>
      <c r="U214">
        <v>4600</v>
      </c>
      <c r="V214">
        <v>171</v>
      </c>
      <c r="W214">
        <v>520</v>
      </c>
      <c r="X214">
        <v>320</v>
      </c>
      <c r="Y214">
        <v>1750</v>
      </c>
      <c r="Z214">
        <v>205</v>
      </c>
      <c r="AA214">
        <v>1920</v>
      </c>
      <c r="AB214" t="s">
        <v>1419</v>
      </c>
    </row>
    <row r="215" spans="1:28" x14ac:dyDescent="0.3">
      <c r="A215">
        <v>2546</v>
      </c>
      <c r="B215" t="s">
        <v>1337</v>
      </c>
      <c r="C215">
        <v>0</v>
      </c>
      <c r="D215">
        <v>1610612752</v>
      </c>
      <c r="E215" t="s">
        <v>1248</v>
      </c>
      <c r="F215">
        <v>300</v>
      </c>
      <c r="G215">
        <v>77</v>
      </c>
      <c r="H215">
        <v>770</v>
      </c>
      <c r="I215">
        <v>29820</v>
      </c>
      <c r="J215">
        <v>743</v>
      </c>
      <c r="K215">
        <v>1643</v>
      </c>
      <c r="L215">
        <v>452</v>
      </c>
      <c r="M215">
        <v>1670</v>
      </c>
      <c r="N215">
        <v>4150</v>
      </c>
      <c r="O215">
        <v>402</v>
      </c>
      <c r="P215">
        <v>459</v>
      </c>
      <c r="Q215">
        <v>541</v>
      </c>
      <c r="R215">
        <v>848</v>
      </c>
      <c r="S215">
        <v>1450</v>
      </c>
      <c r="T215">
        <v>4770</v>
      </c>
      <c r="U215">
        <v>6220</v>
      </c>
      <c r="V215">
        <v>242</v>
      </c>
      <c r="W215">
        <v>950</v>
      </c>
      <c r="X215">
        <v>510</v>
      </c>
      <c r="Y215">
        <v>1980</v>
      </c>
      <c r="Z215">
        <v>224</v>
      </c>
      <c r="AA215">
        <v>2112</v>
      </c>
      <c r="AB215" t="s">
        <v>1419</v>
      </c>
    </row>
    <row r="216" spans="1:28" x14ac:dyDescent="0.3">
      <c r="A216">
        <v>2546</v>
      </c>
      <c r="B216" t="s">
        <v>1343</v>
      </c>
      <c r="C216">
        <v>0</v>
      </c>
      <c r="D216">
        <v>1610612752</v>
      </c>
      <c r="E216" t="s">
        <v>1248</v>
      </c>
      <c r="F216">
        <v>310</v>
      </c>
      <c r="G216">
        <v>40</v>
      </c>
      <c r="H216">
        <v>400</v>
      </c>
      <c r="I216">
        <v>14280</v>
      </c>
      <c r="J216">
        <v>358</v>
      </c>
      <c r="K216">
        <v>806</v>
      </c>
      <c r="L216">
        <v>444</v>
      </c>
      <c r="M216">
        <v>610</v>
      </c>
      <c r="N216">
        <v>1790</v>
      </c>
      <c r="O216">
        <v>341</v>
      </c>
      <c r="P216">
        <v>189</v>
      </c>
      <c r="Q216">
        <v>237</v>
      </c>
      <c r="R216">
        <v>797</v>
      </c>
      <c r="S216">
        <v>720</v>
      </c>
      <c r="T216">
        <v>1920</v>
      </c>
      <c r="U216">
        <v>2640</v>
      </c>
      <c r="V216">
        <v>122</v>
      </c>
      <c r="W216">
        <v>400</v>
      </c>
      <c r="X216">
        <v>170</v>
      </c>
      <c r="Y216">
        <v>890</v>
      </c>
      <c r="Z216">
        <v>87</v>
      </c>
      <c r="AA216">
        <v>966</v>
      </c>
      <c r="AB216" t="s">
        <v>1419</v>
      </c>
    </row>
    <row r="217" spans="1:28" x14ac:dyDescent="0.3">
      <c r="A217">
        <v>2546</v>
      </c>
      <c r="B217" t="s">
        <v>1279</v>
      </c>
      <c r="C217">
        <v>0</v>
      </c>
      <c r="D217">
        <v>1610612752</v>
      </c>
      <c r="E217" t="s">
        <v>1248</v>
      </c>
      <c r="F217">
        <v>320</v>
      </c>
      <c r="G217">
        <v>72</v>
      </c>
      <c r="H217">
        <v>720</v>
      </c>
      <c r="I217">
        <v>25300</v>
      </c>
      <c r="J217">
        <v>567</v>
      </c>
      <c r="K217">
        <v>1307</v>
      </c>
      <c r="L217">
        <v>434</v>
      </c>
      <c r="M217">
        <v>1050</v>
      </c>
      <c r="N217">
        <v>3100</v>
      </c>
      <c r="O217">
        <v>339</v>
      </c>
      <c r="P217">
        <v>334</v>
      </c>
      <c r="Q217">
        <v>403</v>
      </c>
      <c r="R217">
        <v>829</v>
      </c>
      <c r="S217">
        <v>980</v>
      </c>
      <c r="T217">
        <v>4580</v>
      </c>
      <c r="U217">
        <v>5560</v>
      </c>
      <c r="V217">
        <v>299</v>
      </c>
      <c r="W217">
        <v>620</v>
      </c>
      <c r="X217">
        <v>380</v>
      </c>
      <c r="Y217">
        <v>1760</v>
      </c>
      <c r="Z217">
        <v>180</v>
      </c>
      <c r="AA217">
        <v>1573</v>
      </c>
      <c r="AB217" t="s">
        <v>1419</v>
      </c>
    </row>
    <row r="218" spans="1:28" x14ac:dyDescent="0.3">
      <c r="A218">
        <v>2546</v>
      </c>
      <c r="B218" t="s">
        <v>1281</v>
      </c>
      <c r="C218">
        <v>0</v>
      </c>
      <c r="D218">
        <v>1610612752</v>
      </c>
      <c r="E218" t="s">
        <v>1248</v>
      </c>
      <c r="F218">
        <v>330</v>
      </c>
      <c r="G218">
        <v>74</v>
      </c>
      <c r="H218">
        <v>740</v>
      </c>
      <c r="I218">
        <v>25380</v>
      </c>
      <c r="J218">
        <v>602</v>
      </c>
      <c r="K218">
        <v>1389</v>
      </c>
      <c r="L218">
        <v>433</v>
      </c>
      <c r="M218">
        <v>1510</v>
      </c>
      <c r="N218">
        <v>4210</v>
      </c>
      <c r="O218">
        <v>359</v>
      </c>
      <c r="P218">
        <v>304</v>
      </c>
      <c r="Q218">
        <v>365</v>
      </c>
      <c r="R218">
        <v>833</v>
      </c>
      <c r="S218">
        <v>620</v>
      </c>
      <c r="T218">
        <v>3760</v>
      </c>
      <c r="U218">
        <v>4380</v>
      </c>
      <c r="V218">
        <v>213</v>
      </c>
      <c r="W218">
        <v>600</v>
      </c>
      <c r="X218">
        <v>340</v>
      </c>
      <c r="Y218">
        <v>1530</v>
      </c>
      <c r="Z218">
        <v>198</v>
      </c>
      <c r="AA218">
        <v>1659</v>
      </c>
      <c r="AB218" t="s">
        <v>1419</v>
      </c>
    </row>
    <row r="219" spans="1:28" x14ac:dyDescent="0.3">
      <c r="A219">
        <v>77531</v>
      </c>
      <c r="B219" t="s">
        <v>1257</v>
      </c>
      <c r="C219">
        <v>0</v>
      </c>
      <c r="D219">
        <v>1610612752</v>
      </c>
      <c r="E219" t="s">
        <v>1248</v>
      </c>
      <c r="F219">
        <v>240</v>
      </c>
      <c r="G219">
        <v>74</v>
      </c>
      <c r="I219">
        <v>17840</v>
      </c>
      <c r="J219">
        <v>456</v>
      </c>
      <c r="K219">
        <v>937</v>
      </c>
      <c r="L219">
        <v>487</v>
      </c>
      <c r="P219">
        <v>204</v>
      </c>
      <c r="Q219">
        <v>282</v>
      </c>
      <c r="R219">
        <v>723</v>
      </c>
      <c r="U219">
        <v>4140</v>
      </c>
      <c r="V219">
        <v>121</v>
      </c>
      <c r="Z219">
        <v>217</v>
      </c>
      <c r="AA219">
        <v>1116</v>
      </c>
      <c r="AB219" t="s">
        <v>1420</v>
      </c>
    </row>
    <row r="220" spans="1:28" x14ac:dyDescent="0.3">
      <c r="A220">
        <v>202332</v>
      </c>
      <c r="B220" t="s">
        <v>1337</v>
      </c>
      <c r="C220">
        <v>0</v>
      </c>
      <c r="D220">
        <v>1610612752</v>
      </c>
      <c r="E220" t="s">
        <v>1248</v>
      </c>
      <c r="F220">
        <v>250</v>
      </c>
      <c r="G220">
        <v>46</v>
      </c>
      <c r="H220">
        <v>20</v>
      </c>
      <c r="I220">
        <v>3300</v>
      </c>
      <c r="J220">
        <v>33</v>
      </c>
      <c r="K220">
        <v>61</v>
      </c>
      <c r="L220">
        <v>541</v>
      </c>
      <c r="M220">
        <v>0</v>
      </c>
      <c r="N220">
        <v>0</v>
      </c>
      <c r="O220">
        <v>0</v>
      </c>
      <c r="P220">
        <v>26</v>
      </c>
      <c r="Q220">
        <v>30</v>
      </c>
      <c r="R220">
        <v>867</v>
      </c>
      <c r="S220">
        <v>370</v>
      </c>
      <c r="T220">
        <v>920</v>
      </c>
      <c r="U220">
        <v>1290</v>
      </c>
      <c r="V220">
        <v>14</v>
      </c>
      <c r="W220">
        <v>80</v>
      </c>
      <c r="X220">
        <v>300</v>
      </c>
      <c r="Y220">
        <v>180</v>
      </c>
      <c r="Z220">
        <v>40</v>
      </c>
      <c r="AA220">
        <v>92</v>
      </c>
      <c r="AB220" t="s">
        <v>1421</v>
      </c>
    </row>
    <row r="221" spans="1:28" x14ac:dyDescent="0.3">
      <c r="A221">
        <v>202332</v>
      </c>
      <c r="B221" t="s">
        <v>1343</v>
      </c>
      <c r="C221">
        <v>0</v>
      </c>
      <c r="D221">
        <v>1610612752</v>
      </c>
      <c r="E221" t="s">
        <v>1248</v>
      </c>
      <c r="F221">
        <v>260</v>
      </c>
      <c r="G221">
        <v>61</v>
      </c>
      <c r="H221">
        <v>160</v>
      </c>
      <c r="I221">
        <v>9760</v>
      </c>
      <c r="J221">
        <v>144</v>
      </c>
      <c r="K221">
        <v>301</v>
      </c>
      <c r="L221">
        <v>478</v>
      </c>
      <c r="M221">
        <v>0</v>
      </c>
      <c r="N221">
        <v>0</v>
      </c>
      <c r="O221">
        <v>0</v>
      </c>
      <c r="P221">
        <v>50</v>
      </c>
      <c r="Q221">
        <v>64</v>
      </c>
      <c r="R221">
        <v>781</v>
      </c>
      <c r="S221">
        <v>1010</v>
      </c>
      <c r="T221">
        <v>2370</v>
      </c>
      <c r="U221">
        <v>3380</v>
      </c>
      <c r="V221">
        <v>75</v>
      </c>
      <c r="W221">
        <v>370</v>
      </c>
      <c r="X221">
        <v>650</v>
      </c>
      <c r="Y221">
        <v>590</v>
      </c>
      <c r="Z221">
        <v>122</v>
      </c>
      <c r="AA221">
        <v>338</v>
      </c>
      <c r="AB221" t="s">
        <v>1421</v>
      </c>
    </row>
    <row r="222" spans="1:28" x14ac:dyDescent="0.3">
      <c r="A222">
        <v>76099</v>
      </c>
      <c r="B222" t="s">
        <v>1265</v>
      </c>
      <c r="C222">
        <v>0</v>
      </c>
      <c r="D222">
        <v>1610612752</v>
      </c>
      <c r="E222" t="s">
        <v>1248</v>
      </c>
      <c r="F222">
        <v>240</v>
      </c>
      <c r="G222">
        <v>22</v>
      </c>
      <c r="I222">
        <v>3290</v>
      </c>
      <c r="J222">
        <v>44</v>
      </c>
      <c r="K222">
        <v>102</v>
      </c>
      <c r="L222">
        <v>431</v>
      </c>
      <c r="P222">
        <v>14</v>
      </c>
      <c r="Q222">
        <v>20</v>
      </c>
      <c r="R222">
        <v>7</v>
      </c>
      <c r="S222">
        <v>310</v>
      </c>
      <c r="T222">
        <v>520</v>
      </c>
      <c r="U222">
        <v>830</v>
      </c>
      <c r="V222">
        <v>9</v>
      </c>
      <c r="W222">
        <v>60</v>
      </c>
      <c r="X222">
        <v>70</v>
      </c>
      <c r="Y222">
        <v>200</v>
      </c>
      <c r="Z222">
        <v>45</v>
      </c>
      <c r="AA222">
        <v>102</v>
      </c>
      <c r="AB222" t="s">
        <v>1422</v>
      </c>
    </row>
    <row r="223" spans="1:28" x14ac:dyDescent="0.3">
      <c r="A223">
        <v>77529</v>
      </c>
      <c r="B223" t="s">
        <v>1299</v>
      </c>
      <c r="C223">
        <v>0</v>
      </c>
      <c r="D223">
        <v>1610612752</v>
      </c>
      <c r="E223" t="s">
        <v>1248</v>
      </c>
      <c r="F223">
        <v>220</v>
      </c>
      <c r="G223">
        <v>51</v>
      </c>
      <c r="J223">
        <v>62</v>
      </c>
      <c r="K223">
        <v>195</v>
      </c>
      <c r="L223">
        <v>318</v>
      </c>
      <c r="P223">
        <v>52</v>
      </c>
      <c r="Q223">
        <v>88</v>
      </c>
      <c r="R223">
        <v>591</v>
      </c>
      <c r="V223">
        <v>51</v>
      </c>
      <c r="Z223">
        <v>104</v>
      </c>
      <c r="AA223">
        <v>176</v>
      </c>
      <c r="AB223" t="s">
        <v>1423</v>
      </c>
    </row>
    <row r="224" spans="1:28" x14ac:dyDescent="0.3">
      <c r="A224">
        <v>1627853</v>
      </c>
      <c r="B224" t="s">
        <v>1308</v>
      </c>
      <c r="C224">
        <v>0</v>
      </c>
      <c r="D224">
        <v>1610612752</v>
      </c>
      <c r="E224" t="s">
        <v>1248</v>
      </c>
      <c r="F224">
        <v>280</v>
      </c>
      <c r="G224">
        <v>10</v>
      </c>
      <c r="H224">
        <v>0</v>
      </c>
      <c r="I224">
        <v>760</v>
      </c>
      <c r="J224">
        <v>6</v>
      </c>
      <c r="K224">
        <v>12</v>
      </c>
      <c r="L224">
        <v>5</v>
      </c>
      <c r="M224">
        <v>40</v>
      </c>
      <c r="N224">
        <v>90</v>
      </c>
      <c r="O224">
        <v>444</v>
      </c>
      <c r="P224">
        <v>0</v>
      </c>
      <c r="Q224">
        <v>0</v>
      </c>
      <c r="R224">
        <v>0</v>
      </c>
      <c r="S224">
        <v>0</v>
      </c>
      <c r="T224">
        <v>80</v>
      </c>
      <c r="U224">
        <v>80</v>
      </c>
      <c r="V224">
        <v>4</v>
      </c>
      <c r="W224">
        <v>10</v>
      </c>
      <c r="X224">
        <v>0</v>
      </c>
      <c r="Y224">
        <v>30</v>
      </c>
      <c r="Z224">
        <v>5</v>
      </c>
      <c r="AA224">
        <v>16</v>
      </c>
      <c r="AB224" t="s">
        <v>1424</v>
      </c>
    </row>
    <row r="225" spans="1:28" x14ac:dyDescent="0.3">
      <c r="A225">
        <v>1627853</v>
      </c>
      <c r="B225" t="s">
        <v>1327</v>
      </c>
      <c r="C225">
        <v>0</v>
      </c>
      <c r="D225">
        <v>1610612752</v>
      </c>
      <c r="E225" t="s">
        <v>1248</v>
      </c>
      <c r="F225">
        <v>290</v>
      </c>
      <c r="G225">
        <v>11</v>
      </c>
      <c r="H225">
        <v>0</v>
      </c>
      <c r="I225">
        <v>260</v>
      </c>
      <c r="J225">
        <v>1</v>
      </c>
      <c r="K225">
        <v>5</v>
      </c>
      <c r="L225">
        <v>2</v>
      </c>
      <c r="M225">
        <v>10</v>
      </c>
      <c r="N225">
        <v>30</v>
      </c>
      <c r="O225">
        <v>333</v>
      </c>
      <c r="P225">
        <v>0</v>
      </c>
      <c r="Q225">
        <v>0</v>
      </c>
      <c r="R225">
        <v>0</v>
      </c>
      <c r="S225">
        <v>0</v>
      </c>
      <c r="T225">
        <v>40</v>
      </c>
      <c r="U225">
        <v>40</v>
      </c>
      <c r="V225">
        <v>2</v>
      </c>
      <c r="W225">
        <v>20</v>
      </c>
      <c r="X225">
        <v>0</v>
      </c>
      <c r="Y225">
        <v>10</v>
      </c>
      <c r="Z225">
        <v>3</v>
      </c>
      <c r="AA225">
        <v>3</v>
      </c>
      <c r="AB225" t="s">
        <v>1424</v>
      </c>
    </row>
    <row r="226" spans="1:28" x14ac:dyDescent="0.3">
      <c r="A226">
        <v>1627853</v>
      </c>
      <c r="B226" t="s">
        <v>1369</v>
      </c>
      <c r="C226">
        <v>0</v>
      </c>
      <c r="D226">
        <v>1610612752</v>
      </c>
      <c r="E226" t="s">
        <v>1248</v>
      </c>
      <c r="F226">
        <v>300</v>
      </c>
      <c r="G226">
        <v>20</v>
      </c>
      <c r="H226">
        <v>0</v>
      </c>
      <c r="I226">
        <v>450</v>
      </c>
      <c r="J226">
        <v>0</v>
      </c>
      <c r="K226">
        <v>6</v>
      </c>
      <c r="L226">
        <v>0</v>
      </c>
      <c r="M226">
        <v>0</v>
      </c>
      <c r="N226">
        <v>60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80</v>
      </c>
      <c r="U226">
        <v>80</v>
      </c>
      <c r="V226">
        <v>4</v>
      </c>
      <c r="W226">
        <v>20</v>
      </c>
      <c r="X226">
        <v>0</v>
      </c>
      <c r="Y226">
        <v>20</v>
      </c>
      <c r="Z226">
        <v>5</v>
      </c>
      <c r="AA226">
        <v>0</v>
      </c>
      <c r="AB226" t="s">
        <v>1424</v>
      </c>
    </row>
    <row r="227" spans="1:28" x14ac:dyDescent="0.3">
      <c r="A227">
        <v>1497</v>
      </c>
      <c r="B227" t="s">
        <v>1312</v>
      </c>
      <c r="C227">
        <v>0</v>
      </c>
      <c r="D227">
        <v>1610612752</v>
      </c>
      <c r="E227" t="s">
        <v>1248</v>
      </c>
      <c r="F227">
        <v>340</v>
      </c>
      <c r="G227">
        <v>21</v>
      </c>
      <c r="H227">
        <v>210</v>
      </c>
      <c r="I227">
        <v>6640</v>
      </c>
      <c r="J227">
        <v>104</v>
      </c>
      <c r="K227">
        <v>258</v>
      </c>
      <c r="L227">
        <v>403</v>
      </c>
      <c r="M227">
        <v>410</v>
      </c>
      <c r="N227">
        <v>1250</v>
      </c>
      <c r="O227">
        <v>328</v>
      </c>
      <c r="P227">
        <v>119</v>
      </c>
      <c r="Q227">
        <v>132</v>
      </c>
      <c r="R227">
        <v>902</v>
      </c>
      <c r="S227">
        <v>130</v>
      </c>
      <c r="T227">
        <v>520</v>
      </c>
      <c r="U227">
        <v>650</v>
      </c>
      <c r="V227">
        <v>116</v>
      </c>
      <c r="W227">
        <v>190</v>
      </c>
      <c r="X227">
        <v>20</v>
      </c>
      <c r="Y227">
        <v>480</v>
      </c>
      <c r="Z227">
        <v>52</v>
      </c>
      <c r="AA227">
        <v>368</v>
      </c>
      <c r="AB227" t="s">
        <v>1425</v>
      </c>
    </row>
    <row r="228" spans="1:28" x14ac:dyDescent="0.3">
      <c r="A228">
        <v>686</v>
      </c>
      <c r="B228" t="s">
        <v>1293</v>
      </c>
      <c r="C228">
        <v>0</v>
      </c>
      <c r="D228">
        <v>1610612752</v>
      </c>
      <c r="E228" t="s">
        <v>1248</v>
      </c>
      <c r="F228">
        <v>290</v>
      </c>
      <c r="G228">
        <v>18</v>
      </c>
      <c r="H228">
        <v>60</v>
      </c>
      <c r="I228">
        <v>4220</v>
      </c>
      <c r="J228">
        <v>65</v>
      </c>
      <c r="K228">
        <v>142</v>
      </c>
      <c r="L228">
        <v>458</v>
      </c>
      <c r="M228">
        <v>0</v>
      </c>
      <c r="N228">
        <v>0</v>
      </c>
      <c r="O228">
        <v>0</v>
      </c>
      <c r="P228">
        <v>22</v>
      </c>
      <c r="Q228">
        <v>38</v>
      </c>
      <c r="R228">
        <v>579</v>
      </c>
      <c r="S228">
        <v>310</v>
      </c>
      <c r="T228">
        <v>880</v>
      </c>
      <c r="U228">
        <v>1190</v>
      </c>
      <c r="V228">
        <v>20</v>
      </c>
      <c r="W228">
        <v>120</v>
      </c>
      <c r="X228">
        <v>110</v>
      </c>
      <c r="Y228">
        <v>270</v>
      </c>
      <c r="Z228">
        <v>46</v>
      </c>
      <c r="AA228">
        <v>152</v>
      </c>
      <c r="AB228" t="s">
        <v>1426</v>
      </c>
    </row>
    <row r="229" spans="1:28" x14ac:dyDescent="0.3">
      <c r="A229">
        <v>203926</v>
      </c>
      <c r="B229" t="s">
        <v>1259</v>
      </c>
      <c r="C229">
        <v>0</v>
      </c>
      <c r="D229">
        <v>1610612752</v>
      </c>
      <c r="E229" t="s">
        <v>1248</v>
      </c>
      <c r="F229">
        <v>260</v>
      </c>
      <c r="G229">
        <v>55</v>
      </c>
      <c r="H229">
        <v>10</v>
      </c>
      <c r="I229">
        <v>11720</v>
      </c>
      <c r="J229">
        <v>151</v>
      </c>
      <c r="K229">
        <v>328</v>
      </c>
      <c r="L229">
        <v>46</v>
      </c>
      <c r="M229">
        <v>530</v>
      </c>
      <c r="N229">
        <v>1370</v>
      </c>
      <c r="O229">
        <v>387</v>
      </c>
      <c r="P229">
        <v>40</v>
      </c>
      <c r="Q229">
        <v>53</v>
      </c>
      <c r="R229">
        <v>755</v>
      </c>
      <c r="S229">
        <v>330</v>
      </c>
      <c r="T229">
        <v>1010</v>
      </c>
      <c r="U229">
        <v>1340</v>
      </c>
      <c r="V229">
        <v>50</v>
      </c>
      <c r="W229">
        <v>100</v>
      </c>
      <c r="X229">
        <v>120</v>
      </c>
      <c r="Y229">
        <v>340</v>
      </c>
      <c r="Z229">
        <v>73</v>
      </c>
      <c r="AA229">
        <v>395</v>
      </c>
      <c r="AB229" t="s">
        <v>1427</v>
      </c>
    </row>
    <row r="230" spans="1:28" x14ac:dyDescent="0.3">
      <c r="A230">
        <v>78061</v>
      </c>
      <c r="B230" t="s">
        <v>1315</v>
      </c>
      <c r="C230">
        <v>0</v>
      </c>
      <c r="D230">
        <v>1610612752</v>
      </c>
      <c r="E230" t="s">
        <v>1248</v>
      </c>
      <c r="F230">
        <v>210</v>
      </c>
      <c r="G230">
        <v>4</v>
      </c>
      <c r="I230">
        <v>230</v>
      </c>
      <c r="J230">
        <v>5</v>
      </c>
      <c r="K230">
        <v>10</v>
      </c>
      <c r="L230">
        <v>5</v>
      </c>
      <c r="P230">
        <v>1</v>
      </c>
      <c r="Q230">
        <v>2</v>
      </c>
      <c r="R230">
        <v>5</v>
      </c>
      <c r="U230">
        <v>30</v>
      </c>
      <c r="V230">
        <v>1</v>
      </c>
      <c r="Z230">
        <v>4</v>
      </c>
      <c r="AA230">
        <v>11</v>
      </c>
      <c r="AB230" t="s">
        <v>1428</v>
      </c>
    </row>
    <row r="231" spans="1:28" x14ac:dyDescent="0.3">
      <c r="A231">
        <v>192</v>
      </c>
      <c r="B231" t="s">
        <v>1429</v>
      </c>
      <c r="C231">
        <v>0</v>
      </c>
      <c r="D231">
        <v>1610612752</v>
      </c>
      <c r="E231" t="s">
        <v>1248</v>
      </c>
      <c r="F231">
        <v>300</v>
      </c>
      <c r="G231">
        <v>15</v>
      </c>
      <c r="H231">
        <v>0</v>
      </c>
      <c r="I231">
        <v>2060</v>
      </c>
      <c r="J231">
        <v>17</v>
      </c>
      <c r="K231">
        <v>56</v>
      </c>
      <c r="L231">
        <v>304</v>
      </c>
      <c r="M231">
        <v>80</v>
      </c>
      <c r="N231">
        <v>290</v>
      </c>
      <c r="O231">
        <v>276</v>
      </c>
      <c r="P231">
        <v>1</v>
      </c>
      <c r="Q231">
        <v>4</v>
      </c>
      <c r="R231">
        <v>25</v>
      </c>
      <c r="S231">
        <v>30</v>
      </c>
      <c r="T231">
        <v>170</v>
      </c>
      <c r="U231">
        <v>200</v>
      </c>
      <c r="V231">
        <v>8</v>
      </c>
      <c r="W231">
        <v>30</v>
      </c>
      <c r="X231">
        <v>10</v>
      </c>
      <c r="Y231">
        <v>50</v>
      </c>
      <c r="Z231">
        <v>17</v>
      </c>
      <c r="AA231">
        <v>43</v>
      </c>
      <c r="AB231" t="s">
        <v>1430</v>
      </c>
    </row>
    <row r="232" spans="1:28" x14ac:dyDescent="0.3">
      <c r="A232">
        <v>1365</v>
      </c>
      <c r="B232" t="s">
        <v>1272</v>
      </c>
      <c r="C232">
        <v>0</v>
      </c>
      <c r="D232">
        <v>1610612752</v>
      </c>
      <c r="E232" t="s">
        <v>1248</v>
      </c>
      <c r="F232">
        <v>290</v>
      </c>
      <c r="G232">
        <v>82</v>
      </c>
      <c r="H232">
        <v>820</v>
      </c>
      <c r="I232">
        <v>23440</v>
      </c>
      <c r="J232">
        <v>488</v>
      </c>
      <c r="K232">
        <v>1021</v>
      </c>
      <c r="L232">
        <v>478</v>
      </c>
      <c r="M232">
        <v>120</v>
      </c>
      <c r="N232">
        <v>390</v>
      </c>
      <c r="O232">
        <v>308</v>
      </c>
      <c r="P232">
        <v>137</v>
      </c>
      <c r="Q232">
        <v>192</v>
      </c>
      <c r="R232">
        <v>714</v>
      </c>
      <c r="S232">
        <v>1760</v>
      </c>
      <c r="T232">
        <v>2840</v>
      </c>
      <c r="U232">
        <v>4600</v>
      </c>
      <c r="V232">
        <v>149</v>
      </c>
      <c r="W232">
        <v>570</v>
      </c>
      <c r="X232">
        <v>240</v>
      </c>
      <c r="Y232">
        <v>1470</v>
      </c>
      <c r="Z232">
        <v>241</v>
      </c>
      <c r="AA232">
        <v>1125</v>
      </c>
      <c r="AB232" t="s">
        <v>1431</v>
      </c>
    </row>
    <row r="233" spans="1:28" x14ac:dyDescent="0.3">
      <c r="A233">
        <v>76034</v>
      </c>
      <c r="B233" t="s">
        <v>1321</v>
      </c>
      <c r="C233">
        <v>0</v>
      </c>
      <c r="D233">
        <v>1610612752</v>
      </c>
      <c r="E233" t="s">
        <v>1248</v>
      </c>
      <c r="F233">
        <v>220</v>
      </c>
      <c r="G233">
        <v>33</v>
      </c>
      <c r="I233">
        <v>3730</v>
      </c>
      <c r="J233">
        <v>55</v>
      </c>
      <c r="K233">
        <v>143</v>
      </c>
      <c r="L233">
        <v>385</v>
      </c>
      <c r="P233">
        <v>23</v>
      </c>
      <c r="Q233">
        <v>42</v>
      </c>
      <c r="R233">
        <v>548</v>
      </c>
      <c r="U233">
        <v>690</v>
      </c>
      <c r="V233">
        <v>29</v>
      </c>
      <c r="Z233">
        <v>32</v>
      </c>
      <c r="AA233">
        <v>133</v>
      </c>
      <c r="AB233" t="s">
        <v>1432</v>
      </c>
    </row>
    <row r="234" spans="1:28" x14ac:dyDescent="0.3">
      <c r="A234">
        <v>1627782</v>
      </c>
      <c r="B234" t="s">
        <v>1308</v>
      </c>
      <c r="C234">
        <v>0</v>
      </c>
      <c r="D234">
        <v>1610612752</v>
      </c>
      <c r="E234" t="s">
        <v>1248</v>
      </c>
      <c r="F234">
        <v>270</v>
      </c>
      <c r="G234">
        <v>3</v>
      </c>
      <c r="H234">
        <v>0</v>
      </c>
      <c r="I234">
        <v>190</v>
      </c>
      <c r="J234">
        <v>1</v>
      </c>
      <c r="K234">
        <v>4</v>
      </c>
      <c r="L234">
        <v>25</v>
      </c>
      <c r="M234">
        <v>10</v>
      </c>
      <c r="N234">
        <v>20</v>
      </c>
      <c r="O234">
        <v>5</v>
      </c>
      <c r="P234">
        <v>2</v>
      </c>
      <c r="Q234">
        <v>4</v>
      </c>
      <c r="R234">
        <v>5</v>
      </c>
      <c r="S234">
        <v>0</v>
      </c>
      <c r="T234">
        <v>10</v>
      </c>
      <c r="U234">
        <v>10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5</v>
      </c>
      <c r="AB234" t="s">
        <v>1433</v>
      </c>
    </row>
    <row r="235" spans="1:28" x14ac:dyDescent="0.3">
      <c r="A235">
        <v>77516</v>
      </c>
      <c r="B235" t="s">
        <v>1272</v>
      </c>
      <c r="C235">
        <v>0</v>
      </c>
      <c r="D235">
        <v>1610612752</v>
      </c>
      <c r="E235" t="s">
        <v>1248</v>
      </c>
      <c r="F235">
        <v>300</v>
      </c>
      <c r="G235">
        <v>22</v>
      </c>
      <c r="H235">
        <v>0</v>
      </c>
      <c r="I235">
        <v>1080</v>
      </c>
      <c r="J235">
        <v>14</v>
      </c>
      <c r="K235">
        <v>33</v>
      </c>
      <c r="L235">
        <v>424</v>
      </c>
      <c r="M235">
        <v>0</v>
      </c>
      <c r="N235">
        <v>0</v>
      </c>
      <c r="O235">
        <v>0</v>
      </c>
      <c r="P235">
        <v>14</v>
      </c>
      <c r="Q235">
        <v>21</v>
      </c>
      <c r="R235">
        <v>667</v>
      </c>
      <c r="S235">
        <v>140</v>
      </c>
      <c r="T235">
        <v>200</v>
      </c>
      <c r="U235">
        <v>340</v>
      </c>
      <c r="V235">
        <v>9</v>
      </c>
      <c r="W235">
        <v>20</v>
      </c>
      <c r="X235">
        <v>0</v>
      </c>
      <c r="Y235">
        <v>80</v>
      </c>
      <c r="Z235">
        <v>18</v>
      </c>
      <c r="AA235">
        <v>42</v>
      </c>
      <c r="AB235" t="s">
        <v>1434</v>
      </c>
    </row>
    <row r="236" spans="1:28" x14ac:dyDescent="0.3">
      <c r="A236">
        <v>962</v>
      </c>
      <c r="B236" t="s">
        <v>1277</v>
      </c>
      <c r="C236">
        <v>0</v>
      </c>
      <c r="D236">
        <v>1610612752</v>
      </c>
      <c r="E236" t="s">
        <v>1248</v>
      </c>
      <c r="F236">
        <v>230</v>
      </c>
      <c r="G236">
        <v>35</v>
      </c>
      <c r="H236">
        <v>0</v>
      </c>
      <c r="I236">
        <v>1890</v>
      </c>
      <c r="J236">
        <v>26</v>
      </c>
      <c r="K236">
        <v>68</v>
      </c>
      <c r="L236">
        <v>382</v>
      </c>
      <c r="M236">
        <v>40</v>
      </c>
      <c r="N236">
        <v>140</v>
      </c>
      <c r="O236">
        <v>286</v>
      </c>
      <c r="P236">
        <v>8</v>
      </c>
      <c r="Q236">
        <v>14</v>
      </c>
      <c r="R236">
        <v>571</v>
      </c>
      <c r="S236">
        <v>80</v>
      </c>
      <c r="T236">
        <v>150</v>
      </c>
      <c r="U236">
        <v>230</v>
      </c>
      <c r="V236">
        <v>13</v>
      </c>
      <c r="W236">
        <v>70</v>
      </c>
      <c r="X236">
        <v>90</v>
      </c>
      <c r="Y236">
        <v>170</v>
      </c>
      <c r="Z236">
        <v>38</v>
      </c>
      <c r="AA236">
        <v>64</v>
      </c>
      <c r="AB236" t="s">
        <v>1435</v>
      </c>
    </row>
    <row r="237" spans="1:28" x14ac:dyDescent="0.3">
      <c r="A237">
        <v>203648</v>
      </c>
      <c r="B237" t="s">
        <v>1279</v>
      </c>
      <c r="C237">
        <v>0</v>
      </c>
      <c r="D237">
        <v>1610612752</v>
      </c>
      <c r="E237" t="s">
        <v>1248</v>
      </c>
      <c r="F237">
        <v>230</v>
      </c>
      <c r="G237">
        <v>2</v>
      </c>
      <c r="H237">
        <v>0</v>
      </c>
      <c r="I237">
        <v>60</v>
      </c>
      <c r="J237">
        <v>3</v>
      </c>
      <c r="K237">
        <v>4</v>
      </c>
      <c r="L237">
        <v>75</v>
      </c>
      <c r="M237">
        <v>0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10</v>
      </c>
      <c r="U237">
        <v>10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6</v>
      </c>
      <c r="AB237" t="s">
        <v>1436</v>
      </c>
    </row>
    <row r="238" spans="1:28" x14ac:dyDescent="0.3">
      <c r="A238">
        <v>77500</v>
      </c>
      <c r="B238" t="s">
        <v>1320</v>
      </c>
      <c r="C238">
        <v>0</v>
      </c>
      <c r="D238">
        <v>1610612752</v>
      </c>
      <c r="E238" t="s">
        <v>1248</v>
      </c>
      <c r="F238">
        <v>220</v>
      </c>
      <c r="G238">
        <v>36</v>
      </c>
      <c r="I238">
        <v>2950</v>
      </c>
      <c r="J238">
        <v>22</v>
      </c>
      <c r="K238">
        <v>100</v>
      </c>
      <c r="L238">
        <v>22</v>
      </c>
      <c r="P238">
        <v>25</v>
      </c>
      <c r="Q238">
        <v>37</v>
      </c>
      <c r="R238">
        <v>676</v>
      </c>
      <c r="U238">
        <v>450</v>
      </c>
      <c r="V238">
        <v>54</v>
      </c>
      <c r="Z238">
        <v>34</v>
      </c>
      <c r="AA238">
        <v>69</v>
      </c>
      <c r="AB238" t="s">
        <v>1437</v>
      </c>
    </row>
    <row r="239" spans="1:28" x14ac:dyDescent="0.3">
      <c r="A239">
        <v>77500</v>
      </c>
      <c r="B239" t="s">
        <v>1250</v>
      </c>
      <c r="C239">
        <v>0</v>
      </c>
      <c r="D239">
        <v>1610612752</v>
      </c>
      <c r="E239" t="s">
        <v>1248</v>
      </c>
      <c r="F239">
        <v>230</v>
      </c>
      <c r="G239">
        <v>1</v>
      </c>
      <c r="I239">
        <v>70</v>
      </c>
      <c r="J239">
        <v>0</v>
      </c>
      <c r="K239">
        <v>3</v>
      </c>
      <c r="L239">
        <v>0</v>
      </c>
      <c r="P239">
        <v>0</v>
      </c>
      <c r="Q239">
        <v>0</v>
      </c>
      <c r="U239">
        <v>10</v>
      </c>
      <c r="V239">
        <v>1</v>
      </c>
      <c r="Z239">
        <v>1</v>
      </c>
      <c r="AA239">
        <v>0</v>
      </c>
      <c r="AB239" t="s">
        <v>1437</v>
      </c>
    </row>
    <row r="240" spans="1:28" x14ac:dyDescent="0.3">
      <c r="A240">
        <v>77500</v>
      </c>
      <c r="B240" t="s">
        <v>1321</v>
      </c>
      <c r="C240">
        <v>0</v>
      </c>
      <c r="D240">
        <v>1610612752</v>
      </c>
      <c r="E240" t="s">
        <v>1248</v>
      </c>
      <c r="F240">
        <v>240</v>
      </c>
      <c r="G240">
        <v>4</v>
      </c>
      <c r="I240">
        <v>290</v>
      </c>
      <c r="J240">
        <v>1</v>
      </c>
      <c r="K240">
        <v>10</v>
      </c>
      <c r="L240">
        <v>1</v>
      </c>
      <c r="P240">
        <v>3</v>
      </c>
      <c r="Q240">
        <v>3</v>
      </c>
      <c r="R240">
        <v>10</v>
      </c>
      <c r="U240">
        <v>40</v>
      </c>
      <c r="V240">
        <v>10</v>
      </c>
      <c r="Z240">
        <v>2</v>
      </c>
      <c r="AA240">
        <v>5</v>
      </c>
      <c r="AB240" t="s">
        <v>1437</v>
      </c>
    </row>
    <row r="241" spans="1:28" x14ac:dyDescent="0.3">
      <c r="A241">
        <v>1630540</v>
      </c>
      <c r="B241" t="s">
        <v>1308</v>
      </c>
      <c r="C241">
        <v>0</v>
      </c>
      <c r="D241">
        <v>1610612752</v>
      </c>
      <c r="E241" t="s">
        <v>1248</v>
      </c>
      <c r="F241">
        <v>210</v>
      </c>
      <c r="G241">
        <v>40</v>
      </c>
      <c r="H241">
        <v>20</v>
      </c>
      <c r="I241">
        <v>3720</v>
      </c>
      <c r="J241">
        <v>32</v>
      </c>
      <c r="K241">
        <v>108</v>
      </c>
      <c r="L241">
        <v>296</v>
      </c>
      <c r="M241">
        <v>170</v>
      </c>
      <c r="N241">
        <v>680</v>
      </c>
      <c r="O241">
        <v>25</v>
      </c>
      <c r="P241">
        <v>8</v>
      </c>
      <c r="Q241">
        <v>12</v>
      </c>
      <c r="R241">
        <v>667</v>
      </c>
      <c r="S241">
        <v>40</v>
      </c>
      <c r="T241">
        <v>380</v>
      </c>
      <c r="U241">
        <v>420</v>
      </c>
      <c r="V241">
        <v>41</v>
      </c>
      <c r="W241">
        <v>140</v>
      </c>
      <c r="X241">
        <v>10</v>
      </c>
      <c r="Y241">
        <v>50</v>
      </c>
      <c r="Z241">
        <v>45</v>
      </c>
      <c r="AA241">
        <v>89</v>
      </c>
      <c r="AB241" t="s">
        <v>1438</v>
      </c>
    </row>
    <row r="242" spans="1:28" x14ac:dyDescent="0.3">
      <c r="A242">
        <v>1630540</v>
      </c>
      <c r="B242" t="s">
        <v>1327</v>
      </c>
      <c r="C242">
        <v>0</v>
      </c>
      <c r="D242">
        <v>1610612752</v>
      </c>
      <c r="E242" t="s">
        <v>1248</v>
      </c>
      <c r="F242">
        <v>220</v>
      </c>
      <c r="G242">
        <v>64</v>
      </c>
      <c r="H242">
        <v>20</v>
      </c>
      <c r="I242">
        <v>7600</v>
      </c>
      <c r="J242">
        <v>77</v>
      </c>
      <c r="K242">
        <v>215</v>
      </c>
      <c r="L242">
        <v>358</v>
      </c>
      <c r="M242">
        <v>400</v>
      </c>
      <c r="N242">
        <v>1340</v>
      </c>
      <c r="O242">
        <v>299</v>
      </c>
      <c r="P242">
        <v>28</v>
      </c>
      <c r="Q242">
        <v>42</v>
      </c>
      <c r="R242">
        <v>667</v>
      </c>
      <c r="S242">
        <v>130</v>
      </c>
      <c r="T242">
        <v>370</v>
      </c>
      <c r="U242">
        <v>500</v>
      </c>
      <c r="V242">
        <v>72</v>
      </c>
      <c r="W242">
        <v>370</v>
      </c>
      <c r="X242">
        <v>80</v>
      </c>
      <c r="Y242">
        <v>250</v>
      </c>
      <c r="Z242">
        <v>60</v>
      </c>
      <c r="AA242">
        <v>222</v>
      </c>
      <c r="AB242" t="s">
        <v>1438</v>
      </c>
    </row>
    <row r="243" spans="1:28" x14ac:dyDescent="0.3">
      <c r="A243">
        <v>1630540</v>
      </c>
      <c r="B243" t="s">
        <v>1369</v>
      </c>
      <c r="C243">
        <v>0</v>
      </c>
      <c r="D243">
        <v>1610612752</v>
      </c>
      <c r="E243" t="s">
        <v>1248</v>
      </c>
      <c r="F243">
        <v>230</v>
      </c>
      <c r="G243">
        <v>68</v>
      </c>
      <c r="H243">
        <v>140</v>
      </c>
      <c r="I243">
        <v>13280</v>
      </c>
      <c r="J243">
        <v>205</v>
      </c>
      <c r="K243">
        <v>454</v>
      </c>
      <c r="L243">
        <v>452</v>
      </c>
      <c r="M243">
        <v>1090</v>
      </c>
      <c r="N243">
        <v>2660</v>
      </c>
      <c r="O243">
        <v>41</v>
      </c>
      <c r="P243">
        <v>43</v>
      </c>
      <c r="Q243">
        <v>50</v>
      </c>
      <c r="R243">
        <v>86</v>
      </c>
      <c r="S243">
        <v>310</v>
      </c>
      <c r="T243">
        <v>690</v>
      </c>
      <c r="U243">
        <v>1000</v>
      </c>
      <c r="V243">
        <v>114</v>
      </c>
      <c r="W243">
        <v>500</v>
      </c>
      <c r="X243">
        <v>70</v>
      </c>
      <c r="Y243">
        <v>300</v>
      </c>
      <c r="Z243">
        <v>108</v>
      </c>
      <c r="AA243">
        <v>562</v>
      </c>
      <c r="AB243" t="s">
        <v>1438</v>
      </c>
    </row>
    <row r="244" spans="1:28" x14ac:dyDescent="0.3">
      <c r="A244">
        <v>77893</v>
      </c>
      <c r="B244" t="s">
        <v>1270</v>
      </c>
      <c r="C244">
        <v>0</v>
      </c>
      <c r="D244">
        <v>1610612752</v>
      </c>
      <c r="E244" t="s">
        <v>1248</v>
      </c>
      <c r="F244">
        <v>240</v>
      </c>
      <c r="G244">
        <v>31</v>
      </c>
      <c r="H244">
        <v>0</v>
      </c>
      <c r="I244">
        <v>1930</v>
      </c>
      <c r="J244">
        <v>19</v>
      </c>
      <c r="K244">
        <v>58</v>
      </c>
      <c r="L244">
        <v>328</v>
      </c>
      <c r="M244">
        <v>0</v>
      </c>
      <c r="N244">
        <v>20</v>
      </c>
      <c r="O244">
        <v>0</v>
      </c>
      <c r="P244">
        <v>2</v>
      </c>
      <c r="Q244">
        <v>3</v>
      </c>
      <c r="R244">
        <v>667</v>
      </c>
      <c r="S244">
        <v>90</v>
      </c>
      <c r="T244">
        <v>190</v>
      </c>
      <c r="U244">
        <v>280</v>
      </c>
      <c r="V244">
        <v>11</v>
      </c>
      <c r="W244">
        <v>30</v>
      </c>
      <c r="X244">
        <v>40</v>
      </c>
      <c r="Y244">
        <v>40</v>
      </c>
      <c r="Z244">
        <v>27</v>
      </c>
      <c r="AA244">
        <v>40</v>
      </c>
      <c r="AB244" t="s">
        <v>1439</v>
      </c>
    </row>
    <row r="245" spans="1:28" x14ac:dyDescent="0.3">
      <c r="A245">
        <v>77893</v>
      </c>
      <c r="B245" t="s">
        <v>1271</v>
      </c>
      <c r="C245">
        <v>0</v>
      </c>
      <c r="D245">
        <v>1610612752</v>
      </c>
      <c r="E245" t="s">
        <v>1248</v>
      </c>
      <c r="F245">
        <v>250</v>
      </c>
      <c r="G245">
        <v>68</v>
      </c>
      <c r="H245">
        <v>50</v>
      </c>
      <c r="I245">
        <v>10110</v>
      </c>
      <c r="J245">
        <v>139</v>
      </c>
      <c r="K245">
        <v>303</v>
      </c>
      <c r="L245">
        <v>459</v>
      </c>
      <c r="M245">
        <v>150</v>
      </c>
      <c r="N245">
        <v>430</v>
      </c>
      <c r="O245">
        <v>349</v>
      </c>
      <c r="P245">
        <v>26</v>
      </c>
      <c r="Q245">
        <v>36</v>
      </c>
      <c r="R245">
        <v>722</v>
      </c>
      <c r="S245">
        <v>650</v>
      </c>
      <c r="T245">
        <v>800</v>
      </c>
      <c r="U245">
        <v>1450</v>
      </c>
      <c r="V245">
        <v>53</v>
      </c>
      <c r="W245">
        <v>220</v>
      </c>
      <c r="X245">
        <v>130</v>
      </c>
      <c r="Y245">
        <v>520</v>
      </c>
      <c r="Z245">
        <v>100</v>
      </c>
      <c r="AA245">
        <v>319</v>
      </c>
      <c r="AB245" t="s">
        <v>1439</v>
      </c>
    </row>
    <row r="246" spans="1:28" x14ac:dyDescent="0.3">
      <c r="A246">
        <v>77893</v>
      </c>
      <c r="B246" t="s">
        <v>1272</v>
      </c>
      <c r="C246">
        <v>0</v>
      </c>
      <c r="D246">
        <v>1610612752</v>
      </c>
      <c r="E246" t="s">
        <v>1248</v>
      </c>
      <c r="F246">
        <v>260</v>
      </c>
      <c r="G246">
        <v>24</v>
      </c>
      <c r="H246">
        <v>0</v>
      </c>
      <c r="I246">
        <v>1900</v>
      </c>
      <c r="J246">
        <v>28</v>
      </c>
      <c r="K246">
        <v>73</v>
      </c>
      <c r="L246">
        <v>384</v>
      </c>
      <c r="M246">
        <v>100</v>
      </c>
      <c r="N246">
        <v>260</v>
      </c>
      <c r="O246">
        <v>385</v>
      </c>
      <c r="P246">
        <v>8</v>
      </c>
      <c r="Q246">
        <v>14</v>
      </c>
      <c r="R246">
        <v>571</v>
      </c>
      <c r="S246">
        <v>90</v>
      </c>
      <c r="T246">
        <v>150</v>
      </c>
      <c r="U246">
        <v>240</v>
      </c>
      <c r="V246">
        <v>7</v>
      </c>
      <c r="W246">
        <v>70</v>
      </c>
      <c r="X246">
        <v>60</v>
      </c>
      <c r="Y246">
        <v>80</v>
      </c>
      <c r="Z246">
        <v>21</v>
      </c>
      <c r="AA246">
        <v>74</v>
      </c>
      <c r="AB246" t="s">
        <v>1439</v>
      </c>
    </row>
    <row r="247" spans="1:28" x14ac:dyDescent="0.3">
      <c r="A247">
        <v>203901</v>
      </c>
      <c r="B247" t="s">
        <v>1288</v>
      </c>
      <c r="C247">
        <v>0</v>
      </c>
      <c r="D247">
        <v>1610612752</v>
      </c>
      <c r="E247" t="s">
        <v>1248</v>
      </c>
      <c r="F247">
        <v>260</v>
      </c>
      <c r="G247">
        <v>45</v>
      </c>
      <c r="H247">
        <v>360</v>
      </c>
      <c r="I247">
        <v>12460</v>
      </c>
      <c r="J247">
        <v>193</v>
      </c>
      <c r="K247">
        <v>440</v>
      </c>
      <c r="L247">
        <v>439</v>
      </c>
      <c r="M247">
        <v>140</v>
      </c>
      <c r="N247">
        <v>690</v>
      </c>
      <c r="O247">
        <v>203</v>
      </c>
      <c r="P247">
        <v>49</v>
      </c>
      <c r="Q247">
        <v>86</v>
      </c>
      <c r="R247">
        <v>57</v>
      </c>
      <c r="S247">
        <v>520</v>
      </c>
      <c r="T247">
        <v>1600</v>
      </c>
      <c r="U247">
        <v>2120</v>
      </c>
      <c r="V247">
        <v>323</v>
      </c>
      <c r="W247">
        <v>700</v>
      </c>
      <c r="X247">
        <v>170</v>
      </c>
      <c r="Y247">
        <v>960</v>
      </c>
      <c r="Z247">
        <v>89</v>
      </c>
      <c r="AA247">
        <v>449</v>
      </c>
      <c r="AB247" t="s">
        <v>1440</v>
      </c>
    </row>
    <row r="248" spans="1:28" x14ac:dyDescent="0.3">
      <c r="A248">
        <v>203901</v>
      </c>
      <c r="B248" t="s">
        <v>1289</v>
      </c>
      <c r="C248">
        <v>0</v>
      </c>
      <c r="D248">
        <v>1610612752</v>
      </c>
      <c r="E248" t="s">
        <v>1248</v>
      </c>
      <c r="F248">
        <v>270</v>
      </c>
      <c r="G248">
        <v>63</v>
      </c>
      <c r="H248">
        <v>630</v>
      </c>
      <c r="I248">
        <v>14840</v>
      </c>
      <c r="J248">
        <v>269</v>
      </c>
      <c r="K248">
        <v>622</v>
      </c>
      <c r="L248">
        <v>432</v>
      </c>
      <c r="M248">
        <v>280</v>
      </c>
      <c r="N248">
        <v>980</v>
      </c>
      <c r="O248">
        <v>286</v>
      </c>
      <c r="P248">
        <v>73</v>
      </c>
      <c r="Q248">
        <v>107</v>
      </c>
      <c r="R248">
        <v>682</v>
      </c>
      <c r="S248">
        <v>640</v>
      </c>
      <c r="T248">
        <v>1520</v>
      </c>
      <c r="U248">
        <v>2160</v>
      </c>
      <c r="V248">
        <v>203</v>
      </c>
      <c r="W248">
        <v>470</v>
      </c>
      <c r="X248">
        <v>90</v>
      </c>
      <c r="Y248">
        <v>1030</v>
      </c>
      <c r="Z248">
        <v>116</v>
      </c>
      <c r="AA248">
        <v>639</v>
      </c>
      <c r="AB248" t="s">
        <v>1440</v>
      </c>
    </row>
    <row r="249" spans="1:28" x14ac:dyDescent="0.3">
      <c r="A249">
        <v>78209</v>
      </c>
      <c r="B249" t="s">
        <v>1323</v>
      </c>
      <c r="C249">
        <v>0</v>
      </c>
      <c r="D249">
        <v>1610612752</v>
      </c>
      <c r="E249" t="s">
        <v>1248</v>
      </c>
      <c r="F249">
        <v>230</v>
      </c>
      <c r="G249">
        <v>9</v>
      </c>
      <c r="I249">
        <v>830</v>
      </c>
      <c r="J249">
        <v>8</v>
      </c>
      <c r="K249">
        <v>33</v>
      </c>
      <c r="L249">
        <v>242</v>
      </c>
      <c r="P249">
        <v>7</v>
      </c>
      <c r="Q249">
        <v>8</v>
      </c>
      <c r="R249">
        <v>875</v>
      </c>
      <c r="U249">
        <v>160</v>
      </c>
      <c r="V249">
        <v>7</v>
      </c>
      <c r="Z249">
        <v>6</v>
      </c>
      <c r="AA249">
        <v>23</v>
      </c>
      <c r="AB249" t="s">
        <v>1441</v>
      </c>
    </row>
    <row r="250" spans="1:28" x14ac:dyDescent="0.3">
      <c r="A250">
        <v>78047</v>
      </c>
      <c r="B250" t="s">
        <v>1282</v>
      </c>
      <c r="C250">
        <v>0</v>
      </c>
      <c r="D250">
        <v>1610612752</v>
      </c>
      <c r="E250" t="s">
        <v>1248</v>
      </c>
      <c r="F250">
        <v>290</v>
      </c>
      <c r="G250">
        <v>79</v>
      </c>
      <c r="I250">
        <v>28650</v>
      </c>
      <c r="J250">
        <v>508</v>
      </c>
      <c r="K250">
        <v>1095</v>
      </c>
      <c r="L250">
        <v>464</v>
      </c>
      <c r="M250">
        <v>80</v>
      </c>
      <c r="N250">
        <v>260</v>
      </c>
      <c r="O250">
        <v>308</v>
      </c>
      <c r="P250">
        <v>268</v>
      </c>
      <c r="Q250">
        <v>343</v>
      </c>
      <c r="R250">
        <v>781</v>
      </c>
      <c r="S250">
        <v>1090</v>
      </c>
      <c r="T250">
        <v>2440</v>
      </c>
      <c r="U250">
        <v>3530</v>
      </c>
      <c r="V250">
        <v>257</v>
      </c>
      <c r="W250">
        <v>990</v>
      </c>
      <c r="X250">
        <v>80</v>
      </c>
      <c r="Y250">
        <v>2120</v>
      </c>
      <c r="Z250">
        <v>248</v>
      </c>
      <c r="AA250">
        <v>1292</v>
      </c>
      <c r="AB250" t="s">
        <v>1442</v>
      </c>
    </row>
    <row r="251" spans="1:28" x14ac:dyDescent="0.3">
      <c r="A251">
        <v>78047</v>
      </c>
      <c r="B251" t="s">
        <v>1284</v>
      </c>
      <c r="C251">
        <v>0</v>
      </c>
      <c r="D251">
        <v>1610612752</v>
      </c>
      <c r="E251" t="s">
        <v>1248</v>
      </c>
      <c r="F251">
        <v>300</v>
      </c>
      <c r="G251">
        <v>77</v>
      </c>
      <c r="H251">
        <v>630</v>
      </c>
      <c r="I251">
        <v>23580</v>
      </c>
      <c r="J251">
        <v>410</v>
      </c>
      <c r="K251">
        <v>858</v>
      </c>
      <c r="L251">
        <v>478</v>
      </c>
      <c r="M251">
        <v>250</v>
      </c>
      <c r="N251">
        <v>570</v>
      </c>
      <c r="O251">
        <v>439</v>
      </c>
      <c r="P251">
        <v>228</v>
      </c>
      <c r="Q251">
        <v>294</v>
      </c>
      <c r="R251">
        <v>776</v>
      </c>
      <c r="S251">
        <v>860</v>
      </c>
      <c r="T251">
        <v>1500</v>
      </c>
      <c r="U251">
        <v>2360</v>
      </c>
      <c r="V251">
        <v>284</v>
      </c>
      <c r="W251">
        <v>770</v>
      </c>
      <c r="X251">
        <v>120</v>
      </c>
      <c r="Y251">
        <v>1950</v>
      </c>
      <c r="Z251">
        <v>221</v>
      </c>
      <c r="AA251">
        <v>1073</v>
      </c>
      <c r="AB251" t="s">
        <v>1442</v>
      </c>
    </row>
    <row r="252" spans="1:28" x14ac:dyDescent="0.3">
      <c r="A252">
        <v>77498</v>
      </c>
      <c r="B252" t="s">
        <v>1263</v>
      </c>
      <c r="C252">
        <v>0</v>
      </c>
      <c r="D252">
        <v>1610612752</v>
      </c>
      <c r="E252" t="s">
        <v>1248</v>
      </c>
      <c r="F252">
        <v>250</v>
      </c>
      <c r="G252">
        <v>52</v>
      </c>
      <c r="I252">
        <v>20310</v>
      </c>
      <c r="J252">
        <v>558</v>
      </c>
      <c r="K252">
        <v>1045</v>
      </c>
      <c r="L252">
        <v>534</v>
      </c>
      <c r="P252">
        <v>271</v>
      </c>
      <c r="Q252">
        <v>358</v>
      </c>
      <c r="R252">
        <v>757</v>
      </c>
      <c r="S252">
        <v>1330</v>
      </c>
      <c r="T252">
        <v>5290</v>
      </c>
      <c r="U252">
        <v>6620</v>
      </c>
      <c r="V252">
        <v>140</v>
      </c>
      <c r="W252">
        <v>610</v>
      </c>
      <c r="X252">
        <v>650</v>
      </c>
      <c r="Z252">
        <v>188</v>
      </c>
      <c r="AA252">
        <v>1387</v>
      </c>
      <c r="AB252" t="s">
        <v>1443</v>
      </c>
    </row>
    <row r="253" spans="1:28" x14ac:dyDescent="0.3">
      <c r="A253">
        <v>77498</v>
      </c>
      <c r="B253" t="s">
        <v>1264</v>
      </c>
      <c r="C253">
        <v>0</v>
      </c>
      <c r="D253">
        <v>1610612752</v>
      </c>
      <c r="E253" t="s">
        <v>1248</v>
      </c>
      <c r="F253">
        <v>260</v>
      </c>
      <c r="G253">
        <v>79</v>
      </c>
      <c r="I253">
        <v>31820</v>
      </c>
      <c r="J253">
        <v>814</v>
      </c>
      <c r="K253">
        <v>1564</v>
      </c>
      <c r="L253">
        <v>52</v>
      </c>
      <c r="P253">
        <v>469</v>
      </c>
      <c r="Q253">
        <v>645</v>
      </c>
      <c r="R253">
        <v>727</v>
      </c>
      <c r="S253">
        <v>2360</v>
      </c>
      <c r="T253">
        <v>7740</v>
      </c>
      <c r="U253">
        <v>10100</v>
      </c>
      <c r="V253">
        <v>298</v>
      </c>
      <c r="W253">
        <v>1050</v>
      </c>
      <c r="X253">
        <v>1260</v>
      </c>
      <c r="Y253">
        <v>3460</v>
      </c>
      <c r="Z253">
        <v>297</v>
      </c>
      <c r="AA253">
        <v>2097</v>
      </c>
      <c r="AB253" t="s">
        <v>1443</v>
      </c>
    </row>
    <row r="254" spans="1:28" x14ac:dyDescent="0.3">
      <c r="A254">
        <v>77498</v>
      </c>
      <c r="B254" t="s">
        <v>1265</v>
      </c>
      <c r="C254">
        <v>0</v>
      </c>
      <c r="D254">
        <v>1610612752</v>
      </c>
      <c r="E254" t="s">
        <v>1248</v>
      </c>
      <c r="F254">
        <v>270</v>
      </c>
      <c r="G254">
        <v>40</v>
      </c>
      <c r="I254">
        <v>15940</v>
      </c>
      <c r="J254">
        <v>429</v>
      </c>
      <c r="K254">
        <v>793</v>
      </c>
      <c r="L254">
        <v>541</v>
      </c>
      <c r="P254">
        <v>218</v>
      </c>
      <c r="Q254">
        <v>335</v>
      </c>
      <c r="R254">
        <v>651</v>
      </c>
      <c r="S254">
        <v>940</v>
      </c>
      <c r="T254">
        <v>2850</v>
      </c>
      <c r="U254">
        <v>3790</v>
      </c>
      <c r="V254">
        <v>128</v>
      </c>
      <c r="W254">
        <v>620</v>
      </c>
      <c r="X254">
        <v>470</v>
      </c>
      <c r="Y254">
        <v>1530</v>
      </c>
      <c r="Z254">
        <v>134</v>
      </c>
      <c r="AA254">
        <v>1076</v>
      </c>
      <c r="AB254" t="s">
        <v>1443</v>
      </c>
    </row>
    <row r="255" spans="1:28" x14ac:dyDescent="0.3">
      <c r="A255">
        <v>77089</v>
      </c>
      <c r="B255" t="s">
        <v>1320</v>
      </c>
      <c r="C255">
        <v>0</v>
      </c>
      <c r="D255">
        <v>1610612752</v>
      </c>
      <c r="E255" t="s">
        <v>1248</v>
      </c>
      <c r="F255">
        <v>290</v>
      </c>
      <c r="G255">
        <v>18</v>
      </c>
      <c r="I255">
        <v>3840</v>
      </c>
      <c r="J255">
        <v>51</v>
      </c>
      <c r="K255">
        <v>131</v>
      </c>
      <c r="L255">
        <v>389</v>
      </c>
      <c r="P255">
        <v>24</v>
      </c>
      <c r="Q255">
        <v>43</v>
      </c>
      <c r="R255">
        <v>558</v>
      </c>
      <c r="U255">
        <v>860</v>
      </c>
      <c r="V255">
        <v>34</v>
      </c>
      <c r="Z255">
        <v>31</v>
      </c>
      <c r="AA255">
        <v>126</v>
      </c>
      <c r="AB255" t="s">
        <v>1444</v>
      </c>
    </row>
    <row r="256" spans="1:28" x14ac:dyDescent="0.3">
      <c r="A256">
        <v>76750</v>
      </c>
      <c r="B256" t="s">
        <v>1414</v>
      </c>
      <c r="C256">
        <v>0</v>
      </c>
      <c r="D256">
        <v>1610612752</v>
      </c>
      <c r="E256" t="s">
        <v>1248</v>
      </c>
      <c r="F256">
        <v>230</v>
      </c>
      <c r="G256">
        <v>74</v>
      </c>
      <c r="I256">
        <v>15880</v>
      </c>
      <c r="J256">
        <v>256</v>
      </c>
      <c r="K256">
        <v>568</v>
      </c>
      <c r="L256">
        <v>451</v>
      </c>
      <c r="P256">
        <v>154</v>
      </c>
      <c r="Q256">
        <v>235</v>
      </c>
      <c r="R256">
        <v>655</v>
      </c>
      <c r="U256">
        <v>3130</v>
      </c>
      <c r="V256">
        <v>305</v>
      </c>
      <c r="Z256">
        <v>199</v>
      </c>
      <c r="AA256">
        <v>666</v>
      </c>
      <c r="AB256" t="s">
        <v>1445</v>
      </c>
    </row>
    <row r="257" spans="1:28" x14ac:dyDescent="0.3">
      <c r="A257">
        <v>76750</v>
      </c>
      <c r="B257" t="s">
        <v>1415</v>
      </c>
      <c r="C257">
        <v>0</v>
      </c>
      <c r="D257">
        <v>1610612752</v>
      </c>
      <c r="E257" t="s">
        <v>1248</v>
      </c>
      <c r="F257">
        <v>240</v>
      </c>
      <c r="G257">
        <v>80</v>
      </c>
      <c r="I257">
        <v>29490</v>
      </c>
      <c r="J257">
        <v>531</v>
      </c>
      <c r="K257">
        <v>1052</v>
      </c>
      <c r="L257">
        <v>505</v>
      </c>
      <c r="P257">
        <v>341</v>
      </c>
      <c r="Q257">
        <v>457</v>
      </c>
      <c r="R257">
        <v>746</v>
      </c>
      <c r="U257">
        <v>4990</v>
      </c>
      <c r="V257">
        <v>635</v>
      </c>
      <c r="Z257">
        <v>245</v>
      </c>
      <c r="AA257">
        <v>1403</v>
      </c>
      <c r="AB257" t="s">
        <v>1445</v>
      </c>
    </row>
    <row r="258" spans="1:28" x14ac:dyDescent="0.3">
      <c r="A258">
        <v>76750</v>
      </c>
      <c r="B258" t="s">
        <v>1416</v>
      </c>
      <c r="C258">
        <v>0</v>
      </c>
      <c r="D258">
        <v>1610612752</v>
      </c>
      <c r="E258" t="s">
        <v>1248</v>
      </c>
      <c r="F258">
        <v>250</v>
      </c>
      <c r="G258">
        <v>77</v>
      </c>
      <c r="I258">
        <v>30400</v>
      </c>
      <c r="J258">
        <v>600</v>
      </c>
      <c r="K258">
        <v>1158</v>
      </c>
      <c r="L258">
        <v>518</v>
      </c>
      <c r="P258">
        <v>409</v>
      </c>
      <c r="Q258">
        <v>547</v>
      </c>
      <c r="R258">
        <v>748</v>
      </c>
      <c r="U258">
        <v>4650</v>
      </c>
      <c r="V258">
        <v>629</v>
      </c>
      <c r="Z258">
        <v>203</v>
      </c>
      <c r="AA258">
        <v>1609</v>
      </c>
      <c r="AB258" t="s">
        <v>1445</v>
      </c>
    </row>
    <row r="259" spans="1:28" x14ac:dyDescent="0.3">
      <c r="A259">
        <v>76750</v>
      </c>
      <c r="B259" t="s">
        <v>1417</v>
      </c>
      <c r="C259">
        <v>0</v>
      </c>
      <c r="D259">
        <v>1610612752</v>
      </c>
      <c r="E259" t="s">
        <v>1248</v>
      </c>
      <c r="F259">
        <v>260</v>
      </c>
      <c r="G259">
        <v>80</v>
      </c>
      <c r="I259">
        <v>34550</v>
      </c>
      <c r="J259">
        <v>651</v>
      </c>
      <c r="K259">
        <v>1317</v>
      </c>
      <c r="L259">
        <v>494</v>
      </c>
      <c r="P259">
        <v>434</v>
      </c>
      <c r="Q259">
        <v>557</v>
      </c>
      <c r="R259">
        <v>779</v>
      </c>
      <c r="U259">
        <v>5440</v>
      </c>
      <c r="V259">
        <v>536</v>
      </c>
      <c r="Z259">
        <v>240</v>
      </c>
      <c r="AA259">
        <v>1736</v>
      </c>
      <c r="AB259" t="s">
        <v>1445</v>
      </c>
    </row>
    <row r="260" spans="1:28" x14ac:dyDescent="0.3">
      <c r="A260">
        <v>76750</v>
      </c>
      <c r="B260" t="s">
        <v>1354</v>
      </c>
      <c r="C260">
        <v>0</v>
      </c>
      <c r="D260">
        <v>1610612752</v>
      </c>
      <c r="E260" t="s">
        <v>1248</v>
      </c>
      <c r="F260">
        <v>270</v>
      </c>
      <c r="G260">
        <v>77</v>
      </c>
      <c r="I260">
        <v>31260</v>
      </c>
      <c r="J260">
        <v>669</v>
      </c>
      <c r="K260">
        <v>1307</v>
      </c>
      <c r="L260">
        <v>512</v>
      </c>
      <c r="P260">
        <v>450</v>
      </c>
      <c r="Q260">
        <v>557</v>
      </c>
      <c r="R260">
        <v>808</v>
      </c>
      <c r="U260">
        <v>5130</v>
      </c>
      <c r="V260">
        <v>446</v>
      </c>
      <c r="Z260">
        <v>185</v>
      </c>
      <c r="AA260">
        <v>1788</v>
      </c>
      <c r="AB260" t="s">
        <v>1445</v>
      </c>
    </row>
    <row r="261" spans="1:28" x14ac:dyDescent="0.3">
      <c r="A261">
        <v>76750</v>
      </c>
      <c r="B261" t="s">
        <v>1356</v>
      </c>
      <c r="C261">
        <v>0</v>
      </c>
      <c r="D261">
        <v>1610612752</v>
      </c>
      <c r="E261" t="s">
        <v>1248</v>
      </c>
      <c r="F261">
        <v>280</v>
      </c>
      <c r="G261">
        <v>78</v>
      </c>
      <c r="I261">
        <v>31810</v>
      </c>
      <c r="J261">
        <v>681</v>
      </c>
      <c r="K261">
        <v>1389</v>
      </c>
      <c r="L261">
        <v>49</v>
      </c>
      <c r="P261">
        <v>286</v>
      </c>
      <c r="Q261">
        <v>350</v>
      </c>
      <c r="R261">
        <v>817</v>
      </c>
      <c r="U261">
        <v>5700</v>
      </c>
      <c r="V261">
        <v>461</v>
      </c>
      <c r="Z261">
        <v>186</v>
      </c>
      <c r="AA261">
        <v>1648</v>
      </c>
      <c r="AB261" t="s">
        <v>1445</v>
      </c>
    </row>
    <row r="262" spans="1:28" x14ac:dyDescent="0.3">
      <c r="A262">
        <v>76750</v>
      </c>
      <c r="B262" t="s">
        <v>1357</v>
      </c>
      <c r="C262">
        <v>0</v>
      </c>
      <c r="D262">
        <v>1610612752</v>
      </c>
      <c r="E262" t="s">
        <v>1248</v>
      </c>
      <c r="F262">
        <v>290</v>
      </c>
      <c r="G262">
        <v>80</v>
      </c>
      <c r="I262">
        <v>33380</v>
      </c>
      <c r="J262">
        <v>674</v>
      </c>
      <c r="K262">
        <v>1429</v>
      </c>
      <c r="L262">
        <v>472</v>
      </c>
      <c r="P262">
        <v>295</v>
      </c>
      <c r="Q262">
        <v>352</v>
      </c>
      <c r="R262">
        <v>838</v>
      </c>
      <c r="S262">
        <v>1200</v>
      </c>
      <c r="T262">
        <v>4160</v>
      </c>
      <c r="U262">
        <v>5360</v>
      </c>
      <c r="V262">
        <v>551</v>
      </c>
      <c r="W262">
        <v>1610</v>
      </c>
      <c r="X262">
        <v>150</v>
      </c>
      <c r="Z262">
        <v>212</v>
      </c>
      <c r="AA262">
        <v>1643</v>
      </c>
      <c r="AB262" t="s">
        <v>1445</v>
      </c>
    </row>
    <row r="263" spans="1:28" x14ac:dyDescent="0.3">
      <c r="A263">
        <v>76750</v>
      </c>
      <c r="B263" t="s">
        <v>1358</v>
      </c>
      <c r="C263">
        <v>0</v>
      </c>
      <c r="D263">
        <v>1610612752</v>
      </c>
      <c r="E263" t="s">
        <v>1248</v>
      </c>
      <c r="F263">
        <v>300</v>
      </c>
      <c r="G263">
        <v>78</v>
      </c>
      <c r="I263">
        <v>32040</v>
      </c>
      <c r="J263">
        <v>672</v>
      </c>
      <c r="K263">
        <v>1391</v>
      </c>
      <c r="L263">
        <v>483</v>
      </c>
      <c r="P263">
        <v>331</v>
      </c>
      <c r="Q263">
        <v>400</v>
      </c>
      <c r="R263">
        <v>828</v>
      </c>
      <c r="S263">
        <v>900</v>
      </c>
      <c r="T263">
        <v>3750</v>
      </c>
      <c r="U263">
        <v>4650</v>
      </c>
      <c r="V263">
        <v>474</v>
      </c>
      <c r="W263">
        <v>1900</v>
      </c>
      <c r="X263">
        <v>140</v>
      </c>
      <c r="Z263">
        <v>205</v>
      </c>
      <c r="AA263">
        <v>1675</v>
      </c>
      <c r="AB263" t="s">
        <v>1445</v>
      </c>
    </row>
    <row r="264" spans="1:28" x14ac:dyDescent="0.3">
      <c r="A264">
        <v>76750</v>
      </c>
      <c r="B264" t="s">
        <v>1261</v>
      </c>
      <c r="C264">
        <v>0</v>
      </c>
      <c r="D264">
        <v>1610612752</v>
      </c>
      <c r="E264" t="s">
        <v>1248</v>
      </c>
      <c r="F264">
        <v>310</v>
      </c>
      <c r="G264">
        <v>59</v>
      </c>
      <c r="I264">
        <v>24270</v>
      </c>
      <c r="J264">
        <v>470</v>
      </c>
      <c r="K264">
        <v>969</v>
      </c>
      <c r="L264">
        <v>485</v>
      </c>
      <c r="P264">
        <v>186</v>
      </c>
      <c r="Q264">
        <v>226</v>
      </c>
      <c r="R264">
        <v>823</v>
      </c>
      <c r="S264">
        <v>790</v>
      </c>
      <c r="T264">
        <v>3210</v>
      </c>
      <c r="U264">
        <v>4000</v>
      </c>
      <c r="V264">
        <v>351</v>
      </c>
      <c r="W264">
        <v>1060</v>
      </c>
      <c r="X264">
        <v>90</v>
      </c>
      <c r="Z264">
        <v>163</v>
      </c>
      <c r="AA264">
        <v>1126</v>
      </c>
      <c r="AB264" t="s">
        <v>1445</v>
      </c>
    </row>
    <row r="265" spans="1:28" x14ac:dyDescent="0.3">
      <c r="A265">
        <v>76750</v>
      </c>
      <c r="B265" t="s">
        <v>1263</v>
      </c>
      <c r="C265">
        <v>0</v>
      </c>
      <c r="D265">
        <v>1610612752</v>
      </c>
      <c r="E265" t="s">
        <v>1248</v>
      </c>
      <c r="F265">
        <v>320</v>
      </c>
      <c r="G265">
        <v>76</v>
      </c>
      <c r="I265">
        <v>26870</v>
      </c>
      <c r="J265">
        <v>532</v>
      </c>
      <c r="K265">
        <v>1089</v>
      </c>
      <c r="L265">
        <v>489</v>
      </c>
      <c r="P265">
        <v>259</v>
      </c>
      <c r="Q265">
        <v>336</v>
      </c>
      <c r="R265">
        <v>771</v>
      </c>
      <c r="S265">
        <v>520</v>
      </c>
      <c r="T265">
        <v>2410</v>
      </c>
      <c r="U265">
        <v>2930</v>
      </c>
      <c r="V265">
        <v>403</v>
      </c>
      <c r="W265">
        <v>1320</v>
      </c>
      <c r="X265">
        <v>90</v>
      </c>
      <c r="Z265">
        <v>194</v>
      </c>
      <c r="AA265">
        <v>1323</v>
      </c>
      <c r="AB265" t="s">
        <v>1445</v>
      </c>
    </row>
    <row r="266" spans="1:28" x14ac:dyDescent="0.3">
      <c r="A266">
        <v>201163</v>
      </c>
      <c r="B266" t="s">
        <v>1303</v>
      </c>
      <c r="C266">
        <v>0</v>
      </c>
      <c r="D266">
        <v>1610612752</v>
      </c>
      <c r="E266" t="s">
        <v>1248</v>
      </c>
      <c r="F266">
        <v>210</v>
      </c>
      <c r="G266">
        <v>35</v>
      </c>
      <c r="H266">
        <v>160</v>
      </c>
      <c r="I266">
        <v>6850</v>
      </c>
      <c r="J266">
        <v>106</v>
      </c>
      <c r="K266">
        <v>242</v>
      </c>
      <c r="L266">
        <v>438</v>
      </c>
      <c r="M266">
        <v>90</v>
      </c>
      <c r="N266">
        <v>300</v>
      </c>
      <c r="O266">
        <v>3</v>
      </c>
      <c r="P266">
        <v>34</v>
      </c>
      <c r="Q266">
        <v>54</v>
      </c>
      <c r="R266">
        <v>63</v>
      </c>
      <c r="S266">
        <v>380</v>
      </c>
      <c r="T266">
        <v>890</v>
      </c>
      <c r="U266">
        <v>1270</v>
      </c>
      <c r="V266">
        <v>33</v>
      </c>
      <c r="W266">
        <v>150</v>
      </c>
      <c r="X266">
        <v>160</v>
      </c>
      <c r="Y266">
        <v>270</v>
      </c>
      <c r="Z266">
        <v>83</v>
      </c>
      <c r="AA266">
        <v>255</v>
      </c>
      <c r="AB266" t="s">
        <v>1446</v>
      </c>
    </row>
    <row r="267" spans="1:28" x14ac:dyDescent="0.3">
      <c r="A267">
        <v>201163</v>
      </c>
      <c r="B267" t="s">
        <v>1304</v>
      </c>
      <c r="C267">
        <v>0</v>
      </c>
      <c r="D267">
        <v>1610612752</v>
      </c>
      <c r="E267" t="s">
        <v>1248</v>
      </c>
      <c r="F267">
        <v>220</v>
      </c>
      <c r="G267">
        <v>82</v>
      </c>
      <c r="H267">
        <v>700</v>
      </c>
      <c r="I267">
        <v>27350</v>
      </c>
      <c r="J267">
        <v>455</v>
      </c>
      <c r="K267">
        <v>1054</v>
      </c>
      <c r="L267">
        <v>432</v>
      </c>
      <c r="M267">
        <v>1030</v>
      </c>
      <c r="N267">
        <v>3140</v>
      </c>
      <c r="O267">
        <v>328</v>
      </c>
      <c r="P267">
        <v>171</v>
      </c>
      <c r="Q267">
        <v>215</v>
      </c>
      <c r="R267">
        <v>795</v>
      </c>
      <c r="S267">
        <v>910</v>
      </c>
      <c r="T267">
        <v>3540</v>
      </c>
      <c r="U267">
        <v>4450</v>
      </c>
      <c r="V267">
        <v>170</v>
      </c>
      <c r="W267">
        <v>710</v>
      </c>
      <c r="X267">
        <v>750</v>
      </c>
      <c r="Y267">
        <v>1390</v>
      </c>
      <c r="Z267">
        <v>250</v>
      </c>
      <c r="AA267">
        <v>1184</v>
      </c>
      <c r="AB267" t="s">
        <v>1446</v>
      </c>
    </row>
    <row r="268" spans="1:28" x14ac:dyDescent="0.3">
      <c r="A268">
        <v>201163</v>
      </c>
      <c r="B268" t="s">
        <v>1305</v>
      </c>
      <c r="C268">
        <v>0</v>
      </c>
      <c r="D268">
        <v>1610612752</v>
      </c>
      <c r="E268" t="s">
        <v>1248</v>
      </c>
      <c r="F268">
        <v>230</v>
      </c>
      <c r="G268">
        <v>65</v>
      </c>
      <c r="H268">
        <v>640</v>
      </c>
      <c r="I268">
        <v>23200</v>
      </c>
      <c r="J268">
        <v>412</v>
      </c>
      <c r="K268">
        <v>860</v>
      </c>
      <c r="L268">
        <v>479</v>
      </c>
      <c r="M268">
        <v>400</v>
      </c>
      <c r="N268">
        <v>1500</v>
      </c>
      <c r="O268">
        <v>267</v>
      </c>
      <c r="P268">
        <v>129</v>
      </c>
      <c r="Q268">
        <v>160</v>
      </c>
      <c r="R268">
        <v>806</v>
      </c>
      <c r="S268">
        <v>930</v>
      </c>
      <c r="T268">
        <v>2550</v>
      </c>
      <c r="U268">
        <v>3480</v>
      </c>
      <c r="V268">
        <v>138</v>
      </c>
      <c r="W268">
        <v>460</v>
      </c>
      <c r="X268">
        <v>490</v>
      </c>
      <c r="Y268">
        <v>1080</v>
      </c>
      <c r="Z268">
        <v>184</v>
      </c>
      <c r="AA268">
        <v>993</v>
      </c>
      <c r="AB268" t="s">
        <v>1446</v>
      </c>
    </row>
    <row r="269" spans="1:28" x14ac:dyDescent="0.3">
      <c r="A269">
        <v>201163</v>
      </c>
      <c r="B269" t="s">
        <v>1312</v>
      </c>
      <c r="C269">
        <v>0</v>
      </c>
      <c r="D269">
        <v>1610612752</v>
      </c>
      <c r="E269" t="s">
        <v>1248</v>
      </c>
      <c r="F269">
        <v>240</v>
      </c>
      <c r="G269">
        <v>51</v>
      </c>
      <c r="H269">
        <v>300</v>
      </c>
      <c r="I269">
        <v>17590</v>
      </c>
      <c r="J269">
        <v>328</v>
      </c>
      <c r="K269">
        <v>712</v>
      </c>
      <c r="L269">
        <v>461</v>
      </c>
      <c r="M269">
        <v>860</v>
      </c>
      <c r="N269">
        <v>2450</v>
      </c>
      <c r="O269">
        <v>351</v>
      </c>
      <c r="P269">
        <v>96</v>
      </c>
      <c r="Q269">
        <v>119</v>
      </c>
      <c r="R269">
        <v>807</v>
      </c>
      <c r="S269">
        <v>620</v>
      </c>
      <c r="T269">
        <v>2410</v>
      </c>
      <c r="U269">
        <v>3030</v>
      </c>
      <c r="V269">
        <v>86</v>
      </c>
      <c r="W269">
        <v>340</v>
      </c>
      <c r="X269">
        <v>700</v>
      </c>
      <c r="Y269">
        <v>670</v>
      </c>
      <c r="Z269">
        <v>152</v>
      </c>
      <c r="AA269">
        <v>838</v>
      </c>
      <c r="AB269" t="s">
        <v>1446</v>
      </c>
    </row>
    <row r="270" spans="1:28" x14ac:dyDescent="0.3">
      <c r="A270">
        <v>77494</v>
      </c>
      <c r="B270" t="s">
        <v>1261</v>
      </c>
      <c r="C270">
        <v>0</v>
      </c>
      <c r="D270">
        <v>1610612752</v>
      </c>
      <c r="E270" t="s">
        <v>1248</v>
      </c>
      <c r="F270">
        <v>280</v>
      </c>
      <c r="G270">
        <v>13</v>
      </c>
      <c r="I270">
        <v>640</v>
      </c>
      <c r="J270">
        <v>17</v>
      </c>
      <c r="K270">
        <v>46</v>
      </c>
      <c r="L270">
        <v>37</v>
      </c>
      <c r="P270">
        <v>3</v>
      </c>
      <c r="Q270">
        <v>3</v>
      </c>
      <c r="R270">
        <v>10</v>
      </c>
      <c r="S270">
        <v>10</v>
      </c>
      <c r="T270">
        <v>70</v>
      </c>
      <c r="U270">
        <v>80</v>
      </c>
      <c r="V270">
        <v>4</v>
      </c>
      <c r="W270">
        <v>0</v>
      </c>
      <c r="X270">
        <v>0</v>
      </c>
      <c r="Z270">
        <v>18</v>
      </c>
      <c r="AA270">
        <v>37</v>
      </c>
      <c r="AB270" t="s">
        <v>1447</v>
      </c>
    </row>
    <row r="271" spans="1:28" x14ac:dyDescent="0.3">
      <c r="A271">
        <v>77087</v>
      </c>
      <c r="B271" t="s">
        <v>1359</v>
      </c>
      <c r="C271">
        <v>0</v>
      </c>
      <c r="D271">
        <v>1610612752</v>
      </c>
      <c r="E271" t="s">
        <v>1248</v>
      </c>
      <c r="F271">
        <v>220</v>
      </c>
      <c r="G271">
        <v>71</v>
      </c>
      <c r="I271">
        <v>9230</v>
      </c>
      <c r="J271">
        <v>94</v>
      </c>
      <c r="K271">
        <v>241</v>
      </c>
      <c r="L271">
        <v>39</v>
      </c>
      <c r="M271">
        <v>30</v>
      </c>
      <c r="N271">
        <v>170</v>
      </c>
      <c r="O271">
        <v>176</v>
      </c>
      <c r="P271">
        <v>28</v>
      </c>
      <c r="Q271">
        <v>38</v>
      </c>
      <c r="R271">
        <v>737</v>
      </c>
      <c r="S271">
        <v>140</v>
      </c>
      <c r="T271">
        <v>440</v>
      </c>
      <c r="U271">
        <v>580</v>
      </c>
      <c r="V271">
        <v>159</v>
      </c>
      <c r="W271">
        <v>390</v>
      </c>
      <c r="X271">
        <v>50</v>
      </c>
      <c r="Y271">
        <v>730</v>
      </c>
      <c r="Z271">
        <v>83</v>
      </c>
      <c r="AA271">
        <v>219</v>
      </c>
      <c r="AB271" t="s">
        <v>1448</v>
      </c>
    </row>
    <row r="272" spans="1:28" x14ac:dyDescent="0.3">
      <c r="A272">
        <v>1883</v>
      </c>
      <c r="B272" t="s">
        <v>1300</v>
      </c>
      <c r="C272">
        <v>0</v>
      </c>
      <c r="D272">
        <v>1610612752</v>
      </c>
      <c r="E272" t="s">
        <v>1248</v>
      </c>
      <c r="F272">
        <v>290</v>
      </c>
      <c r="G272">
        <v>24</v>
      </c>
      <c r="H272">
        <v>150</v>
      </c>
      <c r="I272">
        <v>6590</v>
      </c>
      <c r="J272">
        <v>84</v>
      </c>
      <c r="K272">
        <v>190</v>
      </c>
      <c r="L272">
        <v>442</v>
      </c>
      <c r="M272">
        <v>70</v>
      </c>
      <c r="N272">
        <v>130</v>
      </c>
      <c r="O272">
        <v>538</v>
      </c>
      <c r="P272">
        <v>83</v>
      </c>
      <c r="Q272">
        <v>109</v>
      </c>
      <c r="R272">
        <v>761</v>
      </c>
      <c r="S272">
        <v>140</v>
      </c>
      <c r="T272">
        <v>570</v>
      </c>
      <c r="U272">
        <v>710</v>
      </c>
      <c r="V272">
        <v>83</v>
      </c>
      <c r="W272">
        <v>230</v>
      </c>
      <c r="X272">
        <v>60</v>
      </c>
      <c r="Y272">
        <v>580</v>
      </c>
      <c r="Z272">
        <v>62</v>
      </c>
      <c r="AA272">
        <v>258</v>
      </c>
      <c r="AB272" t="s">
        <v>1449</v>
      </c>
    </row>
    <row r="273" spans="1:28" x14ac:dyDescent="0.3">
      <c r="A273">
        <v>1883</v>
      </c>
      <c r="B273" t="s">
        <v>1302</v>
      </c>
      <c r="C273">
        <v>0</v>
      </c>
      <c r="D273">
        <v>1610612752</v>
      </c>
      <c r="E273" t="s">
        <v>1248</v>
      </c>
      <c r="F273">
        <v>300</v>
      </c>
      <c r="G273">
        <v>44</v>
      </c>
      <c r="H273">
        <v>300</v>
      </c>
      <c r="I273">
        <v>12370</v>
      </c>
      <c r="J273">
        <v>140</v>
      </c>
      <c r="K273">
        <v>343</v>
      </c>
      <c r="L273">
        <v>408</v>
      </c>
      <c r="M273">
        <v>420</v>
      </c>
      <c r="N273">
        <v>1110</v>
      </c>
      <c r="O273">
        <v>378</v>
      </c>
      <c r="P273">
        <v>175</v>
      </c>
      <c r="Q273">
        <v>211</v>
      </c>
      <c r="R273">
        <v>829</v>
      </c>
      <c r="S273">
        <v>330</v>
      </c>
      <c r="T273">
        <v>1240</v>
      </c>
      <c r="U273">
        <v>1570</v>
      </c>
      <c r="V273">
        <v>170</v>
      </c>
      <c r="W273">
        <v>410</v>
      </c>
      <c r="X273">
        <v>120</v>
      </c>
      <c r="Y273">
        <v>1000</v>
      </c>
      <c r="Z273">
        <v>126</v>
      </c>
      <c r="AA273">
        <v>497</v>
      </c>
      <c r="AB273" t="s">
        <v>1449</v>
      </c>
    </row>
    <row r="274" spans="1:28" x14ac:dyDescent="0.3">
      <c r="A274">
        <v>2199</v>
      </c>
      <c r="B274" t="s">
        <v>1290</v>
      </c>
      <c r="C274">
        <v>0</v>
      </c>
      <c r="D274">
        <v>1610612752</v>
      </c>
      <c r="E274" t="s">
        <v>1248</v>
      </c>
      <c r="F274">
        <v>290</v>
      </c>
      <c r="G274">
        <v>62</v>
      </c>
      <c r="H274">
        <v>620</v>
      </c>
      <c r="I274">
        <v>20610</v>
      </c>
      <c r="J274">
        <v>241</v>
      </c>
      <c r="K274">
        <v>355</v>
      </c>
      <c r="L274">
        <v>679</v>
      </c>
      <c r="M274">
        <v>0</v>
      </c>
      <c r="N274">
        <v>20</v>
      </c>
      <c r="O274">
        <v>0</v>
      </c>
      <c r="P274">
        <v>217</v>
      </c>
      <c r="Q274">
        <v>315</v>
      </c>
      <c r="R274">
        <v>689</v>
      </c>
      <c r="S274">
        <v>2120</v>
      </c>
      <c r="T274">
        <v>4000</v>
      </c>
      <c r="U274">
        <v>6120</v>
      </c>
      <c r="V274">
        <v>56</v>
      </c>
      <c r="W274">
        <v>560</v>
      </c>
      <c r="X274">
        <v>890</v>
      </c>
      <c r="Y274">
        <v>1020</v>
      </c>
      <c r="Z274">
        <v>186</v>
      </c>
      <c r="AA274">
        <v>699</v>
      </c>
      <c r="AB274" t="s">
        <v>1450</v>
      </c>
    </row>
    <row r="275" spans="1:28" x14ac:dyDescent="0.3">
      <c r="A275">
        <v>2199</v>
      </c>
      <c r="B275" t="s">
        <v>1292</v>
      </c>
      <c r="C275">
        <v>0</v>
      </c>
      <c r="D275">
        <v>1610612752</v>
      </c>
      <c r="E275" t="s">
        <v>1248</v>
      </c>
      <c r="F275">
        <v>300</v>
      </c>
      <c r="G275">
        <v>66</v>
      </c>
      <c r="H275">
        <v>660</v>
      </c>
      <c r="I275">
        <v>21640</v>
      </c>
      <c r="J275">
        <v>255</v>
      </c>
      <c r="K275">
        <v>400</v>
      </c>
      <c r="L275">
        <v>637</v>
      </c>
      <c r="M275">
        <v>0</v>
      </c>
      <c r="N275">
        <v>0</v>
      </c>
      <c r="O275">
        <v>0</v>
      </c>
      <c r="P275">
        <v>179</v>
      </c>
      <c r="Q275">
        <v>258</v>
      </c>
      <c r="R275">
        <v>694</v>
      </c>
      <c r="S275">
        <v>2690</v>
      </c>
      <c r="T275">
        <v>4340</v>
      </c>
      <c r="U275">
        <v>7030</v>
      </c>
      <c r="V275">
        <v>62</v>
      </c>
      <c r="W275">
        <v>420</v>
      </c>
      <c r="X275">
        <v>750</v>
      </c>
      <c r="Y275">
        <v>870</v>
      </c>
      <c r="Z275">
        <v>188</v>
      </c>
      <c r="AA275">
        <v>689</v>
      </c>
      <c r="AB275" t="s">
        <v>1450</v>
      </c>
    </row>
    <row r="276" spans="1:28" x14ac:dyDescent="0.3">
      <c r="A276">
        <v>2199</v>
      </c>
      <c r="B276" t="s">
        <v>1337</v>
      </c>
      <c r="C276">
        <v>0</v>
      </c>
      <c r="D276">
        <v>1610612752</v>
      </c>
      <c r="E276" t="s">
        <v>1248</v>
      </c>
      <c r="F276">
        <v>310</v>
      </c>
      <c r="G276">
        <v>55</v>
      </c>
      <c r="H276">
        <v>550</v>
      </c>
      <c r="I276">
        <v>16620</v>
      </c>
      <c r="J276">
        <v>191</v>
      </c>
      <c r="K276">
        <v>322</v>
      </c>
      <c r="L276">
        <v>593</v>
      </c>
      <c r="M276">
        <v>0</v>
      </c>
      <c r="N276">
        <v>10</v>
      </c>
      <c r="O276">
        <v>0</v>
      </c>
      <c r="P276">
        <v>98</v>
      </c>
      <c r="Q276">
        <v>155</v>
      </c>
      <c r="R276">
        <v>632</v>
      </c>
      <c r="S276">
        <v>1590</v>
      </c>
      <c r="T276">
        <v>3700</v>
      </c>
      <c r="U276">
        <v>5290</v>
      </c>
      <c r="V276">
        <v>59</v>
      </c>
      <c r="W276">
        <v>360</v>
      </c>
      <c r="X276">
        <v>630</v>
      </c>
      <c r="Y276">
        <v>710</v>
      </c>
      <c r="Z276">
        <v>145</v>
      </c>
      <c r="AA276">
        <v>480</v>
      </c>
      <c r="AB276" t="s">
        <v>1450</v>
      </c>
    </row>
    <row r="277" spans="1:28" x14ac:dyDescent="0.3">
      <c r="A277">
        <v>2747</v>
      </c>
      <c r="B277" t="s">
        <v>1290</v>
      </c>
      <c r="C277">
        <v>0</v>
      </c>
      <c r="D277">
        <v>1610612752</v>
      </c>
      <c r="E277" t="s">
        <v>1248</v>
      </c>
      <c r="F277">
        <v>260</v>
      </c>
      <c r="G277">
        <v>35</v>
      </c>
      <c r="H277">
        <v>10</v>
      </c>
      <c r="I277">
        <v>9670</v>
      </c>
      <c r="J277">
        <v>165</v>
      </c>
      <c r="K277">
        <v>405</v>
      </c>
      <c r="L277">
        <v>407</v>
      </c>
      <c r="M277">
        <v>670</v>
      </c>
      <c r="N277">
        <v>1930</v>
      </c>
      <c r="O277">
        <v>347</v>
      </c>
      <c r="P277">
        <v>39</v>
      </c>
      <c r="Q277">
        <v>55</v>
      </c>
      <c r="R277">
        <v>709</v>
      </c>
      <c r="S277">
        <v>290</v>
      </c>
      <c r="T277">
        <v>1070</v>
      </c>
      <c r="U277">
        <v>1360</v>
      </c>
      <c r="V277">
        <v>84</v>
      </c>
      <c r="W277">
        <v>540</v>
      </c>
      <c r="X277">
        <v>60</v>
      </c>
      <c r="Y277">
        <v>460</v>
      </c>
      <c r="Z277">
        <v>87</v>
      </c>
      <c r="AA277">
        <v>436</v>
      </c>
      <c r="AB277" t="s">
        <v>1451</v>
      </c>
    </row>
    <row r="278" spans="1:28" x14ac:dyDescent="0.3">
      <c r="A278">
        <v>2747</v>
      </c>
      <c r="B278" t="s">
        <v>1292</v>
      </c>
      <c r="C278">
        <v>0</v>
      </c>
      <c r="D278">
        <v>1610612752</v>
      </c>
      <c r="E278" t="s">
        <v>1248</v>
      </c>
      <c r="F278">
        <v>270</v>
      </c>
      <c r="G278">
        <v>80</v>
      </c>
      <c r="H278">
        <v>0</v>
      </c>
      <c r="I278">
        <v>26780</v>
      </c>
      <c r="J278">
        <v>527</v>
      </c>
      <c r="K278">
        <v>1249</v>
      </c>
      <c r="L278">
        <v>422</v>
      </c>
      <c r="M278">
        <v>1550</v>
      </c>
      <c r="N278">
        <v>4360</v>
      </c>
      <c r="O278">
        <v>356</v>
      </c>
      <c r="P278">
        <v>237</v>
      </c>
      <c r="Q278">
        <v>311</v>
      </c>
      <c r="R278">
        <v>762</v>
      </c>
      <c r="S278">
        <v>640</v>
      </c>
      <c r="T278">
        <v>3610</v>
      </c>
      <c r="U278">
        <v>4250</v>
      </c>
      <c r="V278">
        <v>218</v>
      </c>
      <c r="W278">
        <v>1000</v>
      </c>
      <c r="X278">
        <v>240</v>
      </c>
      <c r="Y278">
        <v>1340</v>
      </c>
      <c r="Z278">
        <v>226</v>
      </c>
      <c r="AA278">
        <v>1446</v>
      </c>
      <c r="AB278" t="s">
        <v>1451</v>
      </c>
    </row>
    <row r="279" spans="1:28" x14ac:dyDescent="0.3">
      <c r="A279">
        <v>2747</v>
      </c>
      <c r="B279" t="s">
        <v>1337</v>
      </c>
      <c r="C279">
        <v>0</v>
      </c>
      <c r="D279">
        <v>1610612752</v>
      </c>
      <c r="E279" t="s">
        <v>1248</v>
      </c>
      <c r="F279">
        <v>280</v>
      </c>
      <c r="G279">
        <v>74</v>
      </c>
      <c r="H279">
        <v>370</v>
      </c>
      <c r="I279">
        <v>24210</v>
      </c>
      <c r="J279">
        <v>396</v>
      </c>
      <c r="K279">
        <v>955</v>
      </c>
      <c r="L279">
        <v>415</v>
      </c>
      <c r="M279">
        <v>1890</v>
      </c>
      <c r="N279">
        <v>4800</v>
      </c>
      <c r="O279">
        <v>394</v>
      </c>
      <c r="P279">
        <v>90</v>
      </c>
      <c r="Q279">
        <v>138</v>
      </c>
      <c r="R279">
        <v>652</v>
      </c>
      <c r="S279">
        <v>350</v>
      </c>
      <c r="T279">
        <v>2610</v>
      </c>
      <c r="U279">
        <v>2960</v>
      </c>
      <c r="V279">
        <v>219</v>
      </c>
      <c r="W279">
        <v>650</v>
      </c>
      <c r="X279">
        <v>200</v>
      </c>
      <c r="Y279">
        <v>1080</v>
      </c>
      <c r="Z279">
        <v>196</v>
      </c>
      <c r="AA279">
        <v>1071</v>
      </c>
      <c r="AB279" t="s">
        <v>1451</v>
      </c>
    </row>
    <row r="280" spans="1:28" x14ac:dyDescent="0.3">
      <c r="A280">
        <v>2747</v>
      </c>
      <c r="B280" t="s">
        <v>1343</v>
      </c>
      <c r="C280">
        <v>0</v>
      </c>
      <c r="D280">
        <v>1610612752</v>
      </c>
      <c r="E280" t="s">
        <v>1248</v>
      </c>
      <c r="F280">
        <v>290</v>
      </c>
      <c r="G280">
        <v>24</v>
      </c>
      <c r="H280">
        <v>60</v>
      </c>
      <c r="I280">
        <v>6190</v>
      </c>
      <c r="J280">
        <v>101</v>
      </c>
      <c r="K280">
        <v>251</v>
      </c>
      <c r="L280">
        <v>402</v>
      </c>
      <c r="M280">
        <v>320</v>
      </c>
      <c r="N280">
        <v>900</v>
      </c>
      <c r="O280">
        <v>356</v>
      </c>
      <c r="P280">
        <v>27</v>
      </c>
      <c r="Q280">
        <v>39</v>
      </c>
      <c r="R280">
        <v>692</v>
      </c>
      <c r="S280">
        <v>40</v>
      </c>
      <c r="T280">
        <v>540</v>
      </c>
      <c r="U280">
        <v>580</v>
      </c>
      <c r="V280">
        <v>81</v>
      </c>
      <c r="W280">
        <v>180</v>
      </c>
      <c r="X280">
        <v>40</v>
      </c>
      <c r="Y280">
        <v>450</v>
      </c>
      <c r="Z280">
        <v>44</v>
      </c>
      <c r="AA280">
        <v>261</v>
      </c>
      <c r="AB280" t="s">
        <v>1451</v>
      </c>
    </row>
    <row r="281" spans="1:28" x14ac:dyDescent="0.3">
      <c r="A281">
        <v>78045</v>
      </c>
      <c r="B281" t="s">
        <v>1360</v>
      </c>
      <c r="C281">
        <v>0</v>
      </c>
      <c r="D281">
        <v>1610612752</v>
      </c>
      <c r="E281" t="s">
        <v>1248</v>
      </c>
      <c r="F281">
        <v>230</v>
      </c>
      <c r="G281">
        <v>77</v>
      </c>
      <c r="I281">
        <v>16960</v>
      </c>
      <c r="J281">
        <v>344</v>
      </c>
      <c r="K281">
        <v>789</v>
      </c>
      <c r="L281">
        <v>436</v>
      </c>
      <c r="P281">
        <v>179</v>
      </c>
      <c r="Q281">
        <v>228</v>
      </c>
      <c r="R281">
        <v>785</v>
      </c>
      <c r="U281">
        <v>2510</v>
      </c>
      <c r="V281">
        <v>187</v>
      </c>
      <c r="Z281">
        <v>174</v>
      </c>
      <c r="AA281">
        <v>867</v>
      </c>
      <c r="AB281" t="s">
        <v>1452</v>
      </c>
    </row>
    <row r="282" spans="1:28" x14ac:dyDescent="0.3">
      <c r="A282">
        <v>78045</v>
      </c>
      <c r="B282" t="s">
        <v>1414</v>
      </c>
      <c r="C282">
        <v>0</v>
      </c>
      <c r="D282">
        <v>1610612752</v>
      </c>
      <c r="E282" t="s">
        <v>1248</v>
      </c>
      <c r="F282">
        <v>240</v>
      </c>
      <c r="G282">
        <v>82</v>
      </c>
      <c r="I282">
        <v>22960</v>
      </c>
      <c r="J282">
        <v>551</v>
      </c>
      <c r="K282">
        <v>1192</v>
      </c>
      <c r="L282">
        <v>462</v>
      </c>
      <c r="P282">
        <v>282</v>
      </c>
      <c r="Q282">
        <v>349</v>
      </c>
      <c r="R282">
        <v>808</v>
      </c>
      <c r="U282">
        <v>3740</v>
      </c>
      <c r="V282">
        <v>195</v>
      </c>
      <c r="Z282">
        <v>223</v>
      </c>
      <c r="AA282">
        <v>1384</v>
      </c>
      <c r="AB282" t="s">
        <v>1452</v>
      </c>
    </row>
    <row r="283" spans="1:28" x14ac:dyDescent="0.3">
      <c r="A283">
        <v>78045</v>
      </c>
      <c r="B283" t="s">
        <v>1415</v>
      </c>
      <c r="C283">
        <v>0</v>
      </c>
      <c r="D283">
        <v>1610612752</v>
      </c>
      <c r="E283" t="s">
        <v>1248</v>
      </c>
      <c r="F283">
        <v>250</v>
      </c>
      <c r="G283">
        <v>50</v>
      </c>
      <c r="I283">
        <v>16450</v>
      </c>
      <c r="J283">
        <v>362</v>
      </c>
      <c r="K283">
        <v>804</v>
      </c>
      <c r="L283">
        <v>45</v>
      </c>
      <c r="P283">
        <v>191</v>
      </c>
      <c r="Q283">
        <v>240</v>
      </c>
      <c r="R283">
        <v>796</v>
      </c>
      <c r="U283">
        <v>2090</v>
      </c>
      <c r="V283">
        <v>115</v>
      </c>
      <c r="Z283">
        <v>140</v>
      </c>
      <c r="AA283">
        <v>915</v>
      </c>
      <c r="AB283" t="s">
        <v>1452</v>
      </c>
    </row>
    <row r="284" spans="1:28" x14ac:dyDescent="0.3">
      <c r="A284">
        <v>78045</v>
      </c>
      <c r="B284" t="s">
        <v>1416</v>
      </c>
      <c r="C284">
        <v>0</v>
      </c>
      <c r="D284">
        <v>1610612752</v>
      </c>
      <c r="E284" t="s">
        <v>1248</v>
      </c>
      <c r="F284">
        <v>260</v>
      </c>
      <c r="G284">
        <v>78</v>
      </c>
      <c r="I284">
        <v>15630</v>
      </c>
      <c r="J284">
        <v>385</v>
      </c>
      <c r="K284">
        <v>773</v>
      </c>
      <c r="L284">
        <v>498</v>
      </c>
      <c r="P284">
        <v>124</v>
      </c>
      <c r="Q284">
        <v>160</v>
      </c>
      <c r="R284">
        <v>775</v>
      </c>
      <c r="U284">
        <v>2360</v>
      </c>
      <c r="V284">
        <v>135</v>
      </c>
      <c r="Z284">
        <v>137</v>
      </c>
      <c r="AA284">
        <v>894</v>
      </c>
      <c r="AB284" t="s">
        <v>1452</v>
      </c>
    </row>
    <row r="285" spans="1:28" x14ac:dyDescent="0.3">
      <c r="A285">
        <v>78045</v>
      </c>
      <c r="B285" t="s">
        <v>1417</v>
      </c>
      <c r="C285">
        <v>0</v>
      </c>
      <c r="D285">
        <v>1610612752</v>
      </c>
      <c r="E285" t="s">
        <v>1248</v>
      </c>
      <c r="F285">
        <v>270</v>
      </c>
      <c r="G285">
        <v>57</v>
      </c>
      <c r="I285">
        <v>10560</v>
      </c>
      <c r="J285">
        <v>216</v>
      </c>
      <c r="K285">
        <v>504</v>
      </c>
      <c r="L285">
        <v>429</v>
      </c>
      <c r="P285">
        <v>92</v>
      </c>
      <c r="Q285">
        <v>119</v>
      </c>
      <c r="R285">
        <v>773</v>
      </c>
      <c r="U285">
        <v>1920</v>
      </c>
      <c r="V285">
        <v>77</v>
      </c>
      <c r="Z285">
        <v>74</v>
      </c>
      <c r="AA285">
        <v>524</v>
      </c>
      <c r="AB285" t="s">
        <v>1452</v>
      </c>
    </row>
    <row r="286" spans="1:28" x14ac:dyDescent="0.3">
      <c r="A286">
        <v>77489</v>
      </c>
      <c r="B286" t="s">
        <v>1415</v>
      </c>
      <c r="C286">
        <v>0</v>
      </c>
      <c r="D286">
        <v>1610612752</v>
      </c>
      <c r="E286" t="s">
        <v>1248</v>
      </c>
      <c r="F286">
        <v>230</v>
      </c>
      <c r="G286">
        <v>48</v>
      </c>
      <c r="I286">
        <v>5600</v>
      </c>
      <c r="J286">
        <v>81</v>
      </c>
      <c r="K286">
        <v>223</v>
      </c>
      <c r="L286">
        <v>363</v>
      </c>
      <c r="P286">
        <v>42</v>
      </c>
      <c r="Q286">
        <v>58</v>
      </c>
      <c r="R286">
        <v>724</v>
      </c>
      <c r="U286">
        <v>1140</v>
      </c>
      <c r="V286">
        <v>35</v>
      </c>
      <c r="Z286">
        <v>64</v>
      </c>
      <c r="AA286">
        <v>204</v>
      </c>
      <c r="AB286" t="s">
        <v>1453</v>
      </c>
    </row>
    <row r="287" spans="1:28" x14ac:dyDescent="0.3">
      <c r="A287">
        <v>77489</v>
      </c>
      <c r="B287" t="s">
        <v>1416</v>
      </c>
      <c r="C287">
        <v>0</v>
      </c>
      <c r="D287">
        <v>1610612752</v>
      </c>
      <c r="E287" t="s">
        <v>1248</v>
      </c>
      <c r="F287">
        <v>240</v>
      </c>
      <c r="G287">
        <v>37</v>
      </c>
      <c r="I287">
        <v>2380</v>
      </c>
      <c r="J287">
        <v>39</v>
      </c>
      <c r="K287">
        <v>101</v>
      </c>
      <c r="L287">
        <v>386</v>
      </c>
      <c r="P287">
        <v>18</v>
      </c>
      <c r="Q287">
        <v>19</v>
      </c>
      <c r="R287">
        <v>947</v>
      </c>
      <c r="U287">
        <v>520</v>
      </c>
      <c r="V287">
        <v>17</v>
      </c>
      <c r="Z287">
        <v>42</v>
      </c>
      <c r="AA287">
        <v>96</v>
      </c>
      <c r="AB287" t="s">
        <v>1453</v>
      </c>
    </row>
    <row r="288" spans="1:28" x14ac:dyDescent="0.3">
      <c r="A288">
        <v>1630624</v>
      </c>
      <c r="B288" t="s">
        <v>1308</v>
      </c>
      <c r="C288">
        <v>0</v>
      </c>
      <c r="D288">
        <v>1610612752</v>
      </c>
      <c r="E288" t="s">
        <v>1248</v>
      </c>
      <c r="F288">
        <v>220</v>
      </c>
      <c r="G288">
        <v>2</v>
      </c>
      <c r="H288">
        <v>0</v>
      </c>
      <c r="I288">
        <v>80</v>
      </c>
      <c r="J288">
        <v>0</v>
      </c>
      <c r="K288">
        <v>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10</v>
      </c>
      <c r="T288">
        <v>0</v>
      </c>
      <c r="U288">
        <v>10</v>
      </c>
      <c r="V288">
        <v>1</v>
      </c>
      <c r="W288">
        <v>10</v>
      </c>
      <c r="X288">
        <v>0</v>
      </c>
      <c r="Y288">
        <v>10</v>
      </c>
      <c r="Z288">
        <v>1</v>
      </c>
      <c r="AA288">
        <v>0</v>
      </c>
      <c r="AB288" t="s">
        <v>1454</v>
      </c>
    </row>
    <row r="289" spans="1:28" x14ac:dyDescent="0.3">
      <c r="A289">
        <v>203095</v>
      </c>
      <c r="B289" t="s">
        <v>1308</v>
      </c>
      <c r="C289">
        <v>0</v>
      </c>
      <c r="D289">
        <v>1610612752</v>
      </c>
      <c r="E289" t="s">
        <v>1248</v>
      </c>
      <c r="F289">
        <v>290</v>
      </c>
      <c r="G289">
        <v>80</v>
      </c>
      <c r="H289">
        <v>800</v>
      </c>
      <c r="I289">
        <v>23580</v>
      </c>
      <c r="J289">
        <v>402</v>
      </c>
      <c r="K289">
        <v>965</v>
      </c>
      <c r="L289">
        <v>417</v>
      </c>
      <c r="M289">
        <v>2410</v>
      </c>
      <c r="N289">
        <v>6190</v>
      </c>
      <c r="O289">
        <v>389</v>
      </c>
      <c r="P289">
        <v>80</v>
      </c>
      <c r="Q289">
        <v>113</v>
      </c>
      <c r="R289">
        <v>708</v>
      </c>
      <c r="S289">
        <v>340</v>
      </c>
      <c r="T289">
        <v>1760</v>
      </c>
      <c r="U289">
        <v>2100</v>
      </c>
      <c r="V289">
        <v>171</v>
      </c>
      <c r="W289">
        <v>790</v>
      </c>
      <c r="X289">
        <v>200</v>
      </c>
      <c r="Y289">
        <v>1050</v>
      </c>
      <c r="Z289">
        <v>180</v>
      </c>
      <c r="AA289">
        <v>1125</v>
      </c>
      <c r="AB289" t="s">
        <v>1455</v>
      </c>
    </row>
    <row r="290" spans="1:28" x14ac:dyDescent="0.3">
      <c r="A290">
        <v>203095</v>
      </c>
      <c r="B290" t="s">
        <v>1327</v>
      </c>
      <c r="C290">
        <v>0</v>
      </c>
      <c r="D290">
        <v>1610612752</v>
      </c>
      <c r="E290" t="s">
        <v>1248</v>
      </c>
      <c r="F290">
        <v>300</v>
      </c>
      <c r="G290">
        <v>27</v>
      </c>
      <c r="H290">
        <v>70</v>
      </c>
      <c r="I290">
        <v>4590</v>
      </c>
      <c r="J290">
        <v>56</v>
      </c>
      <c r="K290">
        <v>166</v>
      </c>
      <c r="L290">
        <v>337</v>
      </c>
      <c r="M290">
        <v>350</v>
      </c>
      <c r="N290">
        <v>1140</v>
      </c>
      <c r="O290">
        <v>307</v>
      </c>
      <c r="P290">
        <v>18</v>
      </c>
      <c r="Q290">
        <v>21</v>
      </c>
      <c r="R290">
        <v>857</v>
      </c>
      <c r="S290">
        <v>40</v>
      </c>
      <c r="T290">
        <v>450</v>
      </c>
      <c r="U290">
        <v>490</v>
      </c>
      <c r="V290">
        <v>36</v>
      </c>
      <c r="W290">
        <v>160</v>
      </c>
      <c r="X290">
        <v>30</v>
      </c>
      <c r="Y290">
        <v>220</v>
      </c>
      <c r="Z290">
        <v>46</v>
      </c>
      <c r="AA290">
        <v>165</v>
      </c>
      <c r="AB290" t="s">
        <v>1455</v>
      </c>
    </row>
    <row r="291" spans="1:28" x14ac:dyDescent="0.3">
      <c r="A291">
        <v>203095</v>
      </c>
      <c r="B291" t="s">
        <v>1369</v>
      </c>
      <c r="C291">
        <v>0</v>
      </c>
      <c r="D291">
        <v>1610612752</v>
      </c>
      <c r="E291" t="s">
        <v>1248</v>
      </c>
      <c r="F291">
        <v>310</v>
      </c>
      <c r="G291">
        <v>3</v>
      </c>
      <c r="H291">
        <v>0</v>
      </c>
      <c r="I291">
        <v>390</v>
      </c>
      <c r="J291">
        <v>4</v>
      </c>
      <c r="K291">
        <v>20</v>
      </c>
      <c r="L291">
        <v>2</v>
      </c>
      <c r="M291">
        <v>20</v>
      </c>
      <c r="N291">
        <v>150</v>
      </c>
      <c r="O291">
        <v>133</v>
      </c>
      <c r="P291">
        <v>2</v>
      </c>
      <c r="Q291">
        <v>2</v>
      </c>
      <c r="R291">
        <v>10</v>
      </c>
      <c r="S291">
        <v>0</v>
      </c>
      <c r="T291">
        <v>40</v>
      </c>
      <c r="U291">
        <v>40</v>
      </c>
      <c r="V291">
        <v>3</v>
      </c>
      <c r="W291">
        <v>40</v>
      </c>
      <c r="X291">
        <v>0</v>
      </c>
      <c r="Y291">
        <v>10</v>
      </c>
      <c r="Z291">
        <v>4</v>
      </c>
      <c r="AA291">
        <v>12</v>
      </c>
      <c r="AB291" t="s">
        <v>1455</v>
      </c>
    </row>
    <row r="292" spans="1:28" x14ac:dyDescent="0.3">
      <c r="A292">
        <v>76370</v>
      </c>
      <c r="B292" t="s">
        <v>1406</v>
      </c>
      <c r="C292">
        <v>0</v>
      </c>
      <c r="D292">
        <v>1610612752</v>
      </c>
      <c r="E292" t="s">
        <v>1248</v>
      </c>
      <c r="F292">
        <v>260</v>
      </c>
      <c r="G292">
        <v>53</v>
      </c>
      <c r="H292">
        <v>20</v>
      </c>
      <c r="I292">
        <v>6530</v>
      </c>
      <c r="J292">
        <v>28</v>
      </c>
      <c r="K292">
        <v>86</v>
      </c>
      <c r="L292">
        <v>326</v>
      </c>
      <c r="M292">
        <v>0</v>
      </c>
      <c r="N292">
        <v>0</v>
      </c>
      <c r="O292">
        <v>0</v>
      </c>
      <c r="P292">
        <v>22</v>
      </c>
      <c r="Q292">
        <v>39</v>
      </c>
      <c r="R292">
        <v>564</v>
      </c>
      <c r="S292">
        <v>530</v>
      </c>
      <c r="T292">
        <v>1130</v>
      </c>
      <c r="U292">
        <v>1660</v>
      </c>
      <c r="V292">
        <v>19</v>
      </c>
      <c r="W292">
        <v>120</v>
      </c>
      <c r="X292">
        <v>420</v>
      </c>
      <c r="Y292">
        <v>450</v>
      </c>
      <c r="Z292">
        <v>123</v>
      </c>
      <c r="AA292">
        <v>78</v>
      </c>
      <c r="AB292" t="s">
        <v>1456</v>
      </c>
    </row>
    <row r="293" spans="1:28" x14ac:dyDescent="0.3">
      <c r="A293">
        <v>1627758</v>
      </c>
      <c r="B293" t="s">
        <v>1281</v>
      </c>
      <c r="C293">
        <v>0</v>
      </c>
      <c r="D293">
        <v>1610612752</v>
      </c>
      <c r="E293" t="s">
        <v>1248</v>
      </c>
      <c r="F293">
        <v>240</v>
      </c>
      <c r="G293">
        <v>52</v>
      </c>
      <c r="H293">
        <v>130</v>
      </c>
      <c r="I293">
        <v>8570</v>
      </c>
      <c r="J293">
        <v>82</v>
      </c>
      <c r="K293">
        <v>217</v>
      </c>
      <c r="L293">
        <v>378</v>
      </c>
      <c r="M293">
        <v>230</v>
      </c>
      <c r="N293">
        <v>860</v>
      </c>
      <c r="O293">
        <v>267</v>
      </c>
      <c r="P293">
        <v>28</v>
      </c>
      <c r="Q293">
        <v>43</v>
      </c>
      <c r="R293">
        <v>651</v>
      </c>
      <c r="S293">
        <v>120</v>
      </c>
      <c r="T293">
        <v>860</v>
      </c>
      <c r="U293">
        <v>980</v>
      </c>
      <c r="V293">
        <v>107</v>
      </c>
      <c r="W293">
        <v>340</v>
      </c>
      <c r="X293">
        <v>80</v>
      </c>
      <c r="Y293">
        <v>560</v>
      </c>
      <c r="Z293">
        <v>74</v>
      </c>
      <c r="AA293">
        <v>215</v>
      </c>
      <c r="AB293" t="s">
        <v>1457</v>
      </c>
    </row>
    <row r="294" spans="1:28" x14ac:dyDescent="0.3">
      <c r="A294">
        <v>1627758</v>
      </c>
      <c r="B294" t="s">
        <v>1259</v>
      </c>
      <c r="C294">
        <v>0</v>
      </c>
      <c r="D294">
        <v>1610612752</v>
      </c>
      <c r="E294" t="s">
        <v>1248</v>
      </c>
      <c r="F294">
        <v>250</v>
      </c>
      <c r="G294">
        <v>29</v>
      </c>
      <c r="H294">
        <v>10</v>
      </c>
      <c r="I294">
        <v>3850</v>
      </c>
      <c r="J294">
        <v>20</v>
      </c>
      <c r="K294">
        <v>59</v>
      </c>
      <c r="L294">
        <v>339</v>
      </c>
      <c r="M294">
        <v>110</v>
      </c>
      <c r="N294">
        <v>330</v>
      </c>
      <c r="O294">
        <v>333</v>
      </c>
      <c r="P294">
        <v>20</v>
      </c>
      <c r="Q294">
        <v>26</v>
      </c>
      <c r="R294">
        <v>769</v>
      </c>
      <c r="S294">
        <v>50</v>
      </c>
      <c r="T294">
        <v>250</v>
      </c>
      <c r="U294">
        <v>300</v>
      </c>
      <c r="V294">
        <v>47</v>
      </c>
      <c r="W294">
        <v>260</v>
      </c>
      <c r="X294">
        <v>60</v>
      </c>
      <c r="Y294">
        <v>180</v>
      </c>
      <c r="Z294">
        <v>33</v>
      </c>
      <c r="AA294">
        <v>71</v>
      </c>
      <c r="AB294" t="s">
        <v>1457</v>
      </c>
    </row>
    <row r="295" spans="1:28" x14ac:dyDescent="0.3">
      <c r="A295">
        <v>1627758</v>
      </c>
      <c r="B295" t="s">
        <v>1287</v>
      </c>
      <c r="C295">
        <v>0</v>
      </c>
      <c r="D295">
        <v>1610612752</v>
      </c>
      <c r="E295" t="s">
        <v>1248</v>
      </c>
      <c r="F295">
        <v>260</v>
      </c>
      <c r="G295">
        <v>11</v>
      </c>
      <c r="H295">
        <v>0</v>
      </c>
      <c r="I295">
        <v>1070</v>
      </c>
      <c r="J295">
        <v>4</v>
      </c>
      <c r="K295">
        <v>16</v>
      </c>
      <c r="L295">
        <v>25</v>
      </c>
      <c r="M295">
        <v>10</v>
      </c>
      <c r="N295">
        <v>90</v>
      </c>
      <c r="O295">
        <v>111</v>
      </c>
      <c r="P295">
        <v>5</v>
      </c>
      <c r="Q295">
        <v>6</v>
      </c>
      <c r="R295">
        <v>833</v>
      </c>
      <c r="S295">
        <v>10</v>
      </c>
      <c r="T295">
        <v>60</v>
      </c>
      <c r="U295">
        <v>70</v>
      </c>
      <c r="V295">
        <v>13</v>
      </c>
      <c r="W295">
        <v>50</v>
      </c>
      <c r="X295">
        <v>0</v>
      </c>
      <c r="Y295">
        <v>30</v>
      </c>
      <c r="Z295">
        <v>16</v>
      </c>
      <c r="AA295">
        <v>14</v>
      </c>
      <c r="AB295" t="s">
        <v>1457</v>
      </c>
    </row>
    <row r="296" spans="1:28" x14ac:dyDescent="0.3">
      <c r="A296">
        <v>202083</v>
      </c>
      <c r="B296" t="s">
        <v>1287</v>
      </c>
      <c r="C296">
        <v>0</v>
      </c>
      <c r="D296">
        <v>1610612752</v>
      </c>
      <c r="E296" t="s">
        <v>1248</v>
      </c>
      <c r="F296">
        <v>320</v>
      </c>
      <c r="G296">
        <v>2</v>
      </c>
      <c r="H296">
        <v>10</v>
      </c>
      <c r="I296">
        <v>540</v>
      </c>
      <c r="J296">
        <v>4</v>
      </c>
      <c r="K296">
        <v>19</v>
      </c>
      <c r="L296">
        <v>211</v>
      </c>
      <c r="M296">
        <v>20</v>
      </c>
      <c r="N296">
        <v>100</v>
      </c>
      <c r="O296">
        <v>2</v>
      </c>
      <c r="P296">
        <v>4</v>
      </c>
      <c r="Q296">
        <v>5</v>
      </c>
      <c r="R296">
        <v>8</v>
      </c>
      <c r="S296">
        <v>10</v>
      </c>
      <c r="T296">
        <v>20</v>
      </c>
      <c r="U296">
        <v>30</v>
      </c>
      <c r="V296">
        <v>5</v>
      </c>
      <c r="W296">
        <v>10</v>
      </c>
      <c r="X296">
        <v>10</v>
      </c>
      <c r="Y296">
        <v>20</v>
      </c>
      <c r="Z296">
        <v>2</v>
      </c>
      <c r="AA296">
        <v>14</v>
      </c>
      <c r="AB296" t="s">
        <v>1458</v>
      </c>
    </row>
    <row r="297" spans="1:28" x14ac:dyDescent="0.3">
      <c r="A297">
        <v>1716</v>
      </c>
      <c r="B297" t="s">
        <v>1304</v>
      </c>
      <c r="C297">
        <v>0</v>
      </c>
      <c r="D297">
        <v>1610612752</v>
      </c>
      <c r="E297" t="s">
        <v>1248</v>
      </c>
      <c r="F297">
        <v>300</v>
      </c>
      <c r="G297">
        <v>25</v>
      </c>
      <c r="H297">
        <v>140</v>
      </c>
      <c r="I297">
        <v>6870</v>
      </c>
      <c r="J297">
        <v>97</v>
      </c>
      <c r="K297">
        <v>249</v>
      </c>
      <c r="L297">
        <v>39</v>
      </c>
      <c r="M297">
        <v>350</v>
      </c>
      <c r="N297">
        <v>910</v>
      </c>
      <c r="O297">
        <v>385</v>
      </c>
      <c r="P297">
        <v>50</v>
      </c>
      <c r="Q297">
        <v>63</v>
      </c>
      <c r="R297">
        <v>794</v>
      </c>
      <c r="S297">
        <v>100</v>
      </c>
      <c r="T297">
        <v>550</v>
      </c>
      <c r="U297">
        <v>650</v>
      </c>
      <c r="V297">
        <v>60</v>
      </c>
      <c r="W297">
        <v>360</v>
      </c>
      <c r="X297">
        <v>50</v>
      </c>
      <c r="Y297">
        <v>350</v>
      </c>
      <c r="Z297">
        <v>45</v>
      </c>
      <c r="AA297">
        <v>279</v>
      </c>
      <c r="AB297" t="s">
        <v>1459</v>
      </c>
    </row>
    <row r="298" spans="1:28" x14ac:dyDescent="0.3">
      <c r="A298">
        <v>1716</v>
      </c>
      <c r="B298" t="s">
        <v>1305</v>
      </c>
      <c r="C298">
        <v>0</v>
      </c>
      <c r="D298">
        <v>1610612752</v>
      </c>
      <c r="E298" t="s">
        <v>1248</v>
      </c>
      <c r="F298">
        <v>310</v>
      </c>
      <c r="G298">
        <v>31</v>
      </c>
      <c r="H298">
        <v>140</v>
      </c>
      <c r="I298">
        <v>8200</v>
      </c>
      <c r="J298">
        <v>102</v>
      </c>
      <c r="K298">
        <v>279</v>
      </c>
      <c r="L298">
        <v>366</v>
      </c>
      <c r="M298">
        <v>280</v>
      </c>
      <c r="N298">
        <v>970</v>
      </c>
      <c r="O298">
        <v>289</v>
      </c>
      <c r="P298">
        <v>65</v>
      </c>
      <c r="Q298">
        <v>79</v>
      </c>
      <c r="R298">
        <v>823</v>
      </c>
      <c r="S298">
        <v>160</v>
      </c>
      <c r="T298">
        <v>940</v>
      </c>
      <c r="U298">
        <v>1100</v>
      </c>
      <c r="V298">
        <v>109</v>
      </c>
      <c r="W298">
        <v>400</v>
      </c>
      <c r="X298">
        <v>110</v>
      </c>
      <c r="Y298">
        <v>560</v>
      </c>
      <c r="Z298">
        <v>53</v>
      </c>
      <c r="AA298">
        <v>297</v>
      </c>
      <c r="AB298" t="s">
        <v>1459</v>
      </c>
    </row>
    <row r="299" spans="1:28" x14ac:dyDescent="0.3">
      <c r="A299">
        <v>76729</v>
      </c>
      <c r="B299" t="s">
        <v>1255</v>
      </c>
      <c r="C299">
        <v>0</v>
      </c>
      <c r="D299">
        <v>1610612752</v>
      </c>
      <c r="E299" t="s">
        <v>1248</v>
      </c>
      <c r="F299">
        <v>240</v>
      </c>
      <c r="G299">
        <v>11</v>
      </c>
      <c r="I299">
        <v>830</v>
      </c>
      <c r="J299">
        <v>20</v>
      </c>
      <c r="K299">
        <v>51</v>
      </c>
      <c r="L299">
        <v>392</v>
      </c>
      <c r="P299">
        <v>13</v>
      </c>
      <c r="Q299">
        <v>15</v>
      </c>
      <c r="R299">
        <v>867</v>
      </c>
      <c r="U299">
        <v>160</v>
      </c>
      <c r="V299">
        <v>5</v>
      </c>
      <c r="Z299">
        <v>8</v>
      </c>
      <c r="AA299">
        <v>53</v>
      </c>
      <c r="AB299" t="s">
        <v>1460</v>
      </c>
    </row>
    <row r="300" spans="1:28" x14ac:dyDescent="0.3">
      <c r="A300">
        <v>1509</v>
      </c>
      <c r="B300" t="s">
        <v>1302</v>
      </c>
      <c r="C300">
        <v>0</v>
      </c>
      <c r="D300">
        <v>1610612752</v>
      </c>
      <c r="E300" t="s">
        <v>1248</v>
      </c>
      <c r="F300">
        <v>320</v>
      </c>
      <c r="G300">
        <v>18</v>
      </c>
      <c r="H300">
        <v>0</v>
      </c>
      <c r="I300">
        <v>950</v>
      </c>
      <c r="J300">
        <v>7</v>
      </c>
      <c r="K300">
        <v>22</v>
      </c>
      <c r="L300">
        <v>318</v>
      </c>
      <c r="M300">
        <v>0</v>
      </c>
      <c r="N300">
        <v>0</v>
      </c>
      <c r="O300">
        <v>0</v>
      </c>
      <c r="P300">
        <v>8</v>
      </c>
      <c r="Q300">
        <v>12</v>
      </c>
      <c r="R300">
        <v>667</v>
      </c>
      <c r="S300">
        <v>120</v>
      </c>
      <c r="T300">
        <v>190</v>
      </c>
      <c r="U300">
        <v>310</v>
      </c>
      <c r="V300">
        <v>0</v>
      </c>
      <c r="W300">
        <v>30</v>
      </c>
      <c r="X300">
        <v>100</v>
      </c>
      <c r="Y300">
        <v>60</v>
      </c>
      <c r="Z300">
        <v>10</v>
      </c>
      <c r="AA300">
        <v>22</v>
      </c>
      <c r="AB300" t="s">
        <v>1461</v>
      </c>
    </row>
    <row r="301" spans="1:28" x14ac:dyDescent="0.3">
      <c r="A301">
        <v>77483</v>
      </c>
      <c r="B301" t="s">
        <v>1417</v>
      </c>
      <c r="C301">
        <v>0</v>
      </c>
      <c r="D301">
        <v>1610612752</v>
      </c>
      <c r="E301" t="s">
        <v>1248</v>
      </c>
      <c r="F301">
        <v>220</v>
      </c>
      <c r="G301">
        <v>30</v>
      </c>
      <c r="I301">
        <v>1640</v>
      </c>
      <c r="J301">
        <v>25</v>
      </c>
      <c r="K301">
        <v>66</v>
      </c>
      <c r="L301">
        <v>379</v>
      </c>
      <c r="P301">
        <v>11</v>
      </c>
      <c r="Q301">
        <v>20</v>
      </c>
      <c r="R301">
        <v>55</v>
      </c>
      <c r="U301">
        <v>560</v>
      </c>
      <c r="V301">
        <v>4</v>
      </c>
      <c r="Z301">
        <v>25</v>
      </c>
      <c r="AA301">
        <v>61</v>
      </c>
      <c r="AB301" t="s">
        <v>1462</v>
      </c>
    </row>
    <row r="302" spans="1:28" x14ac:dyDescent="0.3">
      <c r="A302">
        <v>77483</v>
      </c>
      <c r="B302" t="s">
        <v>1354</v>
      </c>
      <c r="C302">
        <v>0</v>
      </c>
      <c r="D302">
        <v>1610612752</v>
      </c>
      <c r="E302" t="s">
        <v>1248</v>
      </c>
      <c r="F302">
        <v>230</v>
      </c>
      <c r="G302">
        <v>40</v>
      </c>
      <c r="I302">
        <v>2700</v>
      </c>
      <c r="J302">
        <v>39</v>
      </c>
      <c r="K302">
        <v>112</v>
      </c>
      <c r="L302">
        <v>348</v>
      </c>
      <c r="P302">
        <v>25</v>
      </c>
      <c r="Q302">
        <v>41</v>
      </c>
      <c r="R302">
        <v>61</v>
      </c>
      <c r="U302">
        <v>730</v>
      </c>
      <c r="V302">
        <v>10</v>
      </c>
      <c r="Z302">
        <v>39</v>
      </c>
      <c r="AA302">
        <v>103</v>
      </c>
      <c r="AB302" t="s">
        <v>1462</v>
      </c>
    </row>
    <row r="303" spans="1:28" x14ac:dyDescent="0.3">
      <c r="A303">
        <v>275</v>
      </c>
      <c r="B303" t="s">
        <v>1277</v>
      </c>
      <c r="C303">
        <v>0</v>
      </c>
      <c r="D303">
        <v>1610612752</v>
      </c>
      <c r="E303" t="s">
        <v>1248</v>
      </c>
      <c r="F303">
        <v>260</v>
      </c>
      <c r="G303">
        <v>81</v>
      </c>
      <c r="H303">
        <v>810</v>
      </c>
      <c r="I303">
        <v>26810</v>
      </c>
      <c r="J303">
        <v>437</v>
      </c>
      <c r="K303">
        <v>1032</v>
      </c>
      <c r="L303">
        <v>423</v>
      </c>
      <c r="M303">
        <v>1480</v>
      </c>
      <c r="N303">
        <v>3840</v>
      </c>
      <c r="O303">
        <v>385</v>
      </c>
      <c r="P303">
        <v>175</v>
      </c>
      <c r="Q303">
        <v>218</v>
      </c>
      <c r="R303">
        <v>803</v>
      </c>
      <c r="S303">
        <v>430</v>
      </c>
      <c r="T303">
        <v>1970</v>
      </c>
      <c r="U303">
        <v>2400</v>
      </c>
      <c r="V303">
        <v>179</v>
      </c>
      <c r="W303">
        <v>410</v>
      </c>
      <c r="X303">
        <v>180</v>
      </c>
      <c r="Y303">
        <v>1670</v>
      </c>
      <c r="Z303">
        <v>233</v>
      </c>
      <c r="AA303">
        <v>1197</v>
      </c>
      <c r="AB303" t="s">
        <v>1463</v>
      </c>
    </row>
    <row r="304" spans="1:28" x14ac:dyDescent="0.3">
      <c r="A304">
        <v>275</v>
      </c>
      <c r="B304" t="s">
        <v>1278</v>
      </c>
      <c r="C304">
        <v>0</v>
      </c>
      <c r="D304">
        <v>1610612752</v>
      </c>
      <c r="E304" t="s">
        <v>1248</v>
      </c>
      <c r="F304">
        <v>270</v>
      </c>
      <c r="G304">
        <v>82</v>
      </c>
      <c r="H304">
        <v>820</v>
      </c>
      <c r="I304">
        <v>28480</v>
      </c>
      <c r="J304">
        <v>571</v>
      </c>
      <c r="K304">
        <v>1277</v>
      </c>
      <c r="L304">
        <v>447</v>
      </c>
      <c r="M304">
        <v>820</v>
      </c>
      <c r="N304">
        <v>2130</v>
      </c>
      <c r="O304">
        <v>385</v>
      </c>
      <c r="P304">
        <v>285</v>
      </c>
      <c r="Q304">
        <v>335</v>
      </c>
      <c r="R304">
        <v>851</v>
      </c>
      <c r="S304">
        <v>430</v>
      </c>
      <c r="T304">
        <v>2310</v>
      </c>
      <c r="U304">
        <v>2740</v>
      </c>
      <c r="V304">
        <v>212</v>
      </c>
      <c r="W304">
        <v>630</v>
      </c>
      <c r="X304">
        <v>240</v>
      </c>
      <c r="Y304">
        <v>2000</v>
      </c>
      <c r="Z304">
        <v>207</v>
      </c>
      <c r="AA304">
        <v>1509</v>
      </c>
      <c r="AB304" t="s">
        <v>1463</v>
      </c>
    </row>
    <row r="305" spans="1:28" x14ac:dyDescent="0.3">
      <c r="A305">
        <v>275</v>
      </c>
      <c r="B305" t="s">
        <v>1429</v>
      </c>
      <c r="C305">
        <v>0</v>
      </c>
      <c r="D305">
        <v>1610612752</v>
      </c>
      <c r="E305" t="s">
        <v>1248</v>
      </c>
      <c r="F305">
        <v>280</v>
      </c>
      <c r="G305">
        <v>50</v>
      </c>
      <c r="H305">
        <v>500</v>
      </c>
      <c r="I305">
        <v>18150</v>
      </c>
      <c r="J305">
        <v>294</v>
      </c>
      <c r="K305">
        <v>703</v>
      </c>
      <c r="L305">
        <v>418</v>
      </c>
      <c r="M305">
        <v>570</v>
      </c>
      <c r="N305">
        <v>1400</v>
      </c>
      <c r="O305">
        <v>407</v>
      </c>
      <c r="P305">
        <v>168</v>
      </c>
      <c r="Q305">
        <v>195</v>
      </c>
      <c r="R305">
        <v>862</v>
      </c>
      <c r="S305">
        <v>200</v>
      </c>
      <c r="T305">
        <v>1320</v>
      </c>
      <c r="U305">
        <v>1520</v>
      </c>
      <c r="V305">
        <v>137</v>
      </c>
      <c r="W305">
        <v>350</v>
      </c>
      <c r="X305">
        <v>90</v>
      </c>
      <c r="Y305">
        <v>1300</v>
      </c>
      <c r="Z305">
        <v>115</v>
      </c>
      <c r="AA305">
        <v>813</v>
      </c>
      <c r="AB305" t="s">
        <v>1463</v>
      </c>
    </row>
    <row r="306" spans="1:28" x14ac:dyDescent="0.3">
      <c r="A306">
        <v>275</v>
      </c>
      <c r="B306" t="s">
        <v>1464</v>
      </c>
      <c r="C306">
        <v>0</v>
      </c>
      <c r="D306">
        <v>1610612752</v>
      </c>
      <c r="E306" t="s">
        <v>1248</v>
      </c>
      <c r="F306">
        <v>290</v>
      </c>
      <c r="G306">
        <v>82</v>
      </c>
      <c r="H306">
        <v>820</v>
      </c>
      <c r="I306">
        <v>31690</v>
      </c>
      <c r="J306">
        <v>614</v>
      </c>
      <c r="K306">
        <v>1271</v>
      </c>
      <c r="L306">
        <v>483</v>
      </c>
      <c r="M306">
        <v>1060</v>
      </c>
      <c r="N306">
        <v>2430</v>
      </c>
      <c r="O306">
        <v>436</v>
      </c>
      <c r="P306">
        <v>280</v>
      </c>
      <c r="Q306">
        <v>334</v>
      </c>
      <c r="R306">
        <v>838</v>
      </c>
      <c r="S306">
        <v>380</v>
      </c>
      <c r="T306">
        <v>2330</v>
      </c>
      <c r="U306">
        <v>2710</v>
      </c>
      <c r="V306">
        <v>224</v>
      </c>
      <c r="W306">
        <v>650</v>
      </c>
      <c r="X306">
        <v>140</v>
      </c>
      <c r="Y306">
        <v>1860</v>
      </c>
      <c r="Z306">
        <v>219</v>
      </c>
      <c r="AA306">
        <v>1614</v>
      </c>
      <c r="AB306" t="s">
        <v>1463</v>
      </c>
    </row>
    <row r="307" spans="1:28" x14ac:dyDescent="0.3">
      <c r="A307">
        <v>275</v>
      </c>
      <c r="B307" t="s">
        <v>1465</v>
      </c>
      <c r="C307">
        <v>0</v>
      </c>
      <c r="D307">
        <v>1610612752</v>
      </c>
      <c r="E307" t="s">
        <v>1248</v>
      </c>
      <c r="F307">
        <v>300</v>
      </c>
      <c r="G307">
        <v>78</v>
      </c>
      <c r="H307">
        <v>780</v>
      </c>
      <c r="I307">
        <v>28580</v>
      </c>
      <c r="J307">
        <v>542</v>
      </c>
      <c r="K307">
        <v>1208</v>
      </c>
      <c r="L307">
        <v>449</v>
      </c>
      <c r="M307">
        <v>960</v>
      </c>
      <c r="N307">
        <v>2520</v>
      </c>
      <c r="O307">
        <v>381</v>
      </c>
      <c r="P307">
        <v>279</v>
      </c>
      <c r="Q307">
        <v>307</v>
      </c>
      <c r="R307">
        <v>909</v>
      </c>
      <c r="S307">
        <v>200</v>
      </c>
      <c r="T307">
        <v>2630</v>
      </c>
      <c r="U307">
        <v>2830</v>
      </c>
      <c r="V307">
        <v>173</v>
      </c>
      <c r="W307">
        <v>520</v>
      </c>
      <c r="X307">
        <v>100</v>
      </c>
      <c r="Y307">
        <v>1610</v>
      </c>
      <c r="Z307">
        <v>190</v>
      </c>
      <c r="AA307">
        <v>1459</v>
      </c>
      <c r="AB307" t="s">
        <v>1463</v>
      </c>
    </row>
    <row r="308" spans="1:28" x14ac:dyDescent="0.3">
      <c r="A308">
        <v>275</v>
      </c>
      <c r="B308" t="s">
        <v>1330</v>
      </c>
      <c r="C308">
        <v>0</v>
      </c>
      <c r="D308">
        <v>1610612752</v>
      </c>
      <c r="E308" t="s">
        <v>1248</v>
      </c>
      <c r="F308">
        <v>310</v>
      </c>
      <c r="G308">
        <v>77</v>
      </c>
      <c r="H308">
        <v>770</v>
      </c>
      <c r="I308">
        <v>29150</v>
      </c>
      <c r="J308">
        <v>568</v>
      </c>
      <c r="K308">
        <v>1301</v>
      </c>
      <c r="L308">
        <v>437</v>
      </c>
      <c r="M308">
        <v>1360</v>
      </c>
      <c r="N308">
        <v>3460</v>
      </c>
      <c r="O308">
        <v>393</v>
      </c>
      <c r="P308">
        <v>295</v>
      </c>
      <c r="Q308">
        <v>339</v>
      </c>
      <c r="R308">
        <v>87</v>
      </c>
      <c r="S308">
        <v>370</v>
      </c>
      <c r="T308">
        <v>2150</v>
      </c>
      <c r="U308">
        <v>2520</v>
      </c>
      <c r="V308">
        <v>190</v>
      </c>
      <c r="W308">
        <v>540</v>
      </c>
      <c r="X308">
        <v>100</v>
      </c>
      <c r="Y308">
        <v>1700</v>
      </c>
      <c r="Z308">
        <v>182</v>
      </c>
      <c r="AA308">
        <v>1567</v>
      </c>
      <c r="AB308" t="s">
        <v>1463</v>
      </c>
    </row>
    <row r="309" spans="1:28" x14ac:dyDescent="0.3">
      <c r="A309">
        <v>275</v>
      </c>
      <c r="B309" t="s">
        <v>1325</v>
      </c>
      <c r="C309">
        <v>0</v>
      </c>
      <c r="D309">
        <v>1610612752</v>
      </c>
      <c r="E309" t="s">
        <v>1248</v>
      </c>
      <c r="F309">
        <v>320</v>
      </c>
      <c r="G309">
        <v>82</v>
      </c>
      <c r="H309">
        <v>820</v>
      </c>
      <c r="I309">
        <v>31100</v>
      </c>
      <c r="J309">
        <v>652</v>
      </c>
      <c r="K309">
        <v>1465</v>
      </c>
      <c r="L309">
        <v>445</v>
      </c>
      <c r="M309">
        <v>1780</v>
      </c>
      <c r="N309">
        <v>4500</v>
      </c>
      <c r="O309">
        <v>396</v>
      </c>
      <c r="P309">
        <v>363</v>
      </c>
      <c r="Q309">
        <v>395</v>
      </c>
      <c r="R309">
        <v>919</v>
      </c>
      <c r="S309">
        <v>260</v>
      </c>
      <c r="T309">
        <v>2050</v>
      </c>
      <c r="U309">
        <v>2310</v>
      </c>
      <c r="V309">
        <v>220</v>
      </c>
      <c r="W309">
        <v>540</v>
      </c>
      <c r="X309">
        <v>70</v>
      </c>
      <c r="Y309">
        <v>1780</v>
      </c>
      <c r="Z309">
        <v>191</v>
      </c>
      <c r="AA309">
        <v>1845</v>
      </c>
      <c r="AB309" t="s">
        <v>1463</v>
      </c>
    </row>
    <row r="310" spans="1:28" x14ac:dyDescent="0.3">
      <c r="A310">
        <v>275</v>
      </c>
      <c r="B310" t="s">
        <v>1293</v>
      </c>
      <c r="C310">
        <v>0</v>
      </c>
      <c r="D310">
        <v>1610612752</v>
      </c>
      <c r="E310" t="s">
        <v>1248</v>
      </c>
      <c r="F310">
        <v>330</v>
      </c>
      <c r="G310">
        <v>50</v>
      </c>
      <c r="H310">
        <v>500</v>
      </c>
      <c r="I310">
        <v>17970</v>
      </c>
      <c r="J310">
        <v>340</v>
      </c>
      <c r="K310">
        <v>781</v>
      </c>
      <c r="L310">
        <v>435</v>
      </c>
      <c r="M310">
        <v>870</v>
      </c>
      <c r="N310">
        <v>2020</v>
      </c>
      <c r="O310">
        <v>431</v>
      </c>
      <c r="P310">
        <v>157</v>
      </c>
      <c r="Q310">
        <v>172</v>
      </c>
      <c r="R310">
        <v>913</v>
      </c>
      <c r="S310">
        <v>200</v>
      </c>
      <c r="T310">
        <v>1010</v>
      </c>
      <c r="U310">
        <v>1210</v>
      </c>
      <c r="V310">
        <v>99</v>
      </c>
      <c r="W310">
        <v>380</v>
      </c>
      <c r="X310">
        <v>20</v>
      </c>
      <c r="Y310">
        <v>1020</v>
      </c>
      <c r="Z310">
        <v>105</v>
      </c>
      <c r="AA310">
        <v>924</v>
      </c>
      <c r="AB310" t="s">
        <v>1463</v>
      </c>
    </row>
    <row r="311" spans="1:28" x14ac:dyDescent="0.3">
      <c r="A311">
        <v>275</v>
      </c>
      <c r="B311" t="s">
        <v>1295</v>
      </c>
      <c r="C311">
        <v>0</v>
      </c>
      <c r="D311">
        <v>1610612752</v>
      </c>
      <c r="E311" t="s">
        <v>1248</v>
      </c>
      <c r="F311">
        <v>340</v>
      </c>
      <c r="G311">
        <v>20</v>
      </c>
      <c r="H311">
        <v>110</v>
      </c>
      <c r="I311">
        <v>5320</v>
      </c>
      <c r="J311">
        <v>85</v>
      </c>
      <c r="K311">
        <v>205</v>
      </c>
      <c r="L311">
        <v>415</v>
      </c>
      <c r="M311">
        <v>310</v>
      </c>
      <c r="N311">
        <v>800</v>
      </c>
      <c r="O311">
        <v>388</v>
      </c>
      <c r="P311">
        <v>36</v>
      </c>
      <c r="Q311">
        <v>43</v>
      </c>
      <c r="R311">
        <v>837</v>
      </c>
      <c r="S311">
        <v>40</v>
      </c>
      <c r="T311">
        <v>190</v>
      </c>
      <c r="U311">
        <v>230</v>
      </c>
      <c r="V311">
        <v>42</v>
      </c>
      <c r="W311">
        <v>80</v>
      </c>
      <c r="X311">
        <v>20</v>
      </c>
      <c r="Y311">
        <v>210</v>
      </c>
      <c r="Z311">
        <v>40</v>
      </c>
      <c r="AA311">
        <v>237</v>
      </c>
      <c r="AB311" t="s">
        <v>1463</v>
      </c>
    </row>
    <row r="312" spans="1:28" x14ac:dyDescent="0.3">
      <c r="A312">
        <v>76728</v>
      </c>
      <c r="B312" t="s">
        <v>1261</v>
      </c>
      <c r="C312">
        <v>0</v>
      </c>
      <c r="D312">
        <v>1610612752</v>
      </c>
      <c r="E312" t="s">
        <v>1248</v>
      </c>
      <c r="F312">
        <v>230</v>
      </c>
      <c r="G312">
        <v>2</v>
      </c>
      <c r="I312">
        <v>140</v>
      </c>
      <c r="J312">
        <v>1</v>
      </c>
      <c r="K312">
        <v>5</v>
      </c>
      <c r="L312">
        <v>2</v>
      </c>
      <c r="P312">
        <v>0</v>
      </c>
      <c r="Q312">
        <v>0</v>
      </c>
      <c r="S312">
        <v>10</v>
      </c>
      <c r="T312">
        <v>20</v>
      </c>
      <c r="U312">
        <v>30</v>
      </c>
      <c r="V312">
        <v>0</v>
      </c>
      <c r="W312">
        <v>10</v>
      </c>
      <c r="X312">
        <v>0</v>
      </c>
      <c r="Z312">
        <v>4</v>
      </c>
      <c r="AA312">
        <v>2</v>
      </c>
      <c r="AB312" t="s">
        <v>1466</v>
      </c>
    </row>
    <row r="313" spans="1:28" x14ac:dyDescent="0.3">
      <c r="A313">
        <v>76362</v>
      </c>
      <c r="B313" t="s">
        <v>1359</v>
      </c>
      <c r="C313">
        <v>0</v>
      </c>
      <c r="D313">
        <v>1610612752</v>
      </c>
      <c r="E313" t="s">
        <v>1248</v>
      </c>
      <c r="F313">
        <v>220</v>
      </c>
      <c r="G313">
        <v>82</v>
      </c>
      <c r="H313">
        <v>820</v>
      </c>
      <c r="I313">
        <v>31500</v>
      </c>
      <c r="J313">
        <v>665</v>
      </c>
      <c r="K313">
        <v>1215</v>
      </c>
      <c r="L313">
        <v>547</v>
      </c>
      <c r="M313">
        <v>0</v>
      </c>
      <c r="N313">
        <v>0</v>
      </c>
      <c r="O313">
        <v>0</v>
      </c>
      <c r="P313">
        <v>451</v>
      </c>
      <c r="Q313">
        <v>566</v>
      </c>
      <c r="R313">
        <v>797</v>
      </c>
      <c r="S313">
        <v>1940</v>
      </c>
      <c r="T313">
        <v>5320</v>
      </c>
      <c r="U313">
        <v>7260</v>
      </c>
      <c r="V313">
        <v>165</v>
      </c>
      <c r="W313">
        <v>480</v>
      </c>
      <c r="X313">
        <v>1010</v>
      </c>
      <c r="Y313">
        <v>2220</v>
      </c>
      <c r="Z313">
        <v>279</v>
      </c>
      <c r="AA313">
        <v>1781</v>
      </c>
      <c r="AB313" t="s">
        <v>1467</v>
      </c>
    </row>
    <row r="314" spans="1:28" x14ac:dyDescent="0.3">
      <c r="A314">
        <v>76362</v>
      </c>
      <c r="B314" t="s">
        <v>1282</v>
      </c>
      <c r="C314">
        <v>0</v>
      </c>
      <c r="D314">
        <v>1610612752</v>
      </c>
      <c r="E314" t="s">
        <v>1248</v>
      </c>
      <c r="F314">
        <v>230</v>
      </c>
      <c r="G314">
        <v>82</v>
      </c>
      <c r="H314">
        <v>810</v>
      </c>
      <c r="I314">
        <v>29250</v>
      </c>
      <c r="J314">
        <v>619</v>
      </c>
      <c r="K314">
        <v>1118</v>
      </c>
      <c r="L314">
        <v>554</v>
      </c>
      <c r="M314">
        <v>0</v>
      </c>
      <c r="N314">
        <v>10</v>
      </c>
      <c r="O314">
        <v>0</v>
      </c>
      <c r="P314">
        <v>408</v>
      </c>
      <c r="Q314">
        <v>518</v>
      </c>
      <c r="R314">
        <v>788</v>
      </c>
      <c r="S314">
        <v>1610</v>
      </c>
      <c r="T314">
        <v>4520</v>
      </c>
      <c r="U314">
        <v>6130</v>
      </c>
      <c r="V314">
        <v>111</v>
      </c>
      <c r="W314">
        <v>480</v>
      </c>
      <c r="X314">
        <v>830</v>
      </c>
      <c r="Y314">
        <v>2000</v>
      </c>
      <c r="Z314">
        <v>259</v>
      </c>
      <c r="AA314">
        <v>1646</v>
      </c>
      <c r="AB314" t="s">
        <v>1467</v>
      </c>
    </row>
    <row r="315" spans="1:28" x14ac:dyDescent="0.3">
      <c r="A315">
        <v>76362</v>
      </c>
      <c r="B315" t="s">
        <v>1284</v>
      </c>
      <c r="C315">
        <v>0</v>
      </c>
      <c r="D315">
        <v>1610612752</v>
      </c>
      <c r="E315" t="s">
        <v>1248</v>
      </c>
      <c r="F315">
        <v>240</v>
      </c>
      <c r="G315">
        <v>72</v>
      </c>
      <c r="H315">
        <v>500</v>
      </c>
      <c r="I315">
        <v>20600</v>
      </c>
      <c r="J315">
        <v>390</v>
      </c>
      <c r="K315">
        <v>694</v>
      </c>
      <c r="L315">
        <v>562</v>
      </c>
      <c r="M315">
        <v>0</v>
      </c>
      <c r="N315">
        <v>0</v>
      </c>
      <c r="O315">
        <v>0</v>
      </c>
      <c r="P315">
        <v>257</v>
      </c>
      <c r="Q315">
        <v>337</v>
      </c>
      <c r="R315">
        <v>763</v>
      </c>
      <c r="S315">
        <v>1160</v>
      </c>
      <c r="T315">
        <v>3050</v>
      </c>
      <c r="U315">
        <v>4210</v>
      </c>
      <c r="V315">
        <v>87</v>
      </c>
      <c r="W315">
        <v>480</v>
      </c>
      <c r="X315">
        <v>650</v>
      </c>
      <c r="Y315">
        <v>1660</v>
      </c>
      <c r="Z315">
        <v>208</v>
      </c>
      <c r="AA315">
        <v>1037</v>
      </c>
      <c r="AB315" t="s">
        <v>1467</v>
      </c>
    </row>
    <row r="316" spans="1:28" x14ac:dyDescent="0.3">
      <c r="A316">
        <v>76362</v>
      </c>
      <c r="B316" t="s">
        <v>1468</v>
      </c>
      <c r="C316">
        <v>0</v>
      </c>
      <c r="D316">
        <v>1610612752</v>
      </c>
      <c r="E316" t="s">
        <v>1248</v>
      </c>
      <c r="F316">
        <v>250</v>
      </c>
      <c r="G316">
        <v>82</v>
      </c>
      <c r="H316">
        <v>820</v>
      </c>
      <c r="I316">
        <v>24680</v>
      </c>
      <c r="J316">
        <v>455</v>
      </c>
      <c r="K316">
        <v>804</v>
      </c>
      <c r="L316">
        <v>566</v>
      </c>
      <c r="M316">
        <v>0</v>
      </c>
      <c r="N316">
        <v>0</v>
      </c>
      <c r="O316">
        <v>0</v>
      </c>
      <c r="P316">
        <v>380</v>
      </c>
      <c r="Q316">
        <v>511</v>
      </c>
      <c r="R316">
        <v>744</v>
      </c>
      <c r="S316">
        <v>1850</v>
      </c>
      <c r="T316">
        <v>4050</v>
      </c>
      <c r="U316">
        <v>5900</v>
      </c>
      <c r="V316">
        <v>136</v>
      </c>
      <c r="W316">
        <v>410</v>
      </c>
      <c r="X316">
        <v>1270</v>
      </c>
      <c r="Y316">
        <v>2040</v>
      </c>
      <c r="Z316">
        <v>315</v>
      </c>
      <c r="AA316">
        <v>1290</v>
      </c>
      <c r="AB316" t="s">
        <v>1467</v>
      </c>
    </row>
    <row r="317" spans="1:28" x14ac:dyDescent="0.3">
      <c r="A317">
        <v>76362</v>
      </c>
      <c r="B317" t="s">
        <v>1469</v>
      </c>
      <c r="C317">
        <v>0</v>
      </c>
      <c r="D317">
        <v>1610612752</v>
      </c>
      <c r="E317" t="s">
        <v>1248</v>
      </c>
      <c r="F317">
        <v>260</v>
      </c>
      <c r="G317">
        <v>77</v>
      </c>
      <c r="H317">
        <v>770</v>
      </c>
      <c r="I317">
        <v>24870</v>
      </c>
      <c r="J317">
        <v>453</v>
      </c>
      <c r="K317">
        <v>808</v>
      </c>
      <c r="L317">
        <v>561</v>
      </c>
      <c r="M317">
        <v>0</v>
      </c>
      <c r="N317">
        <v>10</v>
      </c>
      <c r="O317">
        <v>0</v>
      </c>
      <c r="P317">
        <v>404</v>
      </c>
      <c r="Q317">
        <v>502</v>
      </c>
      <c r="R317">
        <v>805</v>
      </c>
      <c r="S317">
        <v>1950</v>
      </c>
      <c r="T317">
        <v>4540</v>
      </c>
      <c r="U317">
        <v>6490</v>
      </c>
      <c r="V317">
        <v>107</v>
      </c>
      <c r="W317">
        <v>440</v>
      </c>
      <c r="X317">
        <v>970</v>
      </c>
      <c r="Y317">
        <v>2000</v>
      </c>
      <c r="Z317">
        <v>262</v>
      </c>
      <c r="AA317">
        <v>1310</v>
      </c>
      <c r="AB317" t="s">
        <v>1467</v>
      </c>
    </row>
    <row r="318" spans="1:28" x14ac:dyDescent="0.3">
      <c r="A318">
        <v>76362</v>
      </c>
      <c r="B318" t="s">
        <v>1392</v>
      </c>
      <c r="C318">
        <v>0</v>
      </c>
      <c r="D318">
        <v>1610612752</v>
      </c>
      <c r="E318" t="s">
        <v>1248</v>
      </c>
      <c r="F318">
        <v>280</v>
      </c>
      <c r="G318">
        <v>2</v>
      </c>
      <c r="H318">
        <v>0</v>
      </c>
      <c r="I318">
        <v>360</v>
      </c>
      <c r="J318">
        <v>3</v>
      </c>
      <c r="K318">
        <v>7</v>
      </c>
      <c r="L318">
        <v>429</v>
      </c>
      <c r="M318">
        <v>0</v>
      </c>
      <c r="N318">
        <v>0</v>
      </c>
      <c r="O318">
        <v>0</v>
      </c>
      <c r="P318">
        <v>6</v>
      </c>
      <c r="Q318">
        <v>10</v>
      </c>
      <c r="R318">
        <v>6</v>
      </c>
      <c r="S318">
        <v>20</v>
      </c>
      <c r="T318">
        <v>80</v>
      </c>
      <c r="U318">
        <v>100</v>
      </c>
      <c r="V318">
        <v>5</v>
      </c>
      <c r="W318">
        <v>10</v>
      </c>
      <c r="X318">
        <v>10</v>
      </c>
      <c r="Y318">
        <v>60</v>
      </c>
      <c r="Z318">
        <v>6</v>
      </c>
      <c r="AA318">
        <v>12</v>
      </c>
      <c r="AB318" t="s">
        <v>1467</v>
      </c>
    </row>
    <row r="319" spans="1:28" x14ac:dyDescent="0.3">
      <c r="A319">
        <v>76362</v>
      </c>
      <c r="B319" t="s">
        <v>1394</v>
      </c>
      <c r="C319">
        <v>0</v>
      </c>
      <c r="D319">
        <v>1610612752</v>
      </c>
      <c r="E319" t="s">
        <v>1248</v>
      </c>
      <c r="F319">
        <v>290</v>
      </c>
      <c r="G319">
        <v>58</v>
      </c>
      <c r="H319">
        <v>500</v>
      </c>
      <c r="I319">
        <v>19890</v>
      </c>
      <c r="J319">
        <v>335</v>
      </c>
      <c r="K319">
        <v>631</v>
      </c>
      <c r="L319">
        <v>531</v>
      </c>
      <c r="M319">
        <v>0</v>
      </c>
      <c r="N319">
        <v>0</v>
      </c>
      <c r="O319">
        <v>0</v>
      </c>
      <c r="P319">
        <v>346</v>
      </c>
      <c r="Q319">
        <v>438</v>
      </c>
      <c r="R319">
        <v>79</v>
      </c>
      <c r="S319">
        <v>1320</v>
      </c>
      <c r="T319">
        <v>3130</v>
      </c>
      <c r="U319">
        <v>4450</v>
      </c>
      <c r="V319">
        <v>96</v>
      </c>
      <c r="W319">
        <v>400</v>
      </c>
      <c r="X319">
        <v>260</v>
      </c>
      <c r="Y319">
        <v>1280</v>
      </c>
      <c r="Z319">
        <v>188</v>
      </c>
      <c r="AA319">
        <v>1016</v>
      </c>
      <c r="AB319" t="s">
        <v>1467</v>
      </c>
    </row>
    <row r="320" spans="1:28" x14ac:dyDescent="0.3">
      <c r="A320">
        <v>76362</v>
      </c>
      <c r="B320" t="s">
        <v>1253</v>
      </c>
      <c r="C320">
        <v>0</v>
      </c>
      <c r="D320">
        <v>1610612752</v>
      </c>
      <c r="E320" t="s">
        <v>1248</v>
      </c>
      <c r="F320">
        <v>300</v>
      </c>
      <c r="G320">
        <v>82</v>
      </c>
      <c r="H320">
        <v>40</v>
      </c>
      <c r="I320">
        <v>16760</v>
      </c>
      <c r="J320">
        <v>287</v>
      </c>
      <c r="K320">
        <v>528</v>
      </c>
      <c r="L320">
        <v>544</v>
      </c>
      <c r="M320">
        <v>0</v>
      </c>
      <c r="N320">
        <v>0</v>
      </c>
      <c r="O320">
        <v>0</v>
      </c>
      <c r="P320">
        <v>340</v>
      </c>
      <c r="Q320">
        <v>426</v>
      </c>
      <c r="R320">
        <v>798</v>
      </c>
      <c r="S320">
        <v>1270</v>
      </c>
      <c r="T320">
        <v>2570</v>
      </c>
      <c r="U320">
        <v>3840</v>
      </c>
      <c r="V320">
        <v>85</v>
      </c>
      <c r="W320">
        <v>430</v>
      </c>
      <c r="X320">
        <v>430</v>
      </c>
      <c r="Y320">
        <v>1350</v>
      </c>
      <c r="Z320">
        <v>234</v>
      </c>
      <c r="AA320">
        <v>914</v>
      </c>
      <c r="AB320" t="s">
        <v>1467</v>
      </c>
    </row>
    <row r="321" spans="1:28" x14ac:dyDescent="0.3">
      <c r="A321">
        <v>200798</v>
      </c>
      <c r="B321" t="s">
        <v>1304</v>
      </c>
      <c r="C321">
        <v>0</v>
      </c>
      <c r="D321">
        <v>1610612752</v>
      </c>
      <c r="E321" t="s">
        <v>1248</v>
      </c>
      <c r="F321">
        <v>240</v>
      </c>
      <c r="G321">
        <v>2</v>
      </c>
      <c r="H321">
        <v>0</v>
      </c>
      <c r="I321">
        <v>80</v>
      </c>
      <c r="J321">
        <v>0</v>
      </c>
      <c r="K321">
        <v>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10</v>
      </c>
      <c r="T321">
        <v>10</v>
      </c>
      <c r="U321">
        <v>20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1470</v>
      </c>
    </row>
    <row r="322" spans="1:28" x14ac:dyDescent="0.3">
      <c r="A322">
        <v>2427</v>
      </c>
      <c r="B322" t="s">
        <v>1312</v>
      </c>
      <c r="C322">
        <v>0</v>
      </c>
      <c r="D322">
        <v>1610612752</v>
      </c>
      <c r="E322" t="s">
        <v>1248</v>
      </c>
      <c r="F322">
        <v>300</v>
      </c>
      <c r="G322">
        <v>26</v>
      </c>
      <c r="H322">
        <v>0</v>
      </c>
      <c r="I322">
        <v>3190</v>
      </c>
      <c r="J322">
        <v>26</v>
      </c>
      <c r="K322">
        <v>77</v>
      </c>
      <c r="L322">
        <v>338</v>
      </c>
      <c r="M322">
        <v>160</v>
      </c>
      <c r="N322">
        <v>440</v>
      </c>
      <c r="O322">
        <v>364</v>
      </c>
      <c r="P322">
        <v>7</v>
      </c>
      <c r="Q322">
        <v>10</v>
      </c>
      <c r="R322">
        <v>7</v>
      </c>
      <c r="S322">
        <v>50</v>
      </c>
      <c r="T322">
        <v>380</v>
      </c>
      <c r="U322">
        <v>430</v>
      </c>
      <c r="V322">
        <v>20</v>
      </c>
      <c r="W322">
        <v>60</v>
      </c>
      <c r="X322">
        <v>20</v>
      </c>
      <c r="Y322">
        <v>60</v>
      </c>
      <c r="Z322">
        <v>25</v>
      </c>
      <c r="AA322">
        <v>75</v>
      </c>
      <c r="AB322" t="s">
        <v>1471</v>
      </c>
    </row>
    <row r="323" spans="1:28" x14ac:dyDescent="0.3">
      <c r="A323">
        <v>1627863</v>
      </c>
      <c r="B323" t="s">
        <v>1308</v>
      </c>
      <c r="C323">
        <v>0</v>
      </c>
      <c r="D323">
        <v>1610612752</v>
      </c>
      <c r="E323" t="s">
        <v>1248</v>
      </c>
      <c r="F323">
        <v>290</v>
      </c>
      <c r="G323">
        <v>1</v>
      </c>
      <c r="H323">
        <v>0</v>
      </c>
      <c r="I323">
        <v>30</v>
      </c>
      <c r="J323">
        <v>0</v>
      </c>
      <c r="K323">
        <v>1</v>
      </c>
      <c r="L323">
        <v>0</v>
      </c>
      <c r="M323">
        <v>0</v>
      </c>
      <c r="N323">
        <v>10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1472</v>
      </c>
    </row>
    <row r="324" spans="1:28" x14ac:dyDescent="0.3">
      <c r="A324">
        <v>1630201</v>
      </c>
      <c r="B324" t="s">
        <v>1369</v>
      </c>
      <c r="C324">
        <v>0</v>
      </c>
      <c r="D324">
        <v>1610612752</v>
      </c>
      <c r="E324" t="s">
        <v>1248</v>
      </c>
      <c r="F324">
        <v>260</v>
      </c>
      <c r="G324">
        <v>14</v>
      </c>
      <c r="H324">
        <v>0</v>
      </c>
      <c r="I324">
        <v>610</v>
      </c>
      <c r="J324">
        <v>9</v>
      </c>
      <c r="K324">
        <v>23</v>
      </c>
      <c r="L324">
        <v>391</v>
      </c>
      <c r="M324">
        <v>40</v>
      </c>
      <c r="N324">
        <v>130</v>
      </c>
      <c r="O324">
        <v>308</v>
      </c>
      <c r="P324">
        <v>9</v>
      </c>
      <c r="Q324">
        <v>11</v>
      </c>
      <c r="R324">
        <v>818</v>
      </c>
      <c r="S324">
        <v>0</v>
      </c>
      <c r="T324">
        <v>60</v>
      </c>
      <c r="U324">
        <v>60</v>
      </c>
      <c r="V324">
        <v>6</v>
      </c>
      <c r="W324">
        <v>10</v>
      </c>
      <c r="X324">
        <v>0</v>
      </c>
      <c r="Y324">
        <v>30</v>
      </c>
      <c r="Z324">
        <v>3</v>
      </c>
      <c r="AA324">
        <v>31</v>
      </c>
      <c r="AB324" t="s">
        <v>1473</v>
      </c>
    </row>
    <row r="325" spans="1:28" x14ac:dyDescent="0.3">
      <c r="A325">
        <v>76360</v>
      </c>
      <c r="B325" t="s">
        <v>1282</v>
      </c>
      <c r="C325">
        <v>0</v>
      </c>
      <c r="D325">
        <v>1610612752</v>
      </c>
      <c r="E325" t="s">
        <v>1248</v>
      </c>
      <c r="F325">
        <v>230</v>
      </c>
      <c r="G325">
        <v>60</v>
      </c>
      <c r="I325">
        <v>5360</v>
      </c>
      <c r="J325">
        <v>59</v>
      </c>
      <c r="K325">
        <v>179</v>
      </c>
      <c r="L325">
        <v>33</v>
      </c>
      <c r="M325">
        <v>0</v>
      </c>
      <c r="N325">
        <v>30</v>
      </c>
      <c r="O325">
        <v>0</v>
      </c>
      <c r="P325">
        <v>51</v>
      </c>
      <c r="Q325">
        <v>69</v>
      </c>
      <c r="R325">
        <v>739</v>
      </c>
      <c r="S325">
        <v>300</v>
      </c>
      <c r="T325">
        <v>390</v>
      </c>
      <c r="U325">
        <v>690</v>
      </c>
      <c r="V325">
        <v>76</v>
      </c>
      <c r="W325">
        <v>220</v>
      </c>
      <c r="X325">
        <v>20</v>
      </c>
      <c r="Y325">
        <v>380</v>
      </c>
      <c r="Z325">
        <v>68</v>
      </c>
      <c r="AA325">
        <v>169</v>
      </c>
      <c r="AB325" t="s">
        <v>1474</v>
      </c>
    </row>
    <row r="326" spans="1:28" x14ac:dyDescent="0.3">
      <c r="A326">
        <v>76360</v>
      </c>
      <c r="B326" t="s">
        <v>1284</v>
      </c>
      <c r="C326">
        <v>0</v>
      </c>
      <c r="D326">
        <v>1610612752</v>
      </c>
      <c r="E326" t="s">
        <v>1248</v>
      </c>
      <c r="F326">
        <v>240</v>
      </c>
      <c r="G326">
        <v>75</v>
      </c>
      <c r="H326">
        <v>10</v>
      </c>
      <c r="I326">
        <v>9230</v>
      </c>
      <c r="J326">
        <v>119</v>
      </c>
      <c r="K326">
        <v>280</v>
      </c>
      <c r="L326">
        <v>425</v>
      </c>
      <c r="M326">
        <v>0</v>
      </c>
      <c r="N326">
        <v>0</v>
      </c>
      <c r="P326">
        <v>64</v>
      </c>
      <c r="Q326">
        <v>80</v>
      </c>
      <c r="R326">
        <v>8</v>
      </c>
      <c r="S326">
        <v>350</v>
      </c>
      <c r="T326">
        <v>600</v>
      </c>
      <c r="U326">
        <v>950</v>
      </c>
      <c r="V326">
        <v>130</v>
      </c>
      <c r="W326">
        <v>360</v>
      </c>
      <c r="X326">
        <v>60</v>
      </c>
      <c r="Y326">
        <v>780</v>
      </c>
      <c r="Z326">
        <v>124</v>
      </c>
      <c r="AA326">
        <v>302</v>
      </c>
      <c r="AB326" t="s">
        <v>1474</v>
      </c>
    </row>
    <row r="327" spans="1:28" x14ac:dyDescent="0.3">
      <c r="A327">
        <v>77952</v>
      </c>
      <c r="B327" t="s">
        <v>1265</v>
      </c>
      <c r="C327">
        <v>0</v>
      </c>
      <c r="D327">
        <v>1610612752</v>
      </c>
      <c r="E327" t="s">
        <v>1248</v>
      </c>
      <c r="F327">
        <v>240</v>
      </c>
      <c r="G327">
        <v>72</v>
      </c>
      <c r="I327">
        <v>12180</v>
      </c>
      <c r="J327">
        <v>200</v>
      </c>
      <c r="K327">
        <v>483</v>
      </c>
      <c r="L327">
        <v>414</v>
      </c>
      <c r="P327">
        <v>69</v>
      </c>
      <c r="Q327">
        <v>128</v>
      </c>
      <c r="R327">
        <v>539</v>
      </c>
      <c r="S327">
        <v>780</v>
      </c>
      <c r="T327">
        <v>1550</v>
      </c>
      <c r="U327">
        <v>2330</v>
      </c>
      <c r="V327">
        <v>213</v>
      </c>
      <c r="W327">
        <v>1000</v>
      </c>
      <c r="X327">
        <v>180</v>
      </c>
      <c r="Y327">
        <v>1410</v>
      </c>
      <c r="Z327">
        <v>188</v>
      </c>
      <c r="AA327">
        <v>469</v>
      </c>
      <c r="AB327" t="s">
        <v>1475</v>
      </c>
    </row>
    <row r="328" spans="1:28" x14ac:dyDescent="0.3">
      <c r="A328">
        <v>77952</v>
      </c>
      <c r="B328" t="s">
        <v>1359</v>
      </c>
      <c r="C328">
        <v>0</v>
      </c>
      <c r="D328">
        <v>1610612752</v>
      </c>
      <c r="E328" t="s">
        <v>1248</v>
      </c>
      <c r="F328">
        <v>250</v>
      </c>
      <c r="G328">
        <v>82</v>
      </c>
      <c r="I328">
        <v>30600</v>
      </c>
      <c r="J328">
        <v>502</v>
      </c>
      <c r="K328">
        <v>1063</v>
      </c>
      <c r="L328">
        <v>472</v>
      </c>
      <c r="M328">
        <v>270</v>
      </c>
      <c r="N328">
        <v>1100</v>
      </c>
      <c r="O328">
        <v>245</v>
      </c>
      <c r="P328">
        <v>223</v>
      </c>
      <c r="Q328">
        <v>338</v>
      </c>
      <c r="R328">
        <v>66</v>
      </c>
      <c r="S328">
        <v>1510</v>
      </c>
      <c r="T328">
        <v>3880</v>
      </c>
      <c r="U328">
        <v>5390</v>
      </c>
      <c r="V328">
        <v>832</v>
      </c>
      <c r="W328">
        <v>2650</v>
      </c>
      <c r="X328">
        <v>350</v>
      </c>
      <c r="Y328">
        <v>3590</v>
      </c>
      <c r="Z328">
        <v>260</v>
      </c>
      <c r="AA328">
        <v>1254</v>
      </c>
      <c r="AB328" t="s">
        <v>1475</v>
      </c>
    </row>
    <row r="329" spans="1:28" x14ac:dyDescent="0.3">
      <c r="A329">
        <v>77952</v>
      </c>
      <c r="B329" t="s">
        <v>1282</v>
      </c>
      <c r="C329">
        <v>0</v>
      </c>
      <c r="D329">
        <v>1610612752</v>
      </c>
      <c r="E329" t="s">
        <v>1248</v>
      </c>
      <c r="F329">
        <v>260</v>
      </c>
      <c r="G329">
        <v>79</v>
      </c>
      <c r="I329">
        <v>31750</v>
      </c>
      <c r="J329">
        <v>523</v>
      </c>
      <c r="K329">
        <v>1116</v>
      </c>
      <c r="L329">
        <v>469</v>
      </c>
      <c r="M329">
        <v>230</v>
      </c>
      <c r="N329">
        <v>1020</v>
      </c>
      <c r="O329">
        <v>225</v>
      </c>
      <c r="P329">
        <v>224</v>
      </c>
      <c r="Q329">
        <v>338</v>
      </c>
      <c r="R329">
        <v>663</v>
      </c>
      <c r="S329">
        <v>1730</v>
      </c>
      <c r="T329">
        <v>3720</v>
      </c>
      <c r="U329">
        <v>5450</v>
      </c>
      <c r="V329">
        <v>627</v>
      </c>
      <c r="W329">
        <v>2320</v>
      </c>
      <c r="X329">
        <v>350</v>
      </c>
      <c r="Y329">
        <v>3020</v>
      </c>
      <c r="Z329">
        <v>258</v>
      </c>
      <c r="AA329">
        <v>1293</v>
      </c>
      <c r="AB329" t="s">
        <v>1475</v>
      </c>
    </row>
    <row r="330" spans="1:28" x14ac:dyDescent="0.3">
      <c r="A330">
        <v>77952</v>
      </c>
      <c r="B330" t="s">
        <v>1284</v>
      </c>
      <c r="C330">
        <v>0</v>
      </c>
      <c r="D330">
        <v>1610612752</v>
      </c>
      <c r="E330" t="s">
        <v>1248</v>
      </c>
      <c r="F330">
        <v>270</v>
      </c>
      <c r="G330">
        <v>82</v>
      </c>
      <c r="H330">
        <v>790</v>
      </c>
      <c r="I330">
        <v>30440</v>
      </c>
      <c r="J330">
        <v>619</v>
      </c>
      <c r="K330">
        <v>1343</v>
      </c>
      <c r="L330">
        <v>461</v>
      </c>
      <c r="M330">
        <v>190</v>
      </c>
      <c r="N330">
        <v>1010</v>
      </c>
      <c r="O330">
        <v>188</v>
      </c>
      <c r="P330">
        <v>212</v>
      </c>
      <c r="Q330">
        <v>303</v>
      </c>
      <c r="R330">
        <v>7</v>
      </c>
      <c r="S330">
        <v>1770</v>
      </c>
      <c r="T330">
        <v>3880</v>
      </c>
      <c r="U330">
        <v>5650</v>
      </c>
      <c r="V330">
        <v>572</v>
      </c>
      <c r="W330">
        <v>2130</v>
      </c>
      <c r="X330">
        <v>410</v>
      </c>
      <c r="Y330">
        <v>2910</v>
      </c>
      <c r="Z330">
        <v>317</v>
      </c>
      <c r="AA330">
        <v>1469</v>
      </c>
      <c r="AB330" t="s">
        <v>1475</v>
      </c>
    </row>
    <row r="331" spans="1:28" x14ac:dyDescent="0.3">
      <c r="A331">
        <v>193</v>
      </c>
      <c r="B331" t="s">
        <v>1272</v>
      </c>
      <c r="C331">
        <v>0</v>
      </c>
      <c r="D331">
        <v>1610612752</v>
      </c>
      <c r="E331" t="s">
        <v>1248</v>
      </c>
      <c r="F331">
        <v>250</v>
      </c>
      <c r="G331">
        <v>82</v>
      </c>
      <c r="H331">
        <v>0</v>
      </c>
      <c r="I331">
        <v>21980</v>
      </c>
      <c r="J331">
        <v>203</v>
      </c>
      <c r="K331">
        <v>399</v>
      </c>
      <c r="L331">
        <v>509</v>
      </c>
      <c r="M331">
        <v>0</v>
      </c>
      <c r="N331">
        <v>0</v>
      </c>
      <c r="O331">
        <v>0</v>
      </c>
      <c r="P331">
        <v>167</v>
      </c>
      <c r="Q331">
        <v>260</v>
      </c>
      <c r="R331">
        <v>642</v>
      </c>
      <c r="S331">
        <v>2160</v>
      </c>
      <c r="T331">
        <v>3570</v>
      </c>
      <c r="U331">
        <v>5730</v>
      </c>
      <c r="V331">
        <v>106</v>
      </c>
      <c r="W331">
        <v>460</v>
      </c>
      <c r="X331">
        <v>200</v>
      </c>
      <c r="Y331">
        <v>1010</v>
      </c>
      <c r="Z331">
        <v>229</v>
      </c>
      <c r="AA331">
        <v>573</v>
      </c>
      <c r="AB331" t="s">
        <v>1476</v>
      </c>
    </row>
    <row r="332" spans="1:28" x14ac:dyDescent="0.3">
      <c r="A332">
        <v>193</v>
      </c>
      <c r="B332" t="s">
        <v>1273</v>
      </c>
      <c r="C332">
        <v>0</v>
      </c>
      <c r="D332">
        <v>1610612752</v>
      </c>
      <c r="E332" t="s">
        <v>1248</v>
      </c>
      <c r="F332">
        <v>260</v>
      </c>
      <c r="G332">
        <v>81</v>
      </c>
      <c r="H332">
        <v>0</v>
      </c>
      <c r="I332">
        <v>24820</v>
      </c>
      <c r="J332">
        <v>316</v>
      </c>
      <c r="K332">
        <v>629</v>
      </c>
      <c r="L332">
        <v>502</v>
      </c>
      <c r="M332">
        <v>0</v>
      </c>
      <c r="N332">
        <v>0</v>
      </c>
      <c r="O332">
        <v>0</v>
      </c>
      <c r="P332">
        <v>199</v>
      </c>
      <c r="Q332">
        <v>292</v>
      </c>
      <c r="R332">
        <v>682</v>
      </c>
      <c r="S332">
        <v>2310</v>
      </c>
      <c r="T332">
        <v>4090</v>
      </c>
      <c r="U332">
        <v>6400</v>
      </c>
      <c r="V332">
        <v>170</v>
      </c>
      <c r="W332">
        <v>430</v>
      </c>
      <c r="X332">
        <v>190</v>
      </c>
      <c r="Y332">
        <v>1370</v>
      </c>
      <c r="Z332">
        <v>240</v>
      </c>
      <c r="AA332">
        <v>831</v>
      </c>
      <c r="AB332" t="s">
        <v>1476</v>
      </c>
    </row>
    <row r="333" spans="1:28" x14ac:dyDescent="0.3">
      <c r="A333">
        <v>193</v>
      </c>
      <c r="B333" t="s">
        <v>1274</v>
      </c>
      <c r="C333">
        <v>0</v>
      </c>
      <c r="D333">
        <v>1610612752</v>
      </c>
      <c r="E333" t="s">
        <v>1248</v>
      </c>
      <c r="F333">
        <v>270</v>
      </c>
      <c r="G333">
        <v>73</v>
      </c>
      <c r="H333">
        <v>120</v>
      </c>
      <c r="I333">
        <v>19030</v>
      </c>
      <c r="J333">
        <v>206</v>
      </c>
      <c r="K333">
        <v>433</v>
      </c>
      <c r="L333">
        <v>476</v>
      </c>
      <c r="M333">
        <v>0</v>
      </c>
      <c r="N333">
        <v>10</v>
      </c>
      <c r="O333">
        <v>0</v>
      </c>
      <c r="P333">
        <v>116</v>
      </c>
      <c r="Q333">
        <v>161</v>
      </c>
      <c r="R333">
        <v>72</v>
      </c>
      <c r="S333">
        <v>1580</v>
      </c>
      <c r="T333">
        <v>2690</v>
      </c>
      <c r="U333">
        <v>4270</v>
      </c>
      <c r="V333">
        <v>151</v>
      </c>
      <c r="W333">
        <v>310</v>
      </c>
      <c r="X333">
        <v>90</v>
      </c>
      <c r="Y333">
        <v>1070</v>
      </c>
      <c r="Z333">
        <v>190</v>
      </c>
      <c r="AA333">
        <v>528</v>
      </c>
      <c r="AB333" t="s">
        <v>1476</v>
      </c>
    </row>
    <row r="334" spans="1:28" x14ac:dyDescent="0.3">
      <c r="A334">
        <v>193</v>
      </c>
      <c r="B334" t="s">
        <v>1275</v>
      </c>
      <c r="C334">
        <v>0</v>
      </c>
      <c r="D334">
        <v>1610612752</v>
      </c>
      <c r="E334" t="s">
        <v>1248</v>
      </c>
      <c r="F334">
        <v>280</v>
      </c>
      <c r="G334">
        <v>77</v>
      </c>
      <c r="H334">
        <v>110</v>
      </c>
      <c r="I334">
        <v>24960</v>
      </c>
      <c r="J334">
        <v>287</v>
      </c>
      <c r="K334">
        <v>507</v>
      </c>
      <c r="L334">
        <v>566</v>
      </c>
      <c r="M334">
        <v>0</v>
      </c>
      <c r="N334">
        <v>10</v>
      </c>
      <c r="O334">
        <v>0</v>
      </c>
      <c r="P334">
        <v>191</v>
      </c>
      <c r="Q334">
        <v>298</v>
      </c>
      <c r="R334">
        <v>641</v>
      </c>
      <c r="S334">
        <v>1820</v>
      </c>
      <c r="T334">
        <v>4680</v>
      </c>
      <c r="U334">
        <v>6500</v>
      </c>
      <c r="V334">
        <v>240</v>
      </c>
      <c r="W334">
        <v>690</v>
      </c>
      <c r="X334">
        <v>210</v>
      </c>
      <c r="Y334">
        <v>1230</v>
      </c>
      <c r="Z334">
        <v>253</v>
      </c>
      <c r="AA334">
        <v>765</v>
      </c>
      <c r="AB334" t="s">
        <v>1476</v>
      </c>
    </row>
    <row r="335" spans="1:28" x14ac:dyDescent="0.3">
      <c r="A335">
        <v>193</v>
      </c>
      <c r="B335" t="s">
        <v>1276</v>
      </c>
      <c r="C335">
        <v>0</v>
      </c>
      <c r="D335">
        <v>1610612752</v>
      </c>
      <c r="E335" t="s">
        <v>1248</v>
      </c>
      <c r="F335">
        <v>290</v>
      </c>
      <c r="G335">
        <v>82</v>
      </c>
      <c r="H335">
        <v>820</v>
      </c>
      <c r="I335">
        <v>34570</v>
      </c>
      <c r="J335">
        <v>449</v>
      </c>
      <c r="K335">
        <v>798</v>
      </c>
      <c r="L335">
        <v>563</v>
      </c>
      <c r="M335">
        <v>0</v>
      </c>
      <c r="N335">
        <v>0</v>
      </c>
      <c r="O335">
        <v>0</v>
      </c>
      <c r="P335">
        <v>298</v>
      </c>
      <c r="Q335">
        <v>414</v>
      </c>
      <c r="R335">
        <v>72</v>
      </c>
      <c r="S335">
        <v>2200</v>
      </c>
      <c r="T335">
        <v>5440</v>
      </c>
      <c r="U335">
        <v>7640</v>
      </c>
      <c r="V335">
        <v>363</v>
      </c>
      <c r="W335">
        <v>690</v>
      </c>
      <c r="X335">
        <v>340</v>
      </c>
      <c r="Y335">
        <v>2110</v>
      </c>
      <c r="Z335">
        <v>246</v>
      </c>
      <c r="AA335">
        <v>1196</v>
      </c>
      <c r="AB335" t="s">
        <v>1476</v>
      </c>
    </row>
    <row r="336" spans="1:28" x14ac:dyDescent="0.3">
      <c r="A336">
        <v>2067</v>
      </c>
      <c r="B336" t="s">
        <v>1305</v>
      </c>
      <c r="C336">
        <v>0</v>
      </c>
      <c r="D336">
        <v>1610612752</v>
      </c>
      <c r="E336" t="s">
        <v>1248</v>
      </c>
      <c r="F336">
        <v>320</v>
      </c>
      <c r="G336">
        <v>18</v>
      </c>
      <c r="H336">
        <v>0</v>
      </c>
      <c r="I336">
        <v>3710</v>
      </c>
      <c r="J336">
        <v>44</v>
      </c>
      <c r="K336">
        <v>133</v>
      </c>
      <c r="L336">
        <v>331</v>
      </c>
      <c r="M336">
        <v>150</v>
      </c>
      <c r="N336">
        <v>600</v>
      </c>
      <c r="O336">
        <v>25</v>
      </c>
      <c r="P336">
        <v>12</v>
      </c>
      <c r="Q336">
        <v>12</v>
      </c>
      <c r="R336">
        <v>10</v>
      </c>
      <c r="S336">
        <v>60</v>
      </c>
      <c r="T336">
        <v>340</v>
      </c>
      <c r="U336">
        <v>400</v>
      </c>
      <c r="V336">
        <v>37</v>
      </c>
      <c r="W336">
        <v>120</v>
      </c>
      <c r="X336">
        <v>0</v>
      </c>
      <c r="Y336">
        <v>200</v>
      </c>
      <c r="Z336">
        <v>20</v>
      </c>
      <c r="AA336">
        <v>115</v>
      </c>
      <c r="AB336" t="s">
        <v>1477</v>
      </c>
    </row>
    <row r="337" spans="1:28" x14ac:dyDescent="0.3">
      <c r="A337">
        <v>76720</v>
      </c>
      <c r="B337" t="s">
        <v>1339</v>
      </c>
      <c r="C337">
        <v>0</v>
      </c>
      <c r="D337">
        <v>1610612752</v>
      </c>
      <c r="E337" t="s">
        <v>1248</v>
      </c>
      <c r="F337">
        <v>240</v>
      </c>
      <c r="G337">
        <v>29</v>
      </c>
      <c r="I337">
        <v>0</v>
      </c>
      <c r="J337">
        <v>23</v>
      </c>
      <c r="K337">
        <v>121</v>
      </c>
      <c r="L337">
        <v>19</v>
      </c>
      <c r="P337">
        <v>36</v>
      </c>
      <c r="Q337">
        <v>60</v>
      </c>
      <c r="R337">
        <v>6</v>
      </c>
      <c r="U337">
        <v>0</v>
      </c>
      <c r="V337">
        <v>9</v>
      </c>
      <c r="Z337">
        <v>67</v>
      </c>
      <c r="AA337">
        <v>82</v>
      </c>
      <c r="AB337" t="s">
        <v>1478</v>
      </c>
    </row>
    <row r="338" spans="1:28" x14ac:dyDescent="0.3">
      <c r="A338">
        <v>76355</v>
      </c>
      <c r="B338" t="s">
        <v>1406</v>
      </c>
      <c r="C338">
        <v>0</v>
      </c>
      <c r="D338">
        <v>1610612752</v>
      </c>
      <c r="E338" t="s">
        <v>1248</v>
      </c>
      <c r="F338">
        <v>270</v>
      </c>
      <c r="G338">
        <v>69</v>
      </c>
      <c r="H338">
        <v>110</v>
      </c>
      <c r="I338">
        <v>12790</v>
      </c>
      <c r="J338">
        <v>214</v>
      </c>
      <c r="K338">
        <v>476</v>
      </c>
      <c r="L338">
        <v>45</v>
      </c>
      <c r="M338">
        <v>110</v>
      </c>
      <c r="N338">
        <v>430</v>
      </c>
      <c r="O338">
        <v>256</v>
      </c>
      <c r="P338">
        <v>109</v>
      </c>
      <c r="Q338">
        <v>134</v>
      </c>
      <c r="R338">
        <v>813</v>
      </c>
      <c r="S338">
        <v>360</v>
      </c>
      <c r="T338">
        <v>590</v>
      </c>
      <c r="U338">
        <v>950</v>
      </c>
      <c r="V338">
        <v>167</v>
      </c>
      <c r="W338">
        <v>570</v>
      </c>
      <c r="X338">
        <v>50</v>
      </c>
      <c r="Y338">
        <v>1090</v>
      </c>
      <c r="Z338">
        <v>151</v>
      </c>
      <c r="AA338">
        <v>548</v>
      </c>
      <c r="AB338" t="s">
        <v>1479</v>
      </c>
    </row>
    <row r="339" spans="1:28" x14ac:dyDescent="0.3">
      <c r="A339">
        <v>76355</v>
      </c>
      <c r="B339" t="s">
        <v>1392</v>
      </c>
      <c r="C339">
        <v>0</v>
      </c>
      <c r="D339">
        <v>1610612752</v>
      </c>
      <c r="E339" t="s">
        <v>1248</v>
      </c>
      <c r="F339">
        <v>280</v>
      </c>
      <c r="G339">
        <v>5</v>
      </c>
      <c r="H339">
        <v>0</v>
      </c>
      <c r="I339">
        <v>310</v>
      </c>
      <c r="J339">
        <v>2</v>
      </c>
      <c r="K339">
        <v>8</v>
      </c>
      <c r="L339">
        <v>25</v>
      </c>
      <c r="M339">
        <v>0</v>
      </c>
      <c r="N339">
        <v>10</v>
      </c>
      <c r="O339">
        <v>0</v>
      </c>
      <c r="P339">
        <v>1</v>
      </c>
      <c r="Q339">
        <v>1</v>
      </c>
      <c r="R339">
        <v>10</v>
      </c>
      <c r="S339">
        <v>20</v>
      </c>
      <c r="T339">
        <v>10</v>
      </c>
      <c r="U339">
        <v>30</v>
      </c>
      <c r="V339">
        <v>3</v>
      </c>
      <c r="W339">
        <v>10</v>
      </c>
      <c r="X339">
        <v>0</v>
      </c>
      <c r="Y339">
        <v>60</v>
      </c>
      <c r="Z339">
        <v>6</v>
      </c>
      <c r="AA339">
        <v>5</v>
      </c>
      <c r="AB339" t="s">
        <v>1479</v>
      </c>
    </row>
    <row r="340" spans="1:28" x14ac:dyDescent="0.3">
      <c r="A340">
        <v>77479</v>
      </c>
      <c r="B340" t="s">
        <v>1323</v>
      </c>
      <c r="C340">
        <v>0</v>
      </c>
      <c r="D340">
        <v>1610612752</v>
      </c>
      <c r="E340" t="s">
        <v>1248</v>
      </c>
      <c r="F340">
        <v>230</v>
      </c>
      <c r="G340">
        <v>66</v>
      </c>
      <c r="I340">
        <v>10180</v>
      </c>
      <c r="J340">
        <v>95</v>
      </c>
      <c r="K340">
        <v>292</v>
      </c>
      <c r="L340">
        <v>325</v>
      </c>
      <c r="P340">
        <v>37</v>
      </c>
      <c r="Q340">
        <v>55</v>
      </c>
      <c r="R340">
        <v>673</v>
      </c>
      <c r="U340">
        <v>1580</v>
      </c>
      <c r="V340">
        <v>115</v>
      </c>
      <c r="Z340">
        <v>158</v>
      </c>
      <c r="AA340">
        <v>227</v>
      </c>
      <c r="AB340" t="s">
        <v>1480</v>
      </c>
    </row>
    <row r="341" spans="1:28" x14ac:dyDescent="0.3">
      <c r="A341">
        <v>77061</v>
      </c>
      <c r="B341" t="s">
        <v>1415</v>
      </c>
      <c r="C341">
        <v>0</v>
      </c>
      <c r="D341">
        <v>1610612752</v>
      </c>
      <c r="E341" t="s">
        <v>1248</v>
      </c>
      <c r="F341">
        <v>220</v>
      </c>
      <c r="G341">
        <v>50</v>
      </c>
      <c r="I341">
        <v>3510</v>
      </c>
      <c r="J341">
        <v>53</v>
      </c>
      <c r="K341">
        <v>123</v>
      </c>
      <c r="L341">
        <v>431</v>
      </c>
      <c r="P341">
        <v>24</v>
      </c>
      <c r="Q341">
        <v>42</v>
      </c>
      <c r="R341">
        <v>571</v>
      </c>
      <c r="U341">
        <v>940</v>
      </c>
      <c r="V341">
        <v>19</v>
      </c>
      <c r="Z341">
        <v>77</v>
      </c>
      <c r="AA341">
        <v>130</v>
      </c>
      <c r="AB341" t="s">
        <v>1481</v>
      </c>
    </row>
    <row r="342" spans="1:28" x14ac:dyDescent="0.3">
      <c r="A342">
        <v>77061</v>
      </c>
      <c r="B342" t="s">
        <v>1416</v>
      </c>
      <c r="C342">
        <v>0</v>
      </c>
      <c r="D342">
        <v>1610612752</v>
      </c>
      <c r="E342" t="s">
        <v>1248</v>
      </c>
      <c r="F342">
        <v>230</v>
      </c>
      <c r="G342">
        <v>36</v>
      </c>
      <c r="I342">
        <v>2350</v>
      </c>
      <c r="J342">
        <v>46</v>
      </c>
      <c r="K342">
        <v>91</v>
      </c>
      <c r="L342">
        <v>505</v>
      </c>
      <c r="P342">
        <v>26</v>
      </c>
      <c r="Q342">
        <v>33</v>
      </c>
      <c r="R342">
        <v>788</v>
      </c>
      <c r="U342">
        <v>630</v>
      </c>
      <c r="V342">
        <v>17</v>
      </c>
      <c r="Z342">
        <v>36</v>
      </c>
      <c r="AA342">
        <v>118</v>
      </c>
      <c r="AB342" t="s">
        <v>1481</v>
      </c>
    </row>
    <row r="343" spans="1:28" x14ac:dyDescent="0.3">
      <c r="A343">
        <v>900</v>
      </c>
      <c r="B343" t="s">
        <v>1276</v>
      </c>
      <c r="C343">
        <v>0</v>
      </c>
      <c r="D343">
        <v>1610612752</v>
      </c>
      <c r="E343" t="s">
        <v>1248</v>
      </c>
      <c r="F343">
        <v>260</v>
      </c>
      <c r="G343">
        <v>2</v>
      </c>
      <c r="H343">
        <v>10</v>
      </c>
      <c r="I343">
        <v>170</v>
      </c>
      <c r="J343">
        <v>6</v>
      </c>
      <c r="K343">
        <v>10</v>
      </c>
      <c r="L343">
        <v>6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30</v>
      </c>
      <c r="T343">
        <v>0</v>
      </c>
      <c r="U343">
        <v>30</v>
      </c>
      <c r="V343">
        <v>1</v>
      </c>
      <c r="W343">
        <v>0</v>
      </c>
      <c r="X343">
        <v>10</v>
      </c>
      <c r="Y343">
        <v>0</v>
      </c>
      <c r="Z343">
        <v>3</v>
      </c>
      <c r="AA343">
        <v>12</v>
      </c>
      <c r="AB343" t="s">
        <v>1482</v>
      </c>
    </row>
    <row r="344" spans="1:28" x14ac:dyDescent="0.3">
      <c r="A344">
        <v>1853</v>
      </c>
      <c r="B344" t="s">
        <v>1312</v>
      </c>
      <c r="C344">
        <v>0</v>
      </c>
      <c r="D344">
        <v>1610612752</v>
      </c>
      <c r="E344" t="s">
        <v>1248</v>
      </c>
      <c r="F344">
        <v>360</v>
      </c>
      <c r="G344">
        <v>19</v>
      </c>
      <c r="H344">
        <v>0</v>
      </c>
      <c r="I344">
        <v>3100</v>
      </c>
      <c r="J344">
        <v>35</v>
      </c>
      <c r="K344">
        <v>76</v>
      </c>
      <c r="L344">
        <v>461</v>
      </c>
      <c r="M344">
        <v>80</v>
      </c>
      <c r="N344">
        <v>280</v>
      </c>
      <c r="O344">
        <v>286</v>
      </c>
      <c r="P344">
        <v>6</v>
      </c>
      <c r="Q344">
        <v>6</v>
      </c>
      <c r="R344">
        <v>10</v>
      </c>
      <c r="S344">
        <v>70</v>
      </c>
      <c r="T344">
        <v>320</v>
      </c>
      <c r="U344">
        <v>390</v>
      </c>
      <c r="V344">
        <v>43</v>
      </c>
      <c r="W344">
        <v>180</v>
      </c>
      <c r="X344">
        <v>50</v>
      </c>
      <c r="Y344">
        <v>250</v>
      </c>
      <c r="Z344">
        <v>30</v>
      </c>
      <c r="AA344">
        <v>84</v>
      </c>
      <c r="AB344" t="s">
        <v>1483</v>
      </c>
    </row>
    <row r="345" spans="1:28" x14ac:dyDescent="0.3">
      <c r="A345">
        <v>201576</v>
      </c>
      <c r="B345" t="s">
        <v>1312</v>
      </c>
      <c r="C345">
        <v>0</v>
      </c>
      <c r="D345">
        <v>1610612752</v>
      </c>
      <c r="E345" t="s">
        <v>1248</v>
      </c>
      <c r="F345">
        <v>210</v>
      </c>
      <c r="G345">
        <v>17</v>
      </c>
      <c r="H345">
        <v>0</v>
      </c>
      <c r="I345">
        <v>1270</v>
      </c>
      <c r="J345">
        <v>14</v>
      </c>
      <c r="K345">
        <v>45</v>
      </c>
      <c r="L345">
        <v>311</v>
      </c>
      <c r="M345">
        <v>10</v>
      </c>
      <c r="N345">
        <v>40</v>
      </c>
      <c r="O345">
        <v>25</v>
      </c>
      <c r="P345">
        <v>6</v>
      </c>
      <c r="Q345">
        <v>12</v>
      </c>
      <c r="R345">
        <v>5</v>
      </c>
      <c r="S345">
        <v>110</v>
      </c>
      <c r="T345">
        <v>290</v>
      </c>
      <c r="U345">
        <v>400</v>
      </c>
      <c r="V345">
        <v>7</v>
      </c>
      <c r="W345">
        <v>40</v>
      </c>
      <c r="X345">
        <v>80</v>
      </c>
      <c r="Y345">
        <v>100</v>
      </c>
      <c r="Z345">
        <v>15</v>
      </c>
      <c r="AA345">
        <v>35</v>
      </c>
      <c r="AB345" t="s">
        <v>1484</v>
      </c>
    </row>
    <row r="346" spans="1:28" x14ac:dyDescent="0.3">
      <c r="A346">
        <v>1629033</v>
      </c>
      <c r="B346" t="s">
        <v>1289</v>
      </c>
      <c r="C346">
        <v>0</v>
      </c>
      <c r="D346">
        <v>1610612752</v>
      </c>
      <c r="E346" t="s">
        <v>1248</v>
      </c>
      <c r="F346">
        <v>250</v>
      </c>
      <c r="G346">
        <v>17</v>
      </c>
      <c r="H346">
        <v>0</v>
      </c>
      <c r="I346">
        <v>340</v>
      </c>
      <c r="J346">
        <v>1</v>
      </c>
      <c r="K346">
        <v>9</v>
      </c>
      <c r="L346">
        <v>111</v>
      </c>
      <c r="M346">
        <v>0</v>
      </c>
      <c r="N346">
        <v>80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50</v>
      </c>
      <c r="U346">
        <v>50</v>
      </c>
      <c r="V346">
        <v>1</v>
      </c>
      <c r="W346">
        <v>0</v>
      </c>
      <c r="X346">
        <v>0</v>
      </c>
      <c r="Y346">
        <v>10</v>
      </c>
      <c r="Z346">
        <v>4</v>
      </c>
      <c r="AA346">
        <v>2</v>
      </c>
      <c r="AB346" t="s">
        <v>1485</v>
      </c>
    </row>
    <row r="347" spans="1:28" x14ac:dyDescent="0.3">
      <c r="A347">
        <v>2030</v>
      </c>
      <c r="B347" t="s">
        <v>1292</v>
      </c>
      <c r="C347">
        <v>0</v>
      </c>
      <c r="D347">
        <v>1610612752</v>
      </c>
      <c r="E347" t="s">
        <v>1248</v>
      </c>
      <c r="F347">
        <v>350</v>
      </c>
      <c r="G347">
        <v>18</v>
      </c>
      <c r="H347">
        <v>110</v>
      </c>
      <c r="I347">
        <v>4310</v>
      </c>
      <c r="J347">
        <v>56</v>
      </c>
      <c r="K347">
        <v>93</v>
      </c>
      <c r="L347">
        <v>602</v>
      </c>
      <c r="M347">
        <v>0</v>
      </c>
      <c r="N347">
        <v>0</v>
      </c>
      <c r="O347">
        <v>0</v>
      </c>
      <c r="P347">
        <v>17</v>
      </c>
      <c r="Q347">
        <v>40</v>
      </c>
      <c r="R347">
        <v>425</v>
      </c>
      <c r="S347">
        <v>340</v>
      </c>
      <c r="T347">
        <v>610</v>
      </c>
      <c r="U347">
        <v>950</v>
      </c>
      <c r="V347">
        <v>8</v>
      </c>
      <c r="W347">
        <v>160</v>
      </c>
      <c r="X347">
        <v>170</v>
      </c>
      <c r="Y347">
        <v>160</v>
      </c>
      <c r="Z347">
        <v>64</v>
      </c>
      <c r="AA347">
        <v>129</v>
      </c>
      <c r="AB347" t="s">
        <v>1486</v>
      </c>
    </row>
    <row r="348" spans="1:28" x14ac:dyDescent="0.3">
      <c r="A348">
        <v>2030</v>
      </c>
      <c r="B348" t="s">
        <v>1337</v>
      </c>
      <c r="C348">
        <v>0</v>
      </c>
      <c r="D348">
        <v>1610612752</v>
      </c>
      <c r="E348" t="s">
        <v>1248</v>
      </c>
      <c r="F348">
        <v>360</v>
      </c>
      <c r="G348">
        <v>32</v>
      </c>
      <c r="H348">
        <v>150</v>
      </c>
      <c r="I348">
        <v>6330</v>
      </c>
      <c r="J348">
        <v>63</v>
      </c>
      <c r="K348">
        <v>123</v>
      </c>
      <c r="L348">
        <v>512</v>
      </c>
      <c r="M348">
        <v>0</v>
      </c>
      <c r="N348">
        <v>10</v>
      </c>
      <c r="O348">
        <v>0</v>
      </c>
      <c r="P348">
        <v>11</v>
      </c>
      <c r="Q348">
        <v>19</v>
      </c>
      <c r="R348">
        <v>579</v>
      </c>
      <c r="S348">
        <v>360</v>
      </c>
      <c r="T348">
        <v>980</v>
      </c>
      <c r="U348">
        <v>1340</v>
      </c>
      <c r="V348">
        <v>50</v>
      </c>
      <c r="W348">
        <v>250</v>
      </c>
      <c r="X348">
        <v>270</v>
      </c>
      <c r="Y348">
        <v>260</v>
      </c>
      <c r="Z348">
        <v>85</v>
      </c>
      <c r="AA348">
        <v>137</v>
      </c>
      <c r="AB348" t="s">
        <v>1486</v>
      </c>
    </row>
    <row r="349" spans="1:28" x14ac:dyDescent="0.3">
      <c r="A349">
        <v>77051</v>
      </c>
      <c r="B349" t="s">
        <v>1257</v>
      </c>
      <c r="C349">
        <v>0</v>
      </c>
      <c r="D349">
        <v>1610612752</v>
      </c>
      <c r="E349" t="s">
        <v>1248</v>
      </c>
      <c r="F349">
        <v>230</v>
      </c>
      <c r="G349">
        <v>59</v>
      </c>
      <c r="I349">
        <v>9880</v>
      </c>
      <c r="J349">
        <v>102</v>
      </c>
      <c r="K349">
        <v>247</v>
      </c>
      <c r="L349">
        <v>413</v>
      </c>
      <c r="P349">
        <v>81</v>
      </c>
      <c r="Q349">
        <v>132</v>
      </c>
      <c r="R349">
        <v>614</v>
      </c>
      <c r="U349">
        <v>3310</v>
      </c>
      <c r="V349">
        <v>36</v>
      </c>
      <c r="Z349">
        <v>185</v>
      </c>
      <c r="AA349">
        <v>285</v>
      </c>
      <c r="AB349" t="s">
        <v>1487</v>
      </c>
    </row>
    <row r="350" spans="1:28" x14ac:dyDescent="0.3">
      <c r="A350">
        <v>77051</v>
      </c>
      <c r="B350" t="s">
        <v>1258</v>
      </c>
      <c r="C350">
        <v>0</v>
      </c>
      <c r="D350">
        <v>1610612752</v>
      </c>
      <c r="E350" t="s">
        <v>1248</v>
      </c>
      <c r="F350">
        <v>240</v>
      </c>
      <c r="G350">
        <v>24</v>
      </c>
      <c r="I350">
        <v>1530</v>
      </c>
      <c r="J350">
        <v>13</v>
      </c>
      <c r="K350">
        <v>32</v>
      </c>
      <c r="L350">
        <v>406</v>
      </c>
      <c r="P350">
        <v>8</v>
      </c>
      <c r="Q350">
        <v>14</v>
      </c>
      <c r="R350">
        <v>571</v>
      </c>
      <c r="U350">
        <v>580</v>
      </c>
      <c r="V350">
        <v>12</v>
      </c>
      <c r="Z350">
        <v>37</v>
      </c>
      <c r="AA350">
        <v>34</v>
      </c>
      <c r="AB350" t="s">
        <v>1487</v>
      </c>
    </row>
    <row r="351" spans="1:28" x14ac:dyDescent="0.3">
      <c r="A351">
        <v>76715</v>
      </c>
      <c r="B351" t="s">
        <v>1417</v>
      </c>
      <c r="C351">
        <v>0</v>
      </c>
      <c r="D351">
        <v>1610612752</v>
      </c>
      <c r="E351" t="s">
        <v>1248</v>
      </c>
      <c r="F351">
        <v>240</v>
      </c>
      <c r="G351">
        <v>39</v>
      </c>
      <c r="I351">
        <v>2710</v>
      </c>
      <c r="J351">
        <v>45</v>
      </c>
      <c r="K351">
        <v>102</v>
      </c>
      <c r="L351">
        <v>441</v>
      </c>
      <c r="P351">
        <v>13</v>
      </c>
      <c r="Q351">
        <v>27</v>
      </c>
      <c r="R351">
        <v>481</v>
      </c>
      <c r="U351">
        <v>930</v>
      </c>
      <c r="V351">
        <v>17</v>
      </c>
      <c r="Z351">
        <v>80</v>
      </c>
      <c r="AA351">
        <v>103</v>
      </c>
      <c r="AB351" t="s">
        <v>1488</v>
      </c>
    </row>
    <row r="352" spans="1:28" x14ac:dyDescent="0.3">
      <c r="A352">
        <v>76715</v>
      </c>
      <c r="B352" t="s">
        <v>1354</v>
      </c>
      <c r="C352">
        <v>0</v>
      </c>
      <c r="D352">
        <v>1610612752</v>
      </c>
      <c r="E352" t="s">
        <v>1248</v>
      </c>
      <c r="F352">
        <v>250</v>
      </c>
      <c r="G352">
        <v>10</v>
      </c>
      <c r="I352">
        <v>670</v>
      </c>
      <c r="J352">
        <v>7</v>
      </c>
      <c r="K352">
        <v>27</v>
      </c>
      <c r="L352">
        <v>259</v>
      </c>
      <c r="P352">
        <v>1</v>
      </c>
      <c r="Q352">
        <v>3</v>
      </c>
      <c r="R352">
        <v>333</v>
      </c>
      <c r="U352">
        <v>150</v>
      </c>
      <c r="V352">
        <v>3</v>
      </c>
      <c r="Z352">
        <v>17</v>
      </c>
      <c r="AA352">
        <v>15</v>
      </c>
      <c r="AB352" t="s">
        <v>1488</v>
      </c>
    </row>
    <row r="353" spans="1:28" x14ac:dyDescent="0.3">
      <c r="A353">
        <v>76342</v>
      </c>
      <c r="B353" t="s">
        <v>1253</v>
      </c>
      <c r="C353">
        <v>0</v>
      </c>
      <c r="D353">
        <v>1610612752</v>
      </c>
      <c r="E353" t="s">
        <v>1248</v>
      </c>
      <c r="F353">
        <v>280</v>
      </c>
      <c r="G353">
        <v>26</v>
      </c>
      <c r="H353">
        <v>0</v>
      </c>
      <c r="I353">
        <v>2040</v>
      </c>
      <c r="J353">
        <v>29</v>
      </c>
      <c r="K353">
        <v>67</v>
      </c>
      <c r="L353">
        <v>433</v>
      </c>
      <c r="M353">
        <v>60</v>
      </c>
      <c r="N353">
        <v>170</v>
      </c>
      <c r="O353">
        <v>353</v>
      </c>
      <c r="P353">
        <v>10</v>
      </c>
      <c r="Q353">
        <v>11</v>
      </c>
      <c r="R353">
        <v>909</v>
      </c>
      <c r="S353">
        <v>60</v>
      </c>
      <c r="T353">
        <v>70</v>
      </c>
      <c r="U353">
        <v>130</v>
      </c>
      <c r="V353">
        <v>32</v>
      </c>
      <c r="W353">
        <v>110</v>
      </c>
      <c r="X353">
        <v>40</v>
      </c>
      <c r="Y353">
        <v>220</v>
      </c>
      <c r="Z353">
        <v>39</v>
      </c>
      <c r="AA353">
        <v>74</v>
      </c>
      <c r="AB353" t="s">
        <v>1489</v>
      </c>
    </row>
    <row r="354" spans="1:28" x14ac:dyDescent="0.3">
      <c r="A354">
        <v>1628384</v>
      </c>
      <c r="B354" t="s">
        <v>1369</v>
      </c>
      <c r="C354">
        <v>0</v>
      </c>
      <c r="D354">
        <v>1610612752</v>
      </c>
      <c r="E354" t="s">
        <v>1248</v>
      </c>
      <c r="F354">
        <v>260</v>
      </c>
      <c r="G354">
        <v>23</v>
      </c>
      <c r="H354">
        <v>230</v>
      </c>
      <c r="I354">
        <v>8020</v>
      </c>
      <c r="J354">
        <v>125</v>
      </c>
      <c r="K354">
        <v>256</v>
      </c>
      <c r="L354">
        <v>488</v>
      </c>
      <c r="M354">
        <v>410</v>
      </c>
      <c r="N354">
        <v>1040</v>
      </c>
      <c r="O354">
        <v>394</v>
      </c>
      <c r="P354">
        <v>34</v>
      </c>
      <c r="Q354">
        <v>43</v>
      </c>
      <c r="R354">
        <v>791</v>
      </c>
      <c r="S354">
        <v>230</v>
      </c>
      <c r="T354">
        <v>790</v>
      </c>
      <c r="U354">
        <v>1020</v>
      </c>
      <c r="V354">
        <v>35</v>
      </c>
      <c r="W354">
        <v>400</v>
      </c>
      <c r="X354">
        <v>230</v>
      </c>
      <c r="Y354">
        <v>380</v>
      </c>
      <c r="Z354">
        <v>57</v>
      </c>
      <c r="AA354">
        <v>325</v>
      </c>
      <c r="AB354" t="s">
        <v>1490</v>
      </c>
    </row>
    <row r="355" spans="1:28" x14ac:dyDescent="0.3">
      <c r="A355">
        <v>1628372</v>
      </c>
      <c r="B355" t="s">
        <v>1287</v>
      </c>
      <c r="C355">
        <v>0</v>
      </c>
      <c r="D355">
        <v>1610612752</v>
      </c>
      <c r="E355" t="s">
        <v>1248</v>
      </c>
      <c r="F355">
        <v>210</v>
      </c>
      <c r="G355">
        <v>21</v>
      </c>
      <c r="H355">
        <v>180</v>
      </c>
      <c r="I355">
        <v>6000</v>
      </c>
      <c r="J355">
        <v>121</v>
      </c>
      <c r="K355">
        <v>293</v>
      </c>
      <c r="L355">
        <v>413</v>
      </c>
      <c r="M355">
        <v>240</v>
      </c>
      <c r="N355">
        <v>830</v>
      </c>
      <c r="O355">
        <v>289</v>
      </c>
      <c r="P355">
        <v>42</v>
      </c>
      <c r="Q355">
        <v>74</v>
      </c>
      <c r="R355">
        <v>568</v>
      </c>
      <c r="S355">
        <v>140</v>
      </c>
      <c r="T355">
        <v>440</v>
      </c>
      <c r="U355">
        <v>580</v>
      </c>
      <c r="V355">
        <v>114</v>
      </c>
      <c r="W355">
        <v>270</v>
      </c>
      <c r="X355">
        <v>90</v>
      </c>
      <c r="Y355">
        <v>540</v>
      </c>
      <c r="Z355">
        <v>47</v>
      </c>
      <c r="AA355">
        <v>308</v>
      </c>
      <c r="AB355" t="s">
        <v>1491</v>
      </c>
    </row>
    <row r="356" spans="1:28" x14ac:dyDescent="0.3">
      <c r="A356">
        <v>1628372</v>
      </c>
      <c r="B356" t="s">
        <v>1288</v>
      </c>
      <c r="C356">
        <v>0</v>
      </c>
      <c r="D356">
        <v>1610612752</v>
      </c>
      <c r="E356" t="s">
        <v>1248</v>
      </c>
      <c r="F356">
        <v>220</v>
      </c>
      <c r="G356">
        <v>34</v>
      </c>
      <c r="H356">
        <v>30</v>
      </c>
      <c r="I356">
        <v>5370</v>
      </c>
      <c r="J356">
        <v>72</v>
      </c>
      <c r="K356">
        <v>211</v>
      </c>
      <c r="L356">
        <v>341</v>
      </c>
      <c r="M356">
        <v>160</v>
      </c>
      <c r="N356">
        <v>540</v>
      </c>
      <c r="O356">
        <v>296</v>
      </c>
      <c r="P356">
        <v>27</v>
      </c>
      <c r="Q356">
        <v>53</v>
      </c>
      <c r="R356">
        <v>509</v>
      </c>
      <c r="S356">
        <v>210</v>
      </c>
      <c r="T356">
        <v>570</v>
      </c>
      <c r="U356">
        <v>780</v>
      </c>
      <c r="V356">
        <v>98</v>
      </c>
      <c r="W356">
        <v>280</v>
      </c>
      <c r="X356">
        <v>80</v>
      </c>
      <c r="Y356">
        <v>580</v>
      </c>
      <c r="Z356">
        <v>65</v>
      </c>
      <c r="AA356">
        <v>187</v>
      </c>
      <c r="AB356" t="s">
        <v>1491</v>
      </c>
    </row>
    <row r="357" spans="1:28" x14ac:dyDescent="0.3">
      <c r="A357">
        <v>1628372</v>
      </c>
      <c r="B357" t="s">
        <v>1289</v>
      </c>
      <c r="C357">
        <v>0</v>
      </c>
      <c r="D357">
        <v>1610612752</v>
      </c>
      <c r="E357" t="s">
        <v>1248</v>
      </c>
      <c r="F357">
        <v>230</v>
      </c>
      <c r="G357">
        <v>3</v>
      </c>
      <c r="H357">
        <v>0</v>
      </c>
      <c r="I357">
        <v>280</v>
      </c>
      <c r="J357">
        <v>2</v>
      </c>
      <c r="K357">
        <v>10</v>
      </c>
      <c r="L357">
        <v>2</v>
      </c>
      <c r="M357">
        <v>0</v>
      </c>
      <c r="N357">
        <v>40</v>
      </c>
      <c r="O357">
        <v>0</v>
      </c>
      <c r="P357">
        <v>5</v>
      </c>
      <c r="Q357">
        <v>6</v>
      </c>
      <c r="R357">
        <v>833</v>
      </c>
      <c r="S357">
        <v>0</v>
      </c>
      <c r="T357">
        <v>20</v>
      </c>
      <c r="U357">
        <v>20</v>
      </c>
      <c r="V357">
        <v>3</v>
      </c>
      <c r="W357">
        <v>30</v>
      </c>
      <c r="X357">
        <v>0</v>
      </c>
      <c r="Y357">
        <v>10</v>
      </c>
      <c r="Z357">
        <v>4</v>
      </c>
      <c r="AA357">
        <v>9</v>
      </c>
      <c r="AB357" t="s">
        <v>1491</v>
      </c>
    </row>
    <row r="358" spans="1:28" x14ac:dyDescent="0.3">
      <c r="A358">
        <v>77481</v>
      </c>
      <c r="B358" t="s">
        <v>1394</v>
      </c>
      <c r="C358">
        <v>0</v>
      </c>
      <c r="D358">
        <v>1610612752</v>
      </c>
      <c r="E358" t="s">
        <v>1248</v>
      </c>
      <c r="F358">
        <v>240</v>
      </c>
      <c r="G358">
        <v>8</v>
      </c>
      <c r="H358">
        <v>0</v>
      </c>
      <c r="I358">
        <v>680</v>
      </c>
      <c r="J358">
        <v>9</v>
      </c>
      <c r="K358">
        <v>25</v>
      </c>
      <c r="L358">
        <v>36</v>
      </c>
      <c r="M358">
        <v>0</v>
      </c>
      <c r="N358">
        <v>0</v>
      </c>
      <c r="O358">
        <v>0</v>
      </c>
      <c r="P358">
        <v>7</v>
      </c>
      <c r="Q358">
        <v>8</v>
      </c>
      <c r="R358">
        <v>875</v>
      </c>
      <c r="S358">
        <v>20</v>
      </c>
      <c r="T358">
        <v>50</v>
      </c>
      <c r="U358">
        <v>70</v>
      </c>
      <c r="V358">
        <v>0</v>
      </c>
      <c r="W358">
        <v>40</v>
      </c>
      <c r="X358">
        <v>20</v>
      </c>
      <c r="Y358">
        <v>70</v>
      </c>
      <c r="Z358">
        <v>5</v>
      </c>
      <c r="AA358">
        <v>25</v>
      </c>
      <c r="AB358" t="s">
        <v>1492</v>
      </c>
    </row>
    <row r="359" spans="1:28" x14ac:dyDescent="0.3">
      <c r="A359">
        <v>77048</v>
      </c>
      <c r="B359" t="s">
        <v>1297</v>
      </c>
      <c r="C359">
        <v>0</v>
      </c>
      <c r="D359">
        <v>1610612752</v>
      </c>
      <c r="E359" t="s">
        <v>1248</v>
      </c>
      <c r="F359">
        <v>260</v>
      </c>
      <c r="G359">
        <v>48</v>
      </c>
      <c r="J359">
        <v>195</v>
      </c>
      <c r="K359">
        <v>662</v>
      </c>
      <c r="L359">
        <v>295</v>
      </c>
      <c r="P359">
        <v>114</v>
      </c>
      <c r="Q359">
        <v>180</v>
      </c>
      <c r="R359">
        <v>633</v>
      </c>
      <c r="V359">
        <v>37</v>
      </c>
      <c r="Z359">
        <v>159</v>
      </c>
      <c r="AA359">
        <v>504</v>
      </c>
      <c r="AB359" t="s">
        <v>1493</v>
      </c>
    </row>
    <row r="360" spans="1:28" x14ac:dyDescent="0.3">
      <c r="A360">
        <v>202361</v>
      </c>
      <c r="B360" t="s">
        <v>1312</v>
      </c>
      <c r="C360">
        <v>0</v>
      </c>
      <c r="D360">
        <v>1610612752</v>
      </c>
      <c r="E360" t="s">
        <v>1248</v>
      </c>
      <c r="F360">
        <v>230</v>
      </c>
      <c r="G360">
        <v>82</v>
      </c>
      <c r="H360">
        <v>810</v>
      </c>
      <c r="I360">
        <v>25410</v>
      </c>
      <c r="J360">
        <v>299</v>
      </c>
      <c r="K360">
        <v>602</v>
      </c>
      <c r="L360">
        <v>497</v>
      </c>
      <c r="M360">
        <v>860</v>
      </c>
      <c r="N360">
        <v>2190</v>
      </c>
      <c r="O360">
        <v>393</v>
      </c>
      <c r="P360">
        <v>113</v>
      </c>
      <c r="Q360">
        <v>147</v>
      </c>
      <c r="R360">
        <v>769</v>
      </c>
      <c r="S360">
        <v>1050</v>
      </c>
      <c r="T360">
        <v>4160</v>
      </c>
      <c r="U360">
        <v>5210</v>
      </c>
      <c r="V360">
        <v>155</v>
      </c>
      <c r="W360">
        <v>800</v>
      </c>
      <c r="X360">
        <v>170</v>
      </c>
      <c r="Y360">
        <v>1070</v>
      </c>
      <c r="Z360">
        <v>114</v>
      </c>
      <c r="AA360">
        <v>797</v>
      </c>
      <c r="AB360" t="s">
        <v>1494</v>
      </c>
    </row>
    <row r="361" spans="1:28" x14ac:dyDescent="0.3">
      <c r="A361">
        <v>202361</v>
      </c>
      <c r="B361" t="s">
        <v>1290</v>
      </c>
      <c r="C361">
        <v>0</v>
      </c>
      <c r="D361">
        <v>1610612752</v>
      </c>
      <c r="E361" t="s">
        <v>1248</v>
      </c>
      <c r="F361">
        <v>240</v>
      </c>
      <c r="G361">
        <v>66</v>
      </c>
      <c r="H361">
        <v>620</v>
      </c>
      <c r="I361">
        <v>18940</v>
      </c>
      <c r="J361">
        <v>236</v>
      </c>
      <c r="K361">
        <v>513</v>
      </c>
      <c r="L361">
        <v>46</v>
      </c>
      <c r="M361">
        <v>310</v>
      </c>
      <c r="N361">
        <v>1210</v>
      </c>
      <c r="O361">
        <v>256</v>
      </c>
      <c r="P361">
        <v>77</v>
      </c>
      <c r="Q361">
        <v>137</v>
      </c>
      <c r="R361">
        <v>562</v>
      </c>
      <c r="S361">
        <v>590</v>
      </c>
      <c r="T361">
        <v>2190</v>
      </c>
      <c r="U361">
        <v>2780</v>
      </c>
      <c r="V361">
        <v>169</v>
      </c>
      <c r="W361">
        <v>790</v>
      </c>
      <c r="X361">
        <v>170</v>
      </c>
      <c r="Y361">
        <v>1020</v>
      </c>
      <c r="Z361">
        <v>99</v>
      </c>
      <c r="AA361">
        <v>580</v>
      </c>
      <c r="AB361" t="s">
        <v>1494</v>
      </c>
    </row>
    <row r="362" spans="1:28" x14ac:dyDescent="0.3">
      <c r="A362">
        <v>76338</v>
      </c>
      <c r="B362" t="s">
        <v>1273</v>
      </c>
      <c r="C362">
        <v>0</v>
      </c>
      <c r="D362">
        <v>1610612752</v>
      </c>
      <c r="E362" t="s">
        <v>1248</v>
      </c>
      <c r="F362">
        <v>310</v>
      </c>
      <c r="G362">
        <v>58</v>
      </c>
      <c r="H362">
        <v>130</v>
      </c>
      <c r="I362">
        <v>10620</v>
      </c>
      <c r="J362">
        <v>194</v>
      </c>
      <c r="K362">
        <v>396</v>
      </c>
      <c r="L362">
        <v>49</v>
      </c>
      <c r="M362">
        <v>20</v>
      </c>
      <c r="N362">
        <v>50</v>
      </c>
      <c r="O362">
        <v>4</v>
      </c>
      <c r="P362">
        <v>59</v>
      </c>
      <c r="Q362">
        <v>87</v>
      </c>
      <c r="R362">
        <v>678</v>
      </c>
      <c r="S362">
        <v>590</v>
      </c>
      <c r="T362">
        <v>960</v>
      </c>
      <c r="U362">
        <v>1550</v>
      </c>
      <c r="V362">
        <v>62</v>
      </c>
      <c r="W362">
        <v>340</v>
      </c>
      <c r="X362">
        <v>50</v>
      </c>
      <c r="Y362">
        <v>510</v>
      </c>
      <c r="Z362">
        <v>150</v>
      </c>
      <c r="AA362">
        <v>449</v>
      </c>
      <c r="AB362" t="s">
        <v>1495</v>
      </c>
    </row>
    <row r="363" spans="1:28" x14ac:dyDescent="0.3">
      <c r="A363">
        <v>76338</v>
      </c>
      <c r="B363" t="s">
        <v>1274</v>
      </c>
      <c r="C363">
        <v>0</v>
      </c>
      <c r="D363">
        <v>1610612752</v>
      </c>
      <c r="E363" t="s">
        <v>1248</v>
      </c>
      <c r="F363">
        <v>320</v>
      </c>
      <c r="G363">
        <v>22</v>
      </c>
      <c r="H363">
        <v>110</v>
      </c>
      <c r="I363">
        <v>3790</v>
      </c>
      <c r="J363">
        <v>63</v>
      </c>
      <c r="K363">
        <v>128</v>
      </c>
      <c r="L363">
        <v>492</v>
      </c>
      <c r="M363">
        <v>10</v>
      </c>
      <c r="N363">
        <v>30</v>
      </c>
      <c r="O363">
        <v>333</v>
      </c>
      <c r="P363">
        <v>30</v>
      </c>
      <c r="Q363">
        <v>37</v>
      </c>
      <c r="R363">
        <v>811</v>
      </c>
      <c r="S363">
        <v>280</v>
      </c>
      <c r="T363">
        <v>320</v>
      </c>
      <c r="U363">
        <v>600</v>
      </c>
      <c r="V363">
        <v>31</v>
      </c>
      <c r="W363">
        <v>200</v>
      </c>
      <c r="X363">
        <v>10</v>
      </c>
      <c r="Y363">
        <v>290</v>
      </c>
      <c r="Z363">
        <v>59</v>
      </c>
      <c r="AA363">
        <v>157</v>
      </c>
      <c r="AB363" t="s">
        <v>1495</v>
      </c>
    </row>
    <row r="364" spans="1:28" x14ac:dyDescent="0.3">
      <c r="A364">
        <v>1630193</v>
      </c>
      <c r="B364" t="s">
        <v>1289</v>
      </c>
      <c r="C364">
        <v>0</v>
      </c>
      <c r="D364">
        <v>1610612752</v>
      </c>
      <c r="E364" t="s">
        <v>1248</v>
      </c>
      <c r="F364">
        <v>220</v>
      </c>
      <c r="G364">
        <v>64</v>
      </c>
      <c r="H364">
        <v>30</v>
      </c>
      <c r="I364">
        <v>12440</v>
      </c>
      <c r="J364">
        <v>229</v>
      </c>
      <c r="K364">
        <v>580</v>
      </c>
      <c r="L364">
        <v>395</v>
      </c>
      <c r="M364">
        <v>1180</v>
      </c>
      <c r="N364">
        <v>3030</v>
      </c>
      <c r="O364">
        <v>389</v>
      </c>
      <c r="P364">
        <v>155</v>
      </c>
      <c r="Q364">
        <v>174</v>
      </c>
      <c r="R364">
        <v>891</v>
      </c>
      <c r="S364">
        <v>250</v>
      </c>
      <c r="T364">
        <v>1120</v>
      </c>
      <c r="U364">
        <v>1370</v>
      </c>
      <c r="V364">
        <v>127</v>
      </c>
      <c r="W364">
        <v>300</v>
      </c>
      <c r="X364">
        <v>120</v>
      </c>
      <c r="Y364">
        <v>580</v>
      </c>
      <c r="Z364">
        <v>114</v>
      </c>
      <c r="AA364">
        <v>731</v>
      </c>
      <c r="AB364" t="s">
        <v>1496</v>
      </c>
    </row>
    <row r="365" spans="1:28" x14ac:dyDescent="0.3">
      <c r="A365">
        <v>1630193</v>
      </c>
      <c r="B365" t="s">
        <v>1308</v>
      </c>
      <c r="C365">
        <v>0</v>
      </c>
      <c r="D365">
        <v>1610612752</v>
      </c>
      <c r="E365" t="s">
        <v>1248</v>
      </c>
      <c r="F365">
        <v>230</v>
      </c>
      <c r="G365">
        <v>78</v>
      </c>
      <c r="H365">
        <v>30</v>
      </c>
      <c r="I365">
        <v>18020</v>
      </c>
      <c r="J365">
        <v>284</v>
      </c>
      <c r="K365">
        <v>724</v>
      </c>
      <c r="L365">
        <v>392</v>
      </c>
      <c r="M365">
        <v>1370</v>
      </c>
      <c r="N365">
        <v>3960</v>
      </c>
      <c r="O365">
        <v>346</v>
      </c>
      <c r="P365">
        <v>177</v>
      </c>
      <c r="Q365">
        <v>201</v>
      </c>
      <c r="R365">
        <v>881</v>
      </c>
      <c r="S365">
        <v>310</v>
      </c>
      <c r="T365">
        <v>2160</v>
      </c>
      <c r="U365">
        <v>2470</v>
      </c>
      <c r="V365">
        <v>275</v>
      </c>
      <c r="W365">
        <v>540</v>
      </c>
      <c r="X365">
        <v>30</v>
      </c>
      <c r="Y365">
        <v>990</v>
      </c>
      <c r="Z365">
        <v>167</v>
      </c>
      <c r="AA365">
        <v>882</v>
      </c>
      <c r="AB365" t="s">
        <v>1496</v>
      </c>
    </row>
    <row r="366" spans="1:28" x14ac:dyDescent="0.3">
      <c r="A366">
        <v>1630193</v>
      </c>
      <c r="B366" t="s">
        <v>1327</v>
      </c>
      <c r="C366">
        <v>0</v>
      </c>
      <c r="D366">
        <v>1610612752</v>
      </c>
      <c r="E366" t="s">
        <v>1248</v>
      </c>
      <c r="F366">
        <v>240</v>
      </c>
      <c r="G366">
        <v>81</v>
      </c>
      <c r="H366">
        <v>210</v>
      </c>
      <c r="I366">
        <v>23440</v>
      </c>
      <c r="J366">
        <v>419</v>
      </c>
      <c r="K366">
        <v>936</v>
      </c>
      <c r="L366">
        <v>448</v>
      </c>
      <c r="M366">
        <v>1680</v>
      </c>
      <c r="N366">
        <v>4540</v>
      </c>
      <c r="O366">
        <v>37</v>
      </c>
      <c r="P366">
        <v>203</v>
      </c>
      <c r="Q366">
        <v>248</v>
      </c>
      <c r="R366">
        <v>819</v>
      </c>
      <c r="S366">
        <v>580</v>
      </c>
      <c r="T366">
        <v>2790</v>
      </c>
      <c r="U366">
        <v>3370</v>
      </c>
      <c r="V366">
        <v>279</v>
      </c>
      <c r="W366">
        <v>800</v>
      </c>
      <c r="X366">
        <v>140</v>
      </c>
      <c r="Y366">
        <v>1000</v>
      </c>
      <c r="Z366">
        <v>166</v>
      </c>
      <c r="AA366">
        <v>1209</v>
      </c>
      <c r="AB366" t="s">
        <v>1496</v>
      </c>
    </row>
    <row r="367" spans="1:28" x14ac:dyDescent="0.3">
      <c r="A367">
        <v>1630193</v>
      </c>
      <c r="B367" t="s">
        <v>1369</v>
      </c>
      <c r="C367">
        <v>0</v>
      </c>
      <c r="D367">
        <v>1610612752</v>
      </c>
      <c r="E367" t="s">
        <v>1248</v>
      </c>
      <c r="F367">
        <v>250</v>
      </c>
      <c r="G367">
        <v>30</v>
      </c>
      <c r="H367">
        <v>0</v>
      </c>
      <c r="I367">
        <v>7200</v>
      </c>
      <c r="J367">
        <v>152</v>
      </c>
      <c r="K367">
        <v>335</v>
      </c>
      <c r="L367">
        <v>454</v>
      </c>
      <c r="M367">
        <v>640</v>
      </c>
      <c r="N367">
        <v>1620</v>
      </c>
      <c r="O367">
        <v>395</v>
      </c>
      <c r="P367">
        <v>82</v>
      </c>
      <c r="Q367">
        <v>94</v>
      </c>
      <c r="R367">
        <v>872</v>
      </c>
      <c r="S367">
        <v>50</v>
      </c>
      <c r="T367">
        <v>720</v>
      </c>
      <c r="U367">
        <v>770</v>
      </c>
      <c r="V367">
        <v>74</v>
      </c>
      <c r="W367">
        <v>160</v>
      </c>
      <c r="X367">
        <v>30</v>
      </c>
      <c r="Y367">
        <v>310</v>
      </c>
      <c r="Z367">
        <v>44</v>
      </c>
      <c r="AA367">
        <v>450</v>
      </c>
      <c r="AB367" t="s">
        <v>1496</v>
      </c>
    </row>
    <row r="368" spans="1:28" x14ac:dyDescent="0.3">
      <c r="A368">
        <v>77815</v>
      </c>
      <c r="B368" t="s">
        <v>1354</v>
      </c>
      <c r="C368">
        <v>0</v>
      </c>
      <c r="D368">
        <v>1610612752</v>
      </c>
      <c r="E368" t="s">
        <v>1248</v>
      </c>
      <c r="F368">
        <v>260</v>
      </c>
      <c r="G368">
        <v>28</v>
      </c>
      <c r="I368">
        <v>1510</v>
      </c>
      <c r="J368">
        <v>16</v>
      </c>
      <c r="K368">
        <v>60</v>
      </c>
      <c r="L368">
        <v>267</v>
      </c>
      <c r="P368">
        <v>8</v>
      </c>
      <c r="Q368">
        <v>12</v>
      </c>
      <c r="R368">
        <v>667</v>
      </c>
      <c r="U368">
        <v>490</v>
      </c>
      <c r="V368">
        <v>7</v>
      </c>
      <c r="Z368">
        <v>24</v>
      </c>
      <c r="AA368">
        <v>40</v>
      </c>
      <c r="AB368" t="s">
        <v>1497</v>
      </c>
    </row>
    <row r="369" spans="1:28" x14ac:dyDescent="0.3">
      <c r="A369">
        <v>950</v>
      </c>
      <c r="B369" t="s">
        <v>1293</v>
      </c>
      <c r="C369">
        <v>0</v>
      </c>
      <c r="D369">
        <v>1610612752</v>
      </c>
      <c r="E369" t="s">
        <v>1248</v>
      </c>
      <c r="F369">
        <v>270</v>
      </c>
      <c r="G369">
        <v>47</v>
      </c>
      <c r="H369">
        <v>470</v>
      </c>
      <c r="I369">
        <v>18390</v>
      </c>
      <c r="J369">
        <v>336</v>
      </c>
      <c r="K369">
        <v>780</v>
      </c>
      <c r="L369">
        <v>431</v>
      </c>
      <c r="M369">
        <v>500</v>
      </c>
      <c r="N369">
        <v>1560</v>
      </c>
      <c r="O369">
        <v>321</v>
      </c>
      <c r="P369">
        <v>209</v>
      </c>
      <c r="Q369">
        <v>251</v>
      </c>
      <c r="R369">
        <v>833</v>
      </c>
      <c r="S369">
        <v>390</v>
      </c>
      <c r="T369">
        <v>1070</v>
      </c>
      <c r="U369">
        <v>1460</v>
      </c>
      <c r="V369">
        <v>438</v>
      </c>
      <c r="W369">
        <v>650</v>
      </c>
      <c r="X369">
        <v>40</v>
      </c>
      <c r="Y369">
        <v>1520</v>
      </c>
      <c r="Z369">
        <v>98</v>
      </c>
      <c r="AA369">
        <v>931</v>
      </c>
      <c r="AB369" t="s">
        <v>1498</v>
      </c>
    </row>
    <row r="370" spans="1:28" x14ac:dyDescent="0.3">
      <c r="A370">
        <v>950</v>
      </c>
      <c r="B370" t="s">
        <v>1295</v>
      </c>
      <c r="C370">
        <v>0</v>
      </c>
      <c r="D370">
        <v>1610612752</v>
      </c>
      <c r="E370" t="s">
        <v>1248</v>
      </c>
      <c r="F370">
        <v>280</v>
      </c>
      <c r="G370">
        <v>82</v>
      </c>
      <c r="H370">
        <v>820</v>
      </c>
      <c r="I370">
        <v>32810</v>
      </c>
      <c r="J370">
        <v>604</v>
      </c>
      <c r="K370">
        <v>1308</v>
      </c>
      <c r="L370">
        <v>462</v>
      </c>
      <c r="M370">
        <v>1150</v>
      </c>
      <c r="N370">
        <v>3250</v>
      </c>
      <c r="O370">
        <v>354</v>
      </c>
      <c r="P370">
        <v>458</v>
      </c>
      <c r="Q370">
        <v>549</v>
      </c>
      <c r="R370">
        <v>834</v>
      </c>
      <c r="S370">
        <v>500</v>
      </c>
      <c r="T370">
        <v>1980</v>
      </c>
      <c r="U370">
        <v>2480</v>
      </c>
      <c r="V370">
        <v>668</v>
      </c>
      <c r="W370">
        <v>1220</v>
      </c>
      <c r="X370">
        <v>60</v>
      </c>
      <c r="Y370">
        <v>2330</v>
      </c>
      <c r="Z370">
        <v>186</v>
      </c>
      <c r="AA370">
        <v>1781</v>
      </c>
      <c r="AB370" t="s">
        <v>1498</v>
      </c>
    </row>
    <row r="371" spans="1:28" x14ac:dyDescent="0.3">
      <c r="A371">
        <v>950</v>
      </c>
      <c r="B371" t="s">
        <v>1300</v>
      </c>
      <c r="C371">
        <v>0</v>
      </c>
      <c r="D371">
        <v>1610612752</v>
      </c>
      <c r="E371" t="s">
        <v>1248</v>
      </c>
      <c r="F371">
        <v>290</v>
      </c>
      <c r="G371">
        <v>60</v>
      </c>
      <c r="H371">
        <v>600</v>
      </c>
      <c r="I371">
        <v>21930</v>
      </c>
      <c r="J371">
        <v>349</v>
      </c>
      <c r="K371">
        <v>774</v>
      </c>
      <c r="L371">
        <v>451</v>
      </c>
      <c r="M371">
        <v>330</v>
      </c>
      <c r="N371">
        <v>1040</v>
      </c>
      <c r="O371">
        <v>317</v>
      </c>
      <c r="P371">
        <v>246</v>
      </c>
      <c r="Q371">
        <v>326</v>
      </c>
      <c r="R371">
        <v>755</v>
      </c>
      <c r="S371">
        <v>250</v>
      </c>
      <c r="T371">
        <v>1500</v>
      </c>
      <c r="U371">
        <v>1750</v>
      </c>
      <c r="V371">
        <v>382</v>
      </c>
      <c r="W371">
        <v>630</v>
      </c>
      <c r="X371">
        <v>40</v>
      </c>
      <c r="Y371">
        <v>1570</v>
      </c>
      <c r="Z371">
        <v>143</v>
      </c>
      <c r="AA371">
        <v>977</v>
      </c>
      <c r="AB371" t="s">
        <v>1498</v>
      </c>
    </row>
    <row r="372" spans="1:28" x14ac:dyDescent="0.3">
      <c r="A372">
        <v>950</v>
      </c>
      <c r="B372" t="s">
        <v>1302</v>
      </c>
      <c r="C372">
        <v>0</v>
      </c>
      <c r="D372">
        <v>1610612752</v>
      </c>
      <c r="E372" t="s">
        <v>1248</v>
      </c>
      <c r="F372">
        <v>300</v>
      </c>
      <c r="G372">
        <v>74</v>
      </c>
      <c r="H372">
        <v>740</v>
      </c>
      <c r="I372">
        <v>27480</v>
      </c>
      <c r="J372">
        <v>395</v>
      </c>
      <c r="K372">
        <v>952</v>
      </c>
      <c r="L372">
        <v>415</v>
      </c>
      <c r="M372">
        <v>1230</v>
      </c>
      <c r="N372">
        <v>3450</v>
      </c>
      <c r="O372">
        <v>357</v>
      </c>
      <c r="P372">
        <v>297</v>
      </c>
      <c r="Q372">
        <v>386</v>
      </c>
      <c r="R372">
        <v>769</v>
      </c>
      <c r="S372">
        <v>360</v>
      </c>
      <c r="T372">
        <v>1770</v>
      </c>
      <c r="U372">
        <v>2130</v>
      </c>
      <c r="V372">
        <v>403</v>
      </c>
      <c r="W372">
        <v>710</v>
      </c>
      <c r="X372">
        <v>100</v>
      </c>
      <c r="Y372">
        <v>1790</v>
      </c>
      <c r="Z372">
        <v>185</v>
      </c>
      <c r="AA372">
        <v>1210</v>
      </c>
      <c r="AB372" t="s">
        <v>1498</v>
      </c>
    </row>
    <row r="373" spans="1:28" x14ac:dyDescent="0.3">
      <c r="A373">
        <v>950</v>
      </c>
      <c r="B373" t="s">
        <v>1303</v>
      </c>
      <c r="C373">
        <v>0</v>
      </c>
      <c r="D373">
        <v>1610612752</v>
      </c>
      <c r="E373" t="s">
        <v>1248</v>
      </c>
      <c r="F373">
        <v>310</v>
      </c>
      <c r="G373">
        <v>24</v>
      </c>
      <c r="H373">
        <v>190</v>
      </c>
      <c r="I373">
        <v>8050</v>
      </c>
      <c r="J373">
        <v>111</v>
      </c>
      <c r="K373">
        <v>265</v>
      </c>
      <c r="L373">
        <v>419</v>
      </c>
      <c r="M373">
        <v>280</v>
      </c>
      <c r="N373">
        <v>740</v>
      </c>
      <c r="O373">
        <v>378</v>
      </c>
      <c r="P373">
        <v>83</v>
      </c>
      <c r="Q373">
        <v>116</v>
      </c>
      <c r="R373">
        <v>716</v>
      </c>
      <c r="S373">
        <v>170</v>
      </c>
      <c r="T373">
        <v>420</v>
      </c>
      <c r="U373">
        <v>590</v>
      </c>
      <c r="V373">
        <v>113</v>
      </c>
      <c r="W373">
        <v>210</v>
      </c>
      <c r="X373">
        <v>20</v>
      </c>
      <c r="Y373">
        <v>480</v>
      </c>
      <c r="Z373">
        <v>57</v>
      </c>
      <c r="AA373">
        <v>333</v>
      </c>
      <c r="AB373" t="s">
        <v>1498</v>
      </c>
    </row>
    <row r="374" spans="1:28" x14ac:dyDescent="0.3">
      <c r="A374">
        <v>203200</v>
      </c>
      <c r="B374" t="s">
        <v>1281</v>
      </c>
      <c r="C374">
        <v>0</v>
      </c>
      <c r="D374">
        <v>1610612752</v>
      </c>
      <c r="E374" t="s">
        <v>1248</v>
      </c>
      <c r="F374">
        <v>280</v>
      </c>
      <c r="G374">
        <v>82</v>
      </c>
      <c r="H374">
        <v>40</v>
      </c>
      <c r="I374">
        <v>16390</v>
      </c>
      <c r="J374">
        <v>233</v>
      </c>
      <c r="K374">
        <v>538</v>
      </c>
      <c r="L374">
        <v>433</v>
      </c>
      <c r="M374">
        <v>970</v>
      </c>
      <c r="N374">
        <v>2730</v>
      </c>
      <c r="O374">
        <v>355</v>
      </c>
      <c r="P374">
        <v>66</v>
      </c>
      <c r="Q374">
        <v>80</v>
      </c>
      <c r="R374">
        <v>825</v>
      </c>
      <c r="S374">
        <v>270</v>
      </c>
      <c r="T374">
        <v>1980</v>
      </c>
      <c r="U374">
        <v>2250</v>
      </c>
      <c r="V374">
        <v>102</v>
      </c>
      <c r="W374">
        <v>650</v>
      </c>
      <c r="X374">
        <v>310</v>
      </c>
      <c r="Y374">
        <v>660</v>
      </c>
      <c r="Z374">
        <v>109</v>
      </c>
      <c r="AA374">
        <v>629</v>
      </c>
      <c r="AB374" t="s">
        <v>1499</v>
      </c>
    </row>
    <row r="375" spans="1:28" x14ac:dyDescent="0.3">
      <c r="A375">
        <v>76707</v>
      </c>
      <c r="B375" t="s">
        <v>1469</v>
      </c>
      <c r="C375">
        <v>0</v>
      </c>
      <c r="D375">
        <v>1610612752</v>
      </c>
      <c r="E375" t="s">
        <v>1248</v>
      </c>
      <c r="F375">
        <v>300</v>
      </c>
      <c r="G375">
        <v>32</v>
      </c>
      <c r="H375">
        <v>0</v>
      </c>
      <c r="I375">
        <v>4020</v>
      </c>
      <c r="J375">
        <v>29</v>
      </c>
      <c r="K375">
        <v>52</v>
      </c>
      <c r="L375">
        <v>558</v>
      </c>
      <c r="M375">
        <v>0</v>
      </c>
      <c r="N375">
        <v>0</v>
      </c>
      <c r="O375">
        <v>0</v>
      </c>
      <c r="P375">
        <v>25</v>
      </c>
      <c r="Q375">
        <v>34</v>
      </c>
      <c r="R375">
        <v>735</v>
      </c>
      <c r="S375">
        <v>290</v>
      </c>
      <c r="T375">
        <v>570</v>
      </c>
      <c r="U375">
        <v>860</v>
      </c>
      <c r="V375">
        <v>11</v>
      </c>
      <c r="W375">
        <v>160</v>
      </c>
      <c r="X375">
        <v>80</v>
      </c>
      <c r="Y375">
        <v>190</v>
      </c>
      <c r="Z375">
        <v>49</v>
      </c>
      <c r="AA375">
        <v>83</v>
      </c>
      <c r="AB375" t="s">
        <v>1500</v>
      </c>
    </row>
    <row r="376" spans="1:28" x14ac:dyDescent="0.3">
      <c r="A376">
        <v>948</v>
      </c>
      <c r="B376" t="s">
        <v>1429</v>
      </c>
      <c r="C376">
        <v>0</v>
      </c>
      <c r="D376">
        <v>1610612752</v>
      </c>
      <c r="E376" t="s">
        <v>1248</v>
      </c>
      <c r="F376">
        <v>250</v>
      </c>
      <c r="G376">
        <v>46</v>
      </c>
      <c r="H376">
        <v>0</v>
      </c>
      <c r="I376">
        <v>9450</v>
      </c>
      <c r="J376">
        <v>136</v>
      </c>
      <c r="K376">
        <v>261</v>
      </c>
      <c r="L376">
        <v>521</v>
      </c>
      <c r="M376">
        <v>0</v>
      </c>
      <c r="N376">
        <v>0</v>
      </c>
      <c r="O376">
        <v>0</v>
      </c>
      <c r="P376">
        <v>57</v>
      </c>
      <c r="Q376">
        <v>103</v>
      </c>
      <c r="R376">
        <v>553</v>
      </c>
      <c r="S376">
        <v>1020</v>
      </c>
      <c r="T376">
        <v>1510</v>
      </c>
      <c r="U376">
        <v>2530</v>
      </c>
      <c r="V376">
        <v>12</v>
      </c>
      <c r="W376">
        <v>290</v>
      </c>
      <c r="X376">
        <v>740</v>
      </c>
      <c r="Y376">
        <v>390</v>
      </c>
      <c r="Z376">
        <v>131</v>
      </c>
      <c r="AA376">
        <v>329</v>
      </c>
      <c r="AB376" t="s">
        <v>1501</v>
      </c>
    </row>
    <row r="377" spans="1:28" x14ac:dyDescent="0.3">
      <c r="A377">
        <v>948</v>
      </c>
      <c r="B377" t="s">
        <v>1464</v>
      </c>
      <c r="C377">
        <v>0</v>
      </c>
      <c r="D377">
        <v>1610612752</v>
      </c>
      <c r="E377" t="s">
        <v>1248</v>
      </c>
      <c r="F377">
        <v>260</v>
      </c>
      <c r="G377">
        <v>59</v>
      </c>
      <c r="H377">
        <v>110</v>
      </c>
      <c r="I377">
        <v>15480</v>
      </c>
      <c r="J377">
        <v>226</v>
      </c>
      <c r="K377">
        <v>471</v>
      </c>
      <c r="L377">
        <v>48</v>
      </c>
      <c r="M377">
        <v>10</v>
      </c>
      <c r="N377">
        <v>20</v>
      </c>
      <c r="O377">
        <v>5</v>
      </c>
      <c r="P377">
        <v>148</v>
      </c>
      <c r="Q377">
        <v>221</v>
      </c>
      <c r="R377">
        <v>67</v>
      </c>
      <c r="S377">
        <v>1740</v>
      </c>
      <c r="T377">
        <v>2870</v>
      </c>
      <c r="U377">
        <v>4610</v>
      </c>
      <c r="V377">
        <v>49</v>
      </c>
      <c r="W377">
        <v>430</v>
      </c>
      <c r="X377">
        <v>1160</v>
      </c>
      <c r="Y377">
        <v>720</v>
      </c>
      <c r="Z377">
        <v>204</v>
      </c>
      <c r="AA377">
        <v>601</v>
      </c>
      <c r="AB377" t="s">
        <v>1501</v>
      </c>
    </row>
    <row r="378" spans="1:28" x14ac:dyDescent="0.3">
      <c r="A378">
        <v>948</v>
      </c>
      <c r="B378" t="s">
        <v>1465</v>
      </c>
      <c r="C378">
        <v>0</v>
      </c>
      <c r="D378">
        <v>1610612752</v>
      </c>
      <c r="E378" t="s">
        <v>1248</v>
      </c>
      <c r="F378">
        <v>270</v>
      </c>
      <c r="G378">
        <v>63</v>
      </c>
      <c r="H378">
        <v>630</v>
      </c>
      <c r="I378">
        <v>21270</v>
      </c>
      <c r="J378">
        <v>304</v>
      </c>
      <c r="K378">
        <v>580</v>
      </c>
      <c r="L378">
        <v>524</v>
      </c>
      <c r="M378">
        <v>10</v>
      </c>
      <c r="N378">
        <v>80</v>
      </c>
      <c r="O378">
        <v>125</v>
      </c>
      <c r="P378">
        <v>150</v>
      </c>
      <c r="Q378">
        <v>225</v>
      </c>
      <c r="R378">
        <v>667</v>
      </c>
      <c r="S378">
        <v>1960</v>
      </c>
      <c r="T378">
        <v>5270</v>
      </c>
      <c r="U378">
        <v>7230</v>
      </c>
      <c r="V378">
        <v>52</v>
      </c>
      <c r="W378">
        <v>660</v>
      </c>
      <c r="X378">
        <v>1360</v>
      </c>
      <c r="Y378">
        <v>630</v>
      </c>
      <c r="Z378">
        <v>205</v>
      </c>
      <c r="AA378">
        <v>759</v>
      </c>
      <c r="AB378" t="s">
        <v>1501</v>
      </c>
    </row>
    <row r="379" spans="1:28" x14ac:dyDescent="0.3">
      <c r="A379">
        <v>948</v>
      </c>
      <c r="B379" t="s">
        <v>1330</v>
      </c>
      <c r="C379">
        <v>0</v>
      </c>
      <c r="D379">
        <v>1610612752</v>
      </c>
      <c r="E379" t="s">
        <v>1248</v>
      </c>
      <c r="F379">
        <v>280</v>
      </c>
      <c r="G379">
        <v>29</v>
      </c>
      <c r="H379">
        <v>290</v>
      </c>
      <c r="I379">
        <v>10070</v>
      </c>
      <c r="J379">
        <v>130</v>
      </c>
      <c r="K379">
        <v>290</v>
      </c>
      <c r="L379">
        <v>448</v>
      </c>
      <c r="M379">
        <v>0</v>
      </c>
      <c r="N379">
        <v>10</v>
      </c>
      <c r="O379">
        <v>0</v>
      </c>
      <c r="P379">
        <v>62</v>
      </c>
      <c r="Q379">
        <v>99</v>
      </c>
      <c r="R379">
        <v>626</v>
      </c>
      <c r="S379">
        <v>890</v>
      </c>
      <c r="T379">
        <v>2330</v>
      </c>
      <c r="U379">
        <v>3220</v>
      </c>
      <c r="V379">
        <v>33</v>
      </c>
      <c r="W379">
        <v>340</v>
      </c>
      <c r="X379">
        <v>500</v>
      </c>
      <c r="Y379">
        <v>420</v>
      </c>
      <c r="Z379">
        <v>107</v>
      </c>
      <c r="AA379">
        <v>322</v>
      </c>
      <c r="AB379" t="s">
        <v>1501</v>
      </c>
    </row>
    <row r="380" spans="1:28" x14ac:dyDescent="0.3">
      <c r="A380">
        <v>948</v>
      </c>
      <c r="B380" t="s">
        <v>1292</v>
      </c>
      <c r="C380">
        <v>0</v>
      </c>
      <c r="D380">
        <v>1610612752</v>
      </c>
      <c r="E380" t="s">
        <v>1248</v>
      </c>
      <c r="F380">
        <v>390</v>
      </c>
      <c r="G380">
        <v>24</v>
      </c>
      <c r="H380">
        <v>40</v>
      </c>
      <c r="I380">
        <v>2500</v>
      </c>
      <c r="J380">
        <v>17</v>
      </c>
      <c r="K380">
        <v>53</v>
      </c>
      <c r="L380">
        <v>321</v>
      </c>
      <c r="M380">
        <v>0</v>
      </c>
      <c r="N380">
        <v>0</v>
      </c>
      <c r="O380">
        <v>0</v>
      </c>
      <c r="P380">
        <v>8</v>
      </c>
      <c r="Q380">
        <v>19</v>
      </c>
      <c r="R380">
        <v>421</v>
      </c>
      <c r="S380">
        <v>240</v>
      </c>
      <c r="T380">
        <v>560</v>
      </c>
      <c r="U380">
        <v>800</v>
      </c>
      <c r="V380">
        <v>14</v>
      </c>
      <c r="W380">
        <v>70</v>
      </c>
      <c r="X380">
        <v>140</v>
      </c>
      <c r="Y380">
        <v>150</v>
      </c>
      <c r="Z380">
        <v>28</v>
      </c>
      <c r="AA380">
        <v>42</v>
      </c>
      <c r="AB380" t="s">
        <v>1501</v>
      </c>
    </row>
    <row r="381" spans="1:28" x14ac:dyDescent="0.3">
      <c r="A381">
        <v>76105</v>
      </c>
      <c r="B381" t="s">
        <v>1258</v>
      </c>
      <c r="C381">
        <v>0</v>
      </c>
      <c r="D381">
        <v>1610612752</v>
      </c>
      <c r="E381" t="s">
        <v>1248</v>
      </c>
      <c r="F381">
        <v>240</v>
      </c>
      <c r="G381">
        <v>75</v>
      </c>
      <c r="I381">
        <v>25860</v>
      </c>
      <c r="J381">
        <v>454</v>
      </c>
      <c r="K381">
        <v>1070</v>
      </c>
      <c r="L381">
        <v>424</v>
      </c>
      <c r="P381">
        <v>251</v>
      </c>
      <c r="Q381">
        <v>379</v>
      </c>
      <c r="R381">
        <v>662</v>
      </c>
      <c r="U381">
        <v>7290</v>
      </c>
      <c r="V381">
        <v>93</v>
      </c>
      <c r="Z381">
        <v>312</v>
      </c>
      <c r="AA381">
        <v>1159</v>
      </c>
      <c r="AB381" t="s">
        <v>1502</v>
      </c>
    </row>
    <row r="382" spans="1:28" x14ac:dyDescent="0.3">
      <c r="A382">
        <v>76105</v>
      </c>
      <c r="B382" t="s">
        <v>1412</v>
      </c>
      <c r="C382">
        <v>0</v>
      </c>
      <c r="D382">
        <v>1610612752</v>
      </c>
      <c r="E382" t="s">
        <v>1248</v>
      </c>
      <c r="F382">
        <v>250</v>
      </c>
      <c r="G382">
        <v>7</v>
      </c>
      <c r="I382">
        <v>2630</v>
      </c>
      <c r="J382">
        <v>40</v>
      </c>
      <c r="K382">
        <v>90</v>
      </c>
      <c r="L382">
        <v>444</v>
      </c>
      <c r="P382">
        <v>30</v>
      </c>
      <c r="Q382">
        <v>42</v>
      </c>
      <c r="R382">
        <v>714</v>
      </c>
      <c r="U382">
        <v>720</v>
      </c>
      <c r="V382">
        <v>9</v>
      </c>
      <c r="Z382">
        <v>33</v>
      </c>
      <c r="AA382">
        <v>110</v>
      </c>
      <c r="AB382" t="s">
        <v>1502</v>
      </c>
    </row>
    <row r="383" spans="1:28" x14ac:dyDescent="0.3">
      <c r="A383">
        <v>77453</v>
      </c>
      <c r="B383" t="s">
        <v>1339</v>
      </c>
      <c r="C383">
        <v>0</v>
      </c>
      <c r="D383">
        <v>1610612752</v>
      </c>
      <c r="E383" t="s">
        <v>1248</v>
      </c>
      <c r="F383">
        <v>210</v>
      </c>
      <c r="G383">
        <v>6</v>
      </c>
      <c r="J383">
        <v>2</v>
      </c>
      <c r="K383">
        <v>13</v>
      </c>
      <c r="L383">
        <v>154</v>
      </c>
      <c r="P383">
        <v>1</v>
      </c>
      <c r="Q383">
        <v>3</v>
      </c>
      <c r="R383">
        <v>333</v>
      </c>
      <c r="V383">
        <v>0</v>
      </c>
      <c r="Z383">
        <v>6</v>
      </c>
      <c r="AA383">
        <v>5</v>
      </c>
      <c r="AB383" t="s">
        <v>1503</v>
      </c>
    </row>
    <row r="384" spans="1:28" x14ac:dyDescent="0.3">
      <c r="A384">
        <v>77038</v>
      </c>
      <c r="B384" t="s">
        <v>1255</v>
      </c>
      <c r="C384">
        <v>0</v>
      </c>
      <c r="D384">
        <v>1610612752</v>
      </c>
      <c r="E384" t="s">
        <v>1248</v>
      </c>
      <c r="F384">
        <v>230</v>
      </c>
      <c r="G384">
        <v>50</v>
      </c>
      <c r="I384">
        <v>13400</v>
      </c>
      <c r="J384">
        <v>152</v>
      </c>
      <c r="K384">
        <v>419</v>
      </c>
      <c r="L384">
        <v>363</v>
      </c>
      <c r="P384">
        <v>79</v>
      </c>
      <c r="Q384">
        <v>174</v>
      </c>
      <c r="R384">
        <v>454</v>
      </c>
      <c r="U384">
        <v>4300</v>
      </c>
      <c r="V384">
        <v>42</v>
      </c>
      <c r="Z384">
        <v>220</v>
      </c>
      <c r="AA384">
        <v>383</v>
      </c>
      <c r="AB384" t="s">
        <v>1504</v>
      </c>
    </row>
    <row r="385" spans="1:28" x14ac:dyDescent="0.3">
      <c r="A385">
        <v>77038</v>
      </c>
      <c r="B385" t="s">
        <v>1257</v>
      </c>
      <c r="C385">
        <v>0</v>
      </c>
      <c r="D385">
        <v>1610612752</v>
      </c>
      <c r="E385" t="s">
        <v>1248</v>
      </c>
      <c r="F385">
        <v>240</v>
      </c>
      <c r="G385">
        <v>6</v>
      </c>
      <c r="I385">
        <v>890</v>
      </c>
      <c r="J385">
        <v>9</v>
      </c>
      <c r="K385">
        <v>16</v>
      </c>
      <c r="L385">
        <v>563</v>
      </c>
      <c r="P385">
        <v>1</v>
      </c>
      <c r="Q385">
        <v>5</v>
      </c>
      <c r="R385">
        <v>2</v>
      </c>
      <c r="U385">
        <v>150</v>
      </c>
      <c r="V385">
        <v>5</v>
      </c>
      <c r="Z385">
        <v>15</v>
      </c>
      <c r="AA385">
        <v>19</v>
      </c>
      <c r="AB385" t="s">
        <v>1504</v>
      </c>
    </row>
    <row r="386" spans="1:28" x14ac:dyDescent="0.3">
      <c r="A386">
        <v>101109</v>
      </c>
      <c r="B386" t="s">
        <v>1312</v>
      </c>
      <c r="C386">
        <v>0</v>
      </c>
      <c r="D386">
        <v>1610612752</v>
      </c>
      <c r="E386" t="s">
        <v>1248</v>
      </c>
      <c r="F386">
        <v>270</v>
      </c>
      <c r="G386">
        <v>54</v>
      </c>
      <c r="H386">
        <v>540</v>
      </c>
      <c r="I386">
        <v>20740</v>
      </c>
      <c r="J386">
        <v>339</v>
      </c>
      <c r="K386">
        <v>801</v>
      </c>
      <c r="L386">
        <v>423</v>
      </c>
      <c r="M386">
        <v>880</v>
      </c>
      <c r="N386">
        <v>2680</v>
      </c>
      <c r="O386">
        <v>328</v>
      </c>
      <c r="P386">
        <v>157</v>
      </c>
      <c r="Q386">
        <v>181</v>
      </c>
      <c r="R386">
        <v>867</v>
      </c>
      <c r="S386">
        <v>400</v>
      </c>
      <c r="T386">
        <v>1540</v>
      </c>
      <c r="U386">
        <v>1940</v>
      </c>
      <c r="V386">
        <v>488</v>
      </c>
      <c r="W386">
        <v>970</v>
      </c>
      <c r="X386">
        <v>110</v>
      </c>
      <c r="Y386">
        <v>1760</v>
      </c>
      <c r="Z386">
        <v>113</v>
      </c>
      <c r="AA386">
        <v>923</v>
      </c>
      <c r="AB386" t="s">
        <v>1505</v>
      </c>
    </row>
    <row r="387" spans="1:28" x14ac:dyDescent="0.3">
      <c r="A387">
        <v>101109</v>
      </c>
      <c r="B387" t="s">
        <v>1292</v>
      </c>
      <c r="C387">
        <v>0</v>
      </c>
      <c r="D387">
        <v>1610612752</v>
      </c>
      <c r="E387" t="s">
        <v>1248</v>
      </c>
      <c r="F387">
        <v>290</v>
      </c>
      <c r="G387">
        <v>68</v>
      </c>
      <c r="H387">
        <v>680</v>
      </c>
      <c r="I387">
        <v>23130</v>
      </c>
      <c r="J387">
        <v>377</v>
      </c>
      <c r="K387">
        <v>882</v>
      </c>
      <c r="L387">
        <v>427</v>
      </c>
      <c r="M387">
        <v>930</v>
      </c>
      <c r="N387">
        <v>2580</v>
      </c>
      <c r="O387">
        <v>36</v>
      </c>
      <c r="P387">
        <v>101</v>
      </c>
      <c r="Q387">
        <v>128</v>
      </c>
      <c r="R387">
        <v>789</v>
      </c>
      <c r="S387">
        <v>510</v>
      </c>
      <c r="T387">
        <v>1430</v>
      </c>
      <c r="U387">
        <v>1940</v>
      </c>
      <c r="V387">
        <v>372</v>
      </c>
      <c r="W387">
        <v>940</v>
      </c>
      <c r="X387">
        <v>140</v>
      </c>
      <c r="Y387">
        <v>1550</v>
      </c>
      <c r="Z387">
        <v>130</v>
      </c>
      <c r="AA387">
        <v>948</v>
      </c>
      <c r="AB387" t="s">
        <v>1505</v>
      </c>
    </row>
    <row r="388" spans="1:28" x14ac:dyDescent="0.3">
      <c r="A388">
        <v>101109</v>
      </c>
      <c r="B388" t="s">
        <v>1337</v>
      </c>
      <c r="C388">
        <v>0</v>
      </c>
      <c r="D388">
        <v>1610612752</v>
      </c>
      <c r="E388" t="s">
        <v>1248</v>
      </c>
      <c r="F388">
        <v>300</v>
      </c>
      <c r="G388">
        <v>65</v>
      </c>
      <c r="H388">
        <v>650</v>
      </c>
      <c r="I388">
        <v>20170</v>
      </c>
      <c r="J388">
        <v>240</v>
      </c>
      <c r="K388">
        <v>608</v>
      </c>
      <c r="L388">
        <v>395</v>
      </c>
      <c r="M388">
        <v>620</v>
      </c>
      <c r="N388">
        <v>1950</v>
      </c>
      <c r="O388">
        <v>318</v>
      </c>
      <c r="P388">
        <v>88</v>
      </c>
      <c r="Q388">
        <v>122</v>
      </c>
      <c r="R388">
        <v>721</v>
      </c>
      <c r="S388">
        <v>540</v>
      </c>
      <c r="T388">
        <v>1430</v>
      </c>
      <c r="U388">
        <v>1970</v>
      </c>
      <c r="V388">
        <v>365</v>
      </c>
      <c r="W388">
        <v>780</v>
      </c>
      <c r="X388">
        <v>270</v>
      </c>
      <c r="Y388">
        <v>1290</v>
      </c>
      <c r="Z388">
        <v>157</v>
      </c>
      <c r="AA388">
        <v>630</v>
      </c>
      <c r="AB388" t="s">
        <v>1505</v>
      </c>
    </row>
    <row r="389" spans="1:28" x14ac:dyDescent="0.3">
      <c r="A389">
        <v>76328</v>
      </c>
      <c r="B389" t="s">
        <v>1414</v>
      </c>
      <c r="C389">
        <v>0</v>
      </c>
      <c r="D389">
        <v>1610612752</v>
      </c>
      <c r="E389" t="s">
        <v>1248</v>
      </c>
      <c r="F389">
        <v>250</v>
      </c>
      <c r="G389">
        <v>2</v>
      </c>
      <c r="I389">
        <v>70</v>
      </c>
      <c r="J389">
        <v>0</v>
      </c>
      <c r="K389">
        <v>1</v>
      </c>
      <c r="L389">
        <v>0</v>
      </c>
      <c r="P389">
        <v>0</v>
      </c>
      <c r="Q389">
        <v>0</v>
      </c>
      <c r="U389">
        <v>10</v>
      </c>
      <c r="V389">
        <v>1</v>
      </c>
      <c r="Z389">
        <v>1</v>
      </c>
      <c r="AA389">
        <v>0</v>
      </c>
      <c r="AB389" t="s">
        <v>1506</v>
      </c>
    </row>
    <row r="390" spans="1:28" x14ac:dyDescent="0.3">
      <c r="A390">
        <v>77435</v>
      </c>
      <c r="B390" t="s">
        <v>1469</v>
      </c>
      <c r="C390">
        <v>0</v>
      </c>
      <c r="D390">
        <v>1610612752</v>
      </c>
      <c r="E390" t="s">
        <v>1248</v>
      </c>
      <c r="F390">
        <v>260</v>
      </c>
      <c r="G390">
        <v>8</v>
      </c>
      <c r="H390">
        <v>0</v>
      </c>
      <c r="I390">
        <v>650</v>
      </c>
      <c r="J390">
        <v>12</v>
      </c>
      <c r="K390">
        <v>30</v>
      </c>
      <c r="L390">
        <v>4</v>
      </c>
      <c r="M390">
        <v>0</v>
      </c>
      <c r="N390">
        <v>0</v>
      </c>
      <c r="O390">
        <v>0</v>
      </c>
      <c r="P390">
        <v>11</v>
      </c>
      <c r="Q390">
        <v>13</v>
      </c>
      <c r="R390">
        <v>846</v>
      </c>
      <c r="S390">
        <v>50</v>
      </c>
      <c r="T390">
        <v>60</v>
      </c>
      <c r="U390">
        <v>110</v>
      </c>
      <c r="V390">
        <v>3</v>
      </c>
      <c r="W390">
        <v>10</v>
      </c>
      <c r="X390">
        <v>0</v>
      </c>
      <c r="Y390">
        <v>60</v>
      </c>
      <c r="Z390">
        <v>17</v>
      </c>
      <c r="AA390">
        <v>35</v>
      </c>
      <c r="AB390" t="s">
        <v>1507</v>
      </c>
    </row>
    <row r="391" spans="1:28" x14ac:dyDescent="0.3">
      <c r="A391">
        <v>201941</v>
      </c>
      <c r="B391" t="s">
        <v>1305</v>
      </c>
      <c r="C391">
        <v>0</v>
      </c>
      <c r="D391">
        <v>1610612752</v>
      </c>
      <c r="E391" t="s">
        <v>1248</v>
      </c>
      <c r="F391">
        <v>220</v>
      </c>
      <c r="G391">
        <v>24</v>
      </c>
      <c r="H391">
        <v>0</v>
      </c>
      <c r="I391">
        <v>2520</v>
      </c>
      <c r="J391">
        <v>41</v>
      </c>
      <c r="K391">
        <v>92</v>
      </c>
      <c r="L391">
        <v>446</v>
      </c>
      <c r="M391">
        <v>0</v>
      </c>
      <c r="N391">
        <v>20</v>
      </c>
      <c r="O391">
        <v>0</v>
      </c>
      <c r="P391">
        <v>15</v>
      </c>
      <c r="Q391">
        <v>21</v>
      </c>
      <c r="R391">
        <v>714</v>
      </c>
      <c r="S391">
        <v>320</v>
      </c>
      <c r="T391">
        <v>290</v>
      </c>
      <c r="U391">
        <v>610</v>
      </c>
      <c r="V391">
        <v>7</v>
      </c>
      <c r="W391">
        <v>100</v>
      </c>
      <c r="X391">
        <v>90</v>
      </c>
      <c r="Y391">
        <v>120</v>
      </c>
      <c r="Z391">
        <v>37</v>
      </c>
      <c r="AA391">
        <v>97</v>
      </c>
      <c r="AB391" t="s">
        <v>1508</v>
      </c>
    </row>
    <row r="392" spans="1:28" x14ac:dyDescent="0.3">
      <c r="A392">
        <v>76704</v>
      </c>
      <c r="B392" t="s">
        <v>1362</v>
      </c>
      <c r="C392">
        <v>0</v>
      </c>
      <c r="D392">
        <v>1610612752</v>
      </c>
      <c r="E392" t="s">
        <v>1248</v>
      </c>
      <c r="F392">
        <v>240</v>
      </c>
      <c r="G392">
        <v>72</v>
      </c>
      <c r="I392">
        <v>20240</v>
      </c>
      <c r="J392">
        <v>364</v>
      </c>
      <c r="K392">
        <v>832</v>
      </c>
      <c r="L392">
        <v>438</v>
      </c>
      <c r="P392">
        <v>310</v>
      </c>
      <c r="Q392">
        <v>498</v>
      </c>
      <c r="R392">
        <v>622</v>
      </c>
      <c r="U392">
        <v>8180</v>
      </c>
      <c r="V392">
        <v>67</v>
      </c>
      <c r="Z392">
        <v>286</v>
      </c>
      <c r="AA392">
        <v>1038</v>
      </c>
      <c r="AB392" t="s">
        <v>1509</v>
      </c>
    </row>
    <row r="393" spans="1:28" x14ac:dyDescent="0.3">
      <c r="A393">
        <v>76704</v>
      </c>
      <c r="B393" t="s">
        <v>1315</v>
      </c>
      <c r="C393">
        <v>0</v>
      </c>
      <c r="D393">
        <v>1610612752</v>
      </c>
      <c r="E393" t="s">
        <v>1248</v>
      </c>
      <c r="F393">
        <v>250</v>
      </c>
      <c r="G393">
        <v>72</v>
      </c>
      <c r="I393">
        <v>17020</v>
      </c>
      <c r="J393">
        <v>277</v>
      </c>
      <c r="K393">
        <v>668</v>
      </c>
      <c r="L393">
        <v>415</v>
      </c>
      <c r="P393">
        <v>331</v>
      </c>
      <c r="Q393">
        <v>469</v>
      </c>
      <c r="R393">
        <v>706</v>
      </c>
      <c r="U393">
        <v>6230</v>
      </c>
      <c r="V393">
        <v>47</v>
      </c>
      <c r="Z393">
        <v>293</v>
      </c>
      <c r="AA393">
        <v>885</v>
      </c>
      <c r="AB393" t="s">
        <v>1509</v>
      </c>
    </row>
    <row r="394" spans="1:28" x14ac:dyDescent="0.3">
      <c r="A394">
        <v>76704</v>
      </c>
      <c r="B394" t="s">
        <v>1318</v>
      </c>
      <c r="C394">
        <v>0</v>
      </c>
      <c r="D394">
        <v>1610612752</v>
      </c>
      <c r="E394" t="s">
        <v>1248</v>
      </c>
      <c r="F394">
        <v>260</v>
      </c>
      <c r="G394">
        <v>72</v>
      </c>
      <c r="I394">
        <v>16220</v>
      </c>
      <c r="J394">
        <v>295</v>
      </c>
      <c r="K394">
        <v>709</v>
      </c>
      <c r="L394">
        <v>416</v>
      </c>
      <c r="P394">
        <v>277</v>
      </c>
      <c r="Q394">
        <v>371</v>
      </c>
      <c r="R394">
        <v>747</v>
      </c>
      <c r="U394">
        <v>5870</v>
      </c>
      <c r="V394">
        <v>36</v>
      </c>
      <c r="Z394">
        <v>284</v>
      </c>
      <c r="AA394">
        <v>867</v>
      </c>
      <c r="AB394" t="s">
        <v>1509</v>
      </c>
    </row>
    <row r="395" spans="1:28" x14ac:dyDescent="0.3">
      <c r="A395">
        <v>76704</v>
      </c>
      <c r="B395" t="s">
        <v>1320</v>
      </c>
      <c r="C395">
        <v>0</v>
      </c>
      <c r="D395">
        <v>1610612752</v>
      </c>
      <c r="E395" t="s">
        <v>1248</v>
      </c>
      <c r="F395">
        <v>270</v>
      </c>
      <c r="G395">
        <v>72</v>
      </c>
      <c r="I395">
        <v>17090</v>
      </c>
      <c r="J395">
        <v>304</v>
      </c>
      <c r="K395">
        <v>688</v>
      </c>
      <c r="L395">
        <v>442</v>
      </c>
      <c r="P395">
        <v>271</v>
      </c>
      <c r="Q395">
        <v>389</v>
      </c>
      <c r="R395">
        <v>697</v>
      </c>
      <c r="U395">
        <v>7470</v>
      </c>
      <c r="V395">
        <v>52</v>
      </c>
      <c r="Z395">
        <v>283</v>
      </c>
      <c r="AA395">
        <v>879</v>
      </c>
      <c r="AB395" t="s">
        <v>1509</v>
      </c>
    </row>
    <row r="396" spans="1:28" x14ac:dyDescent="0.3">
      <c r="A396">
        <v>76704</v>
      </c>
      <c r="B396" t="s">
        <v>1250</v>
      </c>
      <c r="C396">
        <v>0</v>
      </c>
      <c r="D396">
        <v>1610612752</v>
      </c>
      <c r="E396" t="s">
        <v>1248</v>
      </c>
      <c r="F396">
        <v>280</v>
      </c>
      <c r="G396">
        <v>72</v>
      </c>
      <c r="I396">
        <v>15880</v>
      </c>
      <c r="J396">
        <v>260</v>
      </c>
      <c r="K396">
        <v>700</v>
      </c>
      <c r="L396">
        <v>371</v>
      </c>
      <c r="P396">
        <v>229</v>
      </c>
      <c r="Q396">
        <v>321</v>
      </c>
      <c r="R396">
        <v>713</v>
      </c>
      <c r="U396">
        <v>5690</v>
      </c>
      <c r="V396">
        <v>49</v>
      </c>
      <c r="Z396">
        <v>275</v>
      </c>
      <c r="AA396">
        <v>749</v>
      </c>
      <c r="AB396" t="s">
        <v>1509</v>
      </c>
    </row>
    <row r="397" spans="1:28" x14ac:dyDescent="0.3">
      <c r="A397">
        <v>101181</v>
      </c>
      <c r="B397" t="s">
        <v>1343</v>
      </c>
      <c r="C397">
        <v>0</v>
      </c>
      <c r="D397">
        <v>1610612752</v>
      </c>
      <c r="E397" t="s">
        <v>1248</v>
      </c>
      <c r="F397">
        <v>330</v>
      </c>
      <c r="G397">
        <v>42</v>
      </c>
      <c r="H397">
        <v>420</v>
      </c>
      <c r="I397">
        <v>12700</v>
      </c>
      <c r="J397">
        <v>147</v>
      </c>
      <c r="K397">
        <v>354</v>
      </c>
      <c r="L397">
        <v>415</v>
      </c>
      <c r="M397">
        <v>590</v>
      </c>
      <c r="N397">
        <v>1420</v>
      </c>
      <c r="O397">
        <v>415</v>
      </c>
      <c r="P397">
        <v>29</v>
      </c>
      <c r="Q397">
        <v>32</v>
      </c>
      <c r="R397">
        <v>906</v>
      </c>
      <c r="S397">
        <v>190</v>
      </c>
      <c r="T397">
        <v>1050</v>
      </c>
      <c r="U397">
        <v>1240</v>
      </c>
      <c r="V397">
        <v>198</v>
      </c>
      <c r="W397">
        <v>310</v>
      </c>
      <c r="X397">
        <v>0</v>
      </c>
      <c r="Y397">
        <v>750</v>
      </c>
      <c r="Z397">
        <v>76</v>
      </c>
      <c r="AA397">
        <v>382</v>
      </c>
      <c r="AB397" t="s">
        <v>1510</v>
      </c>
    </row>
    <row r="398" spans="1:28" x14ac:dyDescent="0.3">
      <c r="A398">
        <v>101181</v>
      </c>
      <c r="B398" t="s">
        <v>1279</v>
      </c>
      <c r="C398">
        <v>0</v>
      </c>
      <c r="D398">
        <v>1610612752</v>
      </c>
      <c r="E398" t="s">
        <v>1248</v>
      </c>
      <c r="F398">
        <v>340</v>
      </c>
      <c r="G398">
        <v>72</v>
      </c>
      <c r="H398">
        <v>720</v>
      </c>
      <c r="I398">
        <v>20240</v>
      </c>
      <c r="J398">
        <v>209</v>
      </c>
      <c r="K398">
        <v>455</v>
      </c>
      <c r="L398">
        <v>459</v>
      </c>
      <c r="M398">
        <v>840</v>
      </c>
      <c r="N398">
        <v>2030</v>
      </c>
      <c r="O398">
        <v>414</v>
      </c>
      <c r="P398">
        <v>42</v>
      </c>
      <c r="Q398">
        <v>48</v>
      </c>
      <c r="R398">
        <v>875</v>
      </c>
      <c r="S398">
        <v>220</v>
      </c>
      <c r="T398">
        <v>2070</v>
      </c>
      <c r="U398">
        <v>2290</v>
      </c>
      <c r="V398">
        <v>298</v>
      </c>
      <c r="W398">
        <v>630</v>
      </c>
      <c r="X398">
        <v>70</v>
      </c>
      <c r="Y398">
        <v>870</v>
      </c>
      <c r="Z398">
        <v>135</v>
      </c>
      <c r="AA398">
        <v>544</v>
      </c>
      <c r="AB398" t="s">
        <v>1510</v>
      </c>
    </row>
    <row r="399" spans="1:28" x14ac:dyDescent="0.3">
      <c r="A399">
        <v>77425</v>
      </c>
      <c r="B399" t="s">
        <v>1299</v>
      </c>
      <c r="C399">
        <v>0</v>
      </c>
      <c r="D399">
        <v>1610612752</v>
      </c>
      <c r="E399" t="s">
        <v>1248</v>
      </c>
      <c r="F399">
        <v>250</v>
      </c>
      <c r="G399">
        <v>24</v>
      </c>
      <c r="I399">
        <v>0</v>
      </c>
      <c r="J399">
        <v>117</v>
      </c>
      <c r="K399">
        <v>311</v>
      </c>
      <c r="L399">
        <v>376</v>
      </c>
      <c r="P399">
        <v>90</v>
      </c>
      <c r="Q399">
        <v>112</v>
      </c>
      <c r="R399">
        <v>804</v>
      </c>
      <c r="U399">
        <v>0</v>
      </c>
      <c r="V399">
        <v>34</v>
      </c>
      <c r="Z399">
        <v>74</v>
      </c>
      <c r="AA399">
        <v>324</v>
      </c>
      <c r="AB399" t="s">
        <v>1511</v>
      </c>
    </row>
    <row r="400" spans="1:28" x14ac:dyDescent="0.3">
      <c r="A400">
        <v>77425</v>
      </c>
      <c r="B400" t="s">
        <v>1266</v>
      </c>
      <c r="C400">
        <v>0</v>
      </c>
      <c r="D400">
        <v>1610612752</v>
      </c>
      <c r="E400" t="s">
        <v>1248</v>
      </c>
      <c r="F400">
        <v>260</v>
      </c>
      <c r="G400">
        <v>58</v>
      </c>
      <c r="J400">
        <v>91</v>
      </c>
      <c r="K400">
        <v>283</v>
      </c>
      <c r="L400">
        <v>322</v>
      </c>
      <c r="P400">
        <v>86</v>
      </c>
      <c r="Q400">
        <v>108</v>
      </c>
      <c r="R400">
        <v>796</v>
      </c>
      <c r="V400">
        <v>90</v>
      </c>
      <c r="Z400">
        <v>117</v>
      </c>
      <c r="AA400">
        <v>268</v>
      </c>
      <c r="AB400" t="s">
        <v>1511</v>
      </c>
    </row>
    <row r="401" spans="1:28" x14ac:dyDescent="0.3">
      <c r="A401">
        <v>77425</v>
      </c>
      <c r="B401" t="s">
        <v>1378</v>
      </c>
      <c r="C401">
        <v>0</v>
      </c>
      <c r="D401">
        <v>1610612752</v>
      </c>
      <c r="E401" t="s">
        <v>1248</v>
      </c>
      <c r="F401">
        <v>270</v>
      </c>
      <c r="G401">
        <v>64</v>
      </c>
      <c r="J401">
        <v>153</v>
      </c>
      <c r="K401">
        <v>379</v>
      </c>
      <c r="L401">
        <v>404</v>
      </c>
      <c r="P401">
        <v>124</v>
      </c>
      <c r="Q401">
        <v>160</v>
      </c>
      <c r="R401">
        <v>775</v>
      </c>
      <c r="U401">
        <v>1250</v>
      </c>
      <c r="V401">
        <v>115</v>
      </c>
      <c r="Z401">
        <v>160</v>
      </c>
      <c r="AA401">
        <v>430</v>
      </c>
      <c r="AB401" t="s">
        <v>1511</v>
      </c>
    </row>
    <row r="402" spans="1:28" x14ac:dyDescent="0.3">
      <c r="A402">
        <v>77425</v>
      </c>
      <c r="B402" t="s">
        <v>1247</v>
      </c>
      <c r="C402">
        <v>0</v>
      </c>
      <c r="D402">
        <v>1610612752</v>
      </c>
      <c r="E402" t="s">
        <v>1248</v>
      </c>
      <c r="F402">
        <v>280</v>
      </c>
      <c r="G402">
        <v>62</v>
      </c>
      <c r="I402">
        <v>13170</v>
      </c>
      <c r="J402">
        <v>184</v>
      </c>
      <c r="K402">
        <v>476</v>
      </c>
      <c r="L402">
        <v>387</v>
      </c>
      <c r="P402">
        <v>90</v>
      </c>
      <c r="Q402">
        <v>119</v>
      </c>
      <c r="R402">
        <v>756</v>
      </c>
      <c r="U402">
        <v>1250</v>
      </c>
      <c r="V402">
        <v>123</v>
      </c>
      <c r="Z402">
        <v>165</v>
      </c>
      <c r="AA402">
        <v>458</v>
      </c>
      <c r="AB402" t="s">
        <v>1511</v>
      </c>
    </row>
    <row r="403" spans="1:28" x14ac:dyDescent="0.3">
      <c r="A403">
        <v>1628439</v>
      </c>
      <c r="B403" t="s">
        <v>1259</v>
      </c>
      <c r="C403">
        <v>0</v>
      </c>
      <c r="D403">
        <v>1610612752</v>
      </c>
      <c r="E403" t="s">
        <v>1248</v>
      </c>
      <c r="F403">
        <v>230</v>
      </c>
      <c r="G403">
        <v>18</v>
      </c>
      <c r="H403">
        <v>0</v>
      </c>
      <c r="I403">
        <v>2390</v>
      </c>
      <c r="J403">
        <v>33</v>
      </c>
      <c r="K403">
        <v>72</v>
      </c>
      <c r="L403">
        <v>458</v>
      </c>
      <c r="M403">
        <v>20</v>
      </c>
      <c r="N403">
        <v>90</v>
      </c>
      <c r="O403">
        <v>222</v>
      </c>
      <c r="P403">
        <v>12</v>
      </c>
      <c r="Q403">
        <v>18</v>
      </c>
      <c r="R403">
        <v>667</v>
      </c>
      <c r="S403">
        <v>100</v>
      </c>
      <c r="T403">
        <v>310</v>
      </c>
      <c r="U403">
        <v>410</v>
      </c>
      <c r="V403">
        <v>16</v>
      </c>
      <c r="W403">
        <v>20</v>
      </c>
      <c r="X403">
        <v>40</v>
      </c>
      <c r="Y403">
        <v>160</v>
      </c>
      <c r="Z403">
        <v>45</v>
      </c>
      <c r="AA403">
        <v>80</v>
      </c>
      <c r="AB403" t="s">
        <v>1512</v>
      </c>
    </row>
    <row r="404" spans="1:28" x14ac:dyDescent="0.3">
      <c r="A404">
        <v>1628439</v>
      </c>
      <c r="B404" t="s">
        <v>1287</v>
      </c>
      <c r="C404">
        <v>0</v>
      </c>
      <c r="D404">
        <v>1610612752</v>
      </c>
      <c r="E404" t="s">
        <v>1248</v>
      </c>
      <c r="F404">
        <v>240</v>
      </c>
      <c r="G404">
        <v>3</v>
      </c>
      <c r="H404">
        <v>0</v>
      </c>
      <c r="I404">
        <v>320</v>
      </c>
      <c r="J404">
        <v>4</v>
      </c>
      <c r="K404">
        <v>8</v>
      </c>
      <c r="L404">
        <v>5</v>
      </c>
      <c r="M404">
        <v>0</v>
      </c>
      <c r="N404">
        <v>0</v>
      </c>
      <c r="O404">
        <v>0</v>
      </c>
      <c r="P404">
        <v>4</v>
      </c>
      <c r="Q404">
        <v>5</v>
      </c>
      <c r="R404">
        <v>8</v>
      </c>
      <c r="S404">
        <v>20</v>
      </c>
      <c r="T404">
        <v>50</v>
      </c>
      <c r="U404">
        <v>70</v>
      </c>
      <c r="V404">
        <v>2</v>
      </c>
      <c r="W404">
        <v>10</v>
      </c>
      <c r="X404">
        <v>30</v>
      </c>
      <c r="Y404">
        <v>10</v>
      </c>
      <c r="Z404">
        <v>5</v>
      </c>
      <c r="AA404">
        <v>12</v>
      </c>
      <c r="AB404" t="s">
        <v>1512</v>
      </c>
    </row>
    <row r="405" spans="1:28" x14ac:dyDescent="0.3">
      <c r="A405">
        <v>76694</v>
      </c>
      <c r="B405" t="s">
        <v>1250</v>
      </c>
      <c r="C405">
        <v>0</v>
      </c>
      <c r="D405">
        <v>1610612752</v>
      </c>
      <c r="E405" t="s">
        <v>1248</v>
      </c>
      <c r="F405">
        <v>220</v>
      </c>
      <c r="G405">
        <v>72</v>
      </c>
      <c r="I405">
        <v>15450</v>
      </c>
      <c r="J405">
        <v>176</v>
      </c>
      <c r="K405">
        <v>498</v>
      </c>
      <c r="L405">
        <v>353</v>
      </c>
      <c r="P405">
        <v>83</v>
      </c>
      <c r="Q405">
        <v>99</v>
      </c>
      <c r="R405">
        <v>838</v>
      </c>
      <c r="U405">
        <v>3150</v>
      </c>
      <c r="V405">
        <v>66</v>
      </c>
      <c r="Z405">
        <v>152</v>
      </c>
      <c r="AA405">
        <v>435</v>
      </c>
      <c r="AB405" t="s">
        <v>1513</v>
      </c>
    </row>
    <row r="406" spans="1:28" x14ac:dyDescent="0.3">
      <c r="A406">
        <v>76694</v>
      </c>
      <c r="B406" t="s">
        <v>1321</v>
      </c>
      <c r="C406">
        <v>0</v>
      </c>
      <c r="D406">
        <v>1610612752</v>
      </c>
      <c r="E406" t="s">
        <v>1248</v>
      </c>
      <c r="F406">
        <v>230</v>
      </c>
      <c r="G406">
        <v>67</v>
      </c>
      <c r="I406">
        <v>15360</v>
      </c>
      <c r="J406">
        <v>212</v>
      </c>
      <c r="K406">
        <v>568</v>
      </c>
      <c r="L406">
        <v>373</v>
      </c>
      <c r="P406">
        <v>70</v>
      </c>
      <c r="Q406">
        <v>83</v>
      </c>
      <c r="R406">
        <v>843</v>
      </c>
      <c r="U406">
        <v>3850</v>
      </c>
      <c r="V406">
        <v>57</v>
      </c>
      <c r="Z406">
        <v>130</v>
      </c>
      <c r="AA406">
        <v>494</v>
      </c>
      <c r="AB406" t="s">
        <v>1513</v>
      </c>
    </row>
    <row r="407" spans="1:28" x14ac:dyDescent="0.3">
      <c r="A407">
        <v>76322</v>
      </c>
      <c r="B407" t="s">
        <v>1339</v>
      </c>
      <c r="C407">
        <v>0</v>
      </c>
      <c r="D407">
        <v>1610612752</v>
      </c>
      <c r="E407" t="s">
        <v>1248</v>
      </c>
      <c r="F407">
        <v>240</v>
      </c>
      <c r="G407">
        <v>60</v>
      </c>
      <c r="J407">
        <v>175</v>
      </c>
      <c r="K407">
        <v>583</v>
      </c>
      <c r="L407">
        <v>3</v>
      </c>
      <c r="P407">
        <v>103</v>
      </c>
      <c r="Q407">
        <v>160</v>
      </c>
      <c r="R407">
        <v>644</v>
      </c>
      <c r="V407">
        <v>35</v>
      </c>
      <c r="Z407">
        <v>90</v>
      </c>
      <c r="AA407">
        <v>453</v>
      </c>
      <c r="AB407" t="s">
        <v>1514</v>
      </c>
    </row>
    <row r="408" spans="1:28" x14ac:dyDescent="0.3">
      <c r="A408">
        <v>76322</v>
      </c>
      <c r="B408" t="s">
        <v>1297</v>
      </c>
      <c r="C408">
        <v>0</v>
      </c>
      <c r="D408">
        <v>1610612752</v>
      </c>
      <c r="E408" t="s">
        <v>1248</v>
      </c>
      <c r="F408">
        <v>250</v>
      </c>
      <c r="G408">
        <v>47</v>
      </c>
      <c r="J408">
        <v>117</v>
      </c>
      <c r="K408">
        <v>410</v>
      </c>
      <c r="L408">
        <v>285</v>
      </c>
      <c r="P408">
        <v>65</v>
      </c>
      <c r="Q408">
        <v>103</v>
      </c>
      <c r="R408">
        <v>631</v>
      </c>
      <c r="V408">
        <v>17</v>
      </c>
      <c r="Z408">
        <v>56</v>
      </c>
      <c r="AA408">
        <v>299</v>
      </c>
      <c r="AB408" t="s">
        <v>1514</v>
      </c>
    </row>
    <row r="409" spans="1:28" x14ac:dyDescent="0.3">
      <c r="A409">
        <v>76322</v>
      </c>
      <c r="B409" t="s">
        <v>1299</v>
      </c>
      <c r="C409">
        <v>0</v>
      </c>
      <c r="D409">
        <v>1610612752</v>
      </c>
      <c r="E409" t="s">
        <v>1248</v>
      </c>
      <c r="F409">
        <v>260</v>
      </c>
      <c r="G409">
        <v>35</v>
      </c>
      <c r="I409">
        <v>0</v>
      </c>
      <c r="J409">
        <v>77</v>
      </c>
      <c r="K409">
        <v>270</v>
      </c>
      <c r="L409">
        <v>285</v>
      </c>
      <c r="P409">
        <v>46</v>
      </c>
      <c r="Q409">
        <v>81</v>
      </c>
      <c r="R409">
        <v>568</v>
      </c>
      <c r="U409">
        <v>0</v>
      </c>
      <c r="V409">
        <v>54</v>
      </c>
      <c r="Z409">
        <v>53</v>
      </c>
      <c r="AA409">
        <v>200</v>
      </c>
      <c r="AB409" t="s">
        <v>1514</v>
      </c>
    </row>
    <row r="410" spans="1:28" x14ac:dyDescent="0.3">
      <c r="A410">
        <v>335</v>
      </c>
      <c r="B410" t="s">
        <v>1276</v>
      </c>
      <c r="C410">
        <v>0</v>
      </c>
      <c r="D410">
        <v>1610612752</v>
      </c>
      <c r="E410" t="s">
        <v>1248</v>
      </c>
      <c r="F410">
        <v>290</v>
      </c>
      <c r="G410">
        <v>27</v>
      </c>
      <c r="H410">
        <v>20</v>
      </c>
      <c r="I410">
        <v>4960</v>
      </c>
      <c r="J410">
        <v>56</v>
      </c>
      <c r="K410">
        <v>133</v>
      </c>
      <c r="L410">
        <v>421</v>
      </c>
      <c r="M410">
        <v>50</v>
      </c>
      <c r="N410">
        <v>250</v>
      </c>
      <c r="O410">
        <v>2</v>
      </c>
      <c r="P410">
        <v>19</v>
      </c>
      <c r="Q410">
        <v>31</v>
      </c>
      <c r="R410">
        <v>613</v>
      </c>
      <c r="S410">
        <v>130</v>
      </c>
      <c r="T410">
        <v>470</v>
      </c>
      <c r="U410">
        <v>600</v>
      </c>
      <c r="V410">
        <v>48</v>
      </c>
      <c r="W410">
        <v>170</v>
      </c>
      <c r="X410">
        <v>80</v>
      </c>
      <c r="Y410">
        <v>240</v>
      </c>
      <c r="Z410">
        <v>59</v>
      </c>
      <c r="AA410">
        <v>136</v>
      </c>
      <c r="AB410" t="s">
        <v>1515</v>
      </c>
    </row>
    <row r="411" spans="1:28" x14ac:dyDescent="0.3">
      <c r="A411">
        <v>77420</v>
      </c>
      <c r="B411" t="s">
        <v>1284</v>
      </c>
      <c r="C411">
        <v>0</v>
      </c>
      <c r="D411">
        <v>1610612752</v>
      </c>
      <c r="E411" t="s">
        <v>1248</v>
      </c>
      <c r="F411">
        <v>300</v>
      </c>
      <c r="G411">
        <v>80</v>
      </c>
      <c r="H411">
        <v>740</v>
      </c>
      <c r="I411">
        <v>26710</v>
      </c>
      <c r="J411">
        <v>505</v>
      </c>
      <c r="K411">
        <v>1001</v>
      </c>
      <c r="L411">
        <v>504</v>
      </c>
      <c r="M411">
        <v>0</v>
      </c>
      <c r="N411">
        <v>30</v>
      </c>
      <c r="O411">
        <v>0</v>
      </c>
      <c r="P411">
        <v>253</v>
      </c>
      <c r="Q411">
        <v>349</v>
      </c>
      <c r="R411">
        <v>725</v>
      </c>
      <c r="S411">
        <v>2740</v>
      </c>
      <c r="T411">
        <v>6290</v>
      </c>
      <c r="U411">
        <v>9030</v>
      </c>
      <c r="V411">
        <v>179</v>
      </c>
      <c r="W411">
        <v>680</v>
      </c>
      <c r="X411">
        <v>700</v>
      </c>
      <c r="Y411">
        <v>1730</v>
      </c>
      <c r="Z411">
        <v>309</v>
      </c>
      <c r="AA411">
        <v>1263</v>
      </c>
      <c r="AB411" t="s">
        <v>1516</v>
      </c>
    </row>
    <row r="412" spans="1:28" x14ac:dyDescent="0.3">
      <c r="A412">
        <v>1626209</v>
      </c>
      <c r="B412" t="s">
        <v>1287</v>
      </c>
      <c r="C412">
        <v>0</v>
      </c>
      <c r="D412">
        <v>1610612752</v>
      </c>
      <c r="E412" t="s">
        <v>1248</v>
      </c>
      <c r="F412">
        <v>240</v>
      </c>
      <c r="G412">
        <v>58</v>
      </c>
      <c r="H412">
        <v>240</v>
      </c>
      <c r="I412">
        <v>12060</v>
      </c>
      <c r="J412">
        <v>191</v>
      </c>
      <c r="K412">
        <v>464</v>
      </c>
      <c r="L412">
        <v>412</v>
      </c>
      <c r="M412">
        <v>420</v>
      </c>
      <c r="N412">
        <v>1520</v>
      </c>
      <c r="O412">
        <v>276</v>
      </c>
      <c r="P412">
        <v>87</v>
      </c>
      <c r="Q412">
        <v>114</v>
      </c>
      <c r="R412">
        <v>763</v>
      </c>
      <c r="S412">
        <v>280</v>
      </c>
      <c r="T412">
        <v>2110</v>
      </c>
      <c r="U412">
        <v>2390</v>
      </c>
      <c r="V412">
        <v>88</v>
      </c>
      <c r="W412">
        <v>570</v>
      </c>
      <c r="X412">
        <v>80</v>
      </c>
      <c r="Y412">
        <v>880</v>
      </c>
      <c r="Z412">
        <v>110</v>
      </c>
      <c r="AA412">
        <v>511</v>
      </c>
      <c r="AB412" t="s">
        <v>1517</v>
      </c>
    </row>
    <row r="413" spans="1:28" x14ac:dyDescent="0.3">
      <c r="A413">
        <v>121</v>
      </c>
      <c r="B413" t="s">
        <v>1392</v>
      </c>
      <c r="C413">
        <v>0</v>
      </c>
      <c r="D413">
        <v>1610612752</v>
      </c>
      <c r="E413" t="s">
        <v>1248</v>
      </c>
      <c r="F413">
        <v>230</v>
      </c>
      <c r="G413">
        <v>50</v>
      </c>
      <c r="H413">
        <v>500</v>
      </c>
      <c r="I413">
        <v>17710</v>
      </c>
      <c r="J413">
        <v>386</v>
      </c>
      <c r="K413">
        <v>814</v>
      </c>
      <c r="L413">
        <v>474</v>
      </c>
      <c r="M413">
        <v>0</v>
      </c>
      <c r="N413">
        <v>50</v>
      </c>
      <c r="O413">
        <v>0</v>
      </c>
      <c r="P413">
        <v>226</v>
      </c>
      <c r="Q413">
        <v>306</v>
      </c>
      <c r="R413">
        <v>739</v>
      </c>
      <c r="S413">
        <v>1240</v>
      </c>
      <c r="T413">
        <v>3270</v>
      </c>
      <c r="U413">
        <v>4510</v>
      </c>
      <c r="V413">
        <v>102</v>
      </c>
      <c r="W413">
        <v>540</v>
      </c>
      <c r="X413">
        <v>1030</v>
      </c>
      <c r="Y413">
        <v>1720</v>
      </c>
      <c r="Z413">
        <v>191</v>
      </c>
      <c r="AA413">
        <v>998</v>
      </c>
      <c r="AB413" t="s">
        <v>1518</v>
      </c>
    </row>
    <row r="414" spans="1:28" x14ac:dyDescent="0.3">
      <c r="A414">
        <v>121</v>
      </c>
      <c r="B414" t="s">
        <v>1394</v>
      </c>
      <c r="C414">
        <v>0</v>
      </c>
      <c r="D414">
        <v>1610612752</v>
      </c>
      <c r="E414" t="s">
        <v>1248</v>
      </c>
      <c r="F414">
        <v>240</v>
      </c>
      <c r="G414">
        <v>63</v>
      </c>
      <c r="H414">
        <v>630</v>
      </c>
      <c r="I414">
        <v>22060</v>
      </c>
      <c r="J414">
        <v>530</v>
      </c>
      <c r="K414">
        <v>1053</v>
      </c>
      <c r="L414">
        <v>503</v>
      </c>
      <c r="M414">
        <v>0</v>
      </c>
      <c r="N414">
        <v>70</v>
      </c>
      <c r="O414">
        <v>0</v>
      </c>
      <c r="P414">
        <v>296</v>
      </c>
      <c r="Q414">
        <v>415</v>
      </c>
      <c r="R414">
        <v>713</v>
      </c>
      <c r="S414">
        <v>1570</v>
      </c>
      <c r="T414">
        <v>3980</v>
      </c>
      <c r="U414">
        <v>5550</v>
      </c>
      <c r="V414">
        <v>104</v>
      </c>
      <c r="W414">
        <v>890</v>
      </c>
      <c r="X414">
        <v>1470</v>
      </c>
      <c r="Y414">
        <v>2290</v>
      </c>
      <c r="Z414">
        <v>248</v>
      </c>
      <c r="AA414">
        <v>1356</v>
      </c>
      <c r="AB414" t="s">
        <v>1518</v>
      </c>
    </row>
    <row r="415" spans="1:28" x14ac:dyDescent="0.3">
      <c r="A415">
        <v>121</v>
      </c>
      <c r="B415" t="s">
        <v>1253</v>
      </c>
      <c r="C415">
        <v>0</v>
      </c>
      <c r="D415">
        <v>1610612752</v>
      </c>
      <c r="E415" t="s">
        <v>1248</v>
      </c>
      <c r="F415">
        <v>250</v>
      </c>
      <c r="G415">
        <v>82</v>
      </c>
      <c r="H415">
        <v>820</v>
      </c>
      <c r="I415">
        <v>25460</v>
      </c>
      <c r="J415">
        <v>656</v>
      </c>
      <c r="K415">
        <v>1183</v>
      </c>
      <c r="L415">
        <v>555</v>
      </c>
      <c r="M415">
        <v>0</v>
      </c>
      <c r="N415">
        <v>30</v>
      </c>
      <c r="O415">
        <v>0</v>
      </c>
      <c r="P415">
        <v>341</v>
      </c>
      <c r="Q415">
        <v>476</v>
      </c>
      <c r="R415">
        <v>716</v>
      </c>
      <c r="S415">
        <v>2450</v>
      </c>
      <c r="T415">
        <v>4310</v>
      </c>
      <c r="U415">
        <v>6760</v>
      </c>
      <c r="V415">
        <v>125</v>
      </c>
      <c r="W415">
        <v>1040</v>
      </c>
      <c r="X415">
        <v>2450</v>
      </c>
      <c r="Y415">
        <v>2870</v>
      </c>
      <c r="Z415">
        <v>332</v>
      </c>
      <c r="AA415">
        <v>1653</v>
      </c>
      <c r="AB415" t="s">
        <v>1518</v>
      </c>
    </row>
    <row r="416" spans="1:28" x14ac:dyDescent="0.3">
      <c r="A416">
        <v>121</v>
      </c>
      <c r="B416" t="s">
        <v>1268</v>
      </c>
      <c r="C416">
        <v>0</v>
      </c>
      <c r="D416">
        <v>1610612752</v>
      </c>
      <c r="E416" t="s">
        <v>1248</v>
      </c>
      <c r="F416">
        <v>260</v>
      </c>
      <c r="G416">
        <v>80</v>
      </c>
      <c r="H416">
        <v>800</v>
      </c>
      <c r="I416">
        <v>28960</v>
      </c>
      <c r="J416">
        <v>727</v>
      </c>
      <c r="K416">
        <v>1282</v>
      </c>
      <c r="L416">
        <v>567</v>
      </c>
      <c r="M416">
        <v>0</v>
      </c>
      <c r="N416">
        <v>60</v>
      </c>
      <c r="O416">
        <v>0</v>
      </c>
      <c r="P416">
        <v>361</v>
      </c>
      <c r="Q416">
        <v>484</v>
      </c>
      <c r="R416">
        <v>746</v>
      </c>
      <c r="S416">
        <v>2130</v>
      </c>
      <c r="T416">
        <v>5270</v>
      </c>
      <c r="U416">
        <v>7400</v>
      </c>
      <c r="V416">
        <v>188</v>
      </c>
      <c r="W416">
        <v>1170</v>
      </c>
      <c r="X416">
        <v>2810</v>
      </c>
      <c r="Y416">
        <v>2660</v>
      </c>
      <c r="Z416">
        <v>311</v>
      </c>
      <c r="AA416">
        <v>1815</v>
      </c>
      <c r="AB416" t="s">
        <v>1518</v>
      </c>
    </row>
    <row r="417" spans="1:28" x14ac:dyDescent="0.3">
      <c r="A417">
        <v>121</v>
      </c>
      <c r="B417" t="s">
        <v>1270</v>
      </c>
      <c r="C417">
        <v>0</v>
      </c>
      <c r="D417">
        <v>1610612752</v>
      </c>
      <c r="E417" t="s">
        <v>1248</v>
      </c>
      <c r="F417">
        <v>270</v>
      </c>
      <c r="G417">
        <v>82</v>
      </c>
      <c r="H417">
        <v>820</v>
      </c>
      <c r="I417">
        <v>31650</v>
      </c>
      <c r="J417">
        <v>922</v>
      </c>
      <c r="K417">
        <v>1673</v>
      </c>
      <c r="L417">
        <v>551</v>
      </c>
      <c r="M417">
        <v>10</v>
      </c>
      <c r="N417">
        <v>40</v>
      </c>
      <c r="O417">
        <v>25</v>
      </c>
      <c r="P417">
        <v>502</v>
      </c>
      <c r="Q417">
        <v>648</v>
      </c>
      <c r="R417">
        <v>775</v>
      </c>
      <c r="S417">
        <v>2350</v>
      </c>
      <c r="T417">
        <v>6580</v>
      </c>
      <c r="U417">
        <v>8930</v>
      </c>
      <c r="V417">
        <v>182</v>
      </c>
      <c r="W417">
        <v>780</v>
      </c>
      <c r="X417">
        <v>3270</v>
      </c>
      <c r="Y417">
        <v>2780</v>
      </c>
      <c r="Z417">
        <v>325</v>
      </c>
      <c r="AA417">
        <v>2347</v>
      </c>
      <c r="AB417" t="s">
        <v>1518</v>
      </c>
    </row>
    <row r="418" spans="1:28" x14ac:dyDescent="0.3">
      <c r="A418">
        <v>121</v>
      </c>
      <c r="B418" t="s">
        <v>1271</v>
      </c>
      <c r="C418">
        <v>0</v>
      </c>
      <c r="D418">
        <v>1610612752</v>
      </c>
      <c r="E418" t="s">
        <v>1248</v>
      </c>
      <c r="F418">
        <v>280</v>
      </c>
      <c r="G418">
        <v>81</v>
      </c>
      <c r="H418">
        <v>810</v>
      </c>
      <c r="I418">
        <v>31040</v>
      </c>
      <c r="J418">
        <v>845</v>
      </c>
      <c r="K418">
        <v>1645</v>
      </c>
      <c r="L418">
        <v>514</v>
      </c>
      <c r="M418">
        <v>0</v>
      </c>
      <c r="N418">
        <v>60</v>
      </c>
      <c r="O418">
        <v>0</v>
      </c>
      <c r="P418">
        <v>464</v>
      </c>
      <c r="Q418">
        <v>623</v>
      </c>
      <c r="R418">
        <v>745</v>
      </c>
      <c r="S418">
        <v>1940</v>
      </c>
      <c r="T418">
        <v>7110</v>
      </c>
      <c r="U418">
        <v>9050</v>
      </c>
      <c r="V418">
        <v>244</v>
      </c>
      <c r="W418">
        <v>800</v>
      </c>
      <c r="X418">
        <v>2580</v>
      </c>
      <c r="Y418">
        <v>2910</v>
      </c>
      <c r="Z418">
        <v>287</v>
      </c>
      <c r="AA418">
        <v>2154</v>
      </c>
      <c r="AB418" t="s">
        <v>1518</v>
      </c>
    </row>
    <row r="419" spans="1:28" x14ac:dyDescent="0.3">
      <c r="A419">
        <v>121</v>
      </c>
      <c r="B419" t="s">
        <v>1272</v>
      </c>
      <c r="C419">
        <v>0</v>
      </c>
      <c r="D419">
        <v>1610612752</v>
      </c>
      <c r="E419" t="s">
        <v>1248</v>
      </c>
      <c r="F419">
        <v>290</v>
      </c>
      <c r="G419">
        <v>82</v>
      </c>
      <c r="H419">
        <v>820</v>
      </c>
      <c r="I419">
        <v>31500</v>
      </c>
      <c r="J419">
        <v>796</v>
      </c>
      <c r="K419">
        <v>1525</v>
      </c>
      <c r="L419">
        <v>522</v>
      </c>
      <c r="M419">
        <v>10</v>
      </c>
      <c r="N419">
        <v>60</v>
      </c>
      <c r="O419">
        <v>167</v>
      </c>
      <c r="P419">
        <v>377</v>
      </c>
      <c r="Q419">
        <v>511</v>
      </c>
      <c r="R419">
        <v>738</v>
      </c>
      <c r="S419">
        <v>2280</v>
      </c>
      <c r="T419">
        <v>6930</v>
      </c>
      <c r="U419">
        <v>9210</v>
      </c>
      <c r="V419">
        <v>156</v>
      </c>
      <c r="W419">
        <v>880</v>
      </c>
      <c r="X419">
        <v>2450</v>
      </c>
      <c r="Y419">
        <v>2090</v>
      </c>
      <c r="Z419">
        <v>277</v>
      </c>
      <c r="AA419">
        <v>1970</v>
      </c>
      <c r="AB419" t="s">
        <v>1518</v>
      </c>
    </row>
    <row r="420" spans="1:28" x14ac:dyDescent="0.3">
      <c r="A420">
        <v>121</v>
      </c>
      <c r="B420" t="s">
        <v>1273</v>
      </c>
      <c r="C420">
        <v>0</v>
      </c>
      <c r="D420">
        <v>1610612752</v>
      </c>
      <c r="E420" t="s">
        <v>1248</v>
      </c>
      <c r="F420">
        <v>300</v>
      </c>
      <c r="G420">
        <v>81</v>
      </c>
      <c r="H420">
        <v>810</v>
      </c>
      <c r="I420">
        <v>30030</v>
      </c>
      <c r="J420">
        <v>779</v>
      </c>
      <c r="K420">
        <v>1550</v>
      </c>
      <c r="L420">
        <v>503</v>
      </c>
      <c r="M420">
        <v>10</v>
      </c>
      <c r="N420">
        <v>70</v>
      </c>
      <c r="O420">
        <v>143</v>
      </c>
      <c r="P420">
        <v>400</v>
      </c>
      <c r="Q420">
        <v>556</v>
      </c>
      <c r="R420">
        <v>719</v>
      </c>
      <c r="S420">
        <v>1910</v>
      </c>
      <c r="T420">
        <v>7890</v>
      </c>
      <c r="U420">
        <v>9800</v>
      </c>
      <c r="V420">
        <v>151</v>
      </c>
      <c r="W420">
        <v>740</v>
      </c>
      <c r="X420">
        <v>1610</v>
      </c>
      <c r="Y420">
        <v>2650</v>
      </c>
      <c r="Z420">
        <v>286</v>
      </c>
      <c r="AA420">
        <v>1959</v>
      </c>
      <c r="AB420" t="s">
        <v>1518</v>
      </c>
    </row>
    <row r="421" spans="1:28" x14ac:dyDescent="0.3">
      <c r="A421">
        <v>121</v>
      </c>
      <c r="B421" t="s">
        <v>1274</v>
      </c>
      <c r="C421">
        <v>0</v>
      </c>
      <c r="D421">
        <v>1610612752</v>
      </c>
      <c r="E421" t="s">
        <v>1248</v>
      </c>
      <c r="F421">
        <v>310</v>
      </c>
      <c r="G421">
        <v>79</v>
      </c>
      <c r="H421">
        <v>790</v>
      </c>
      <c r="I421">
        <v>29720</v>
      </c>
      <c r="J421">
        <v>745</v>
      </c>
      <c r="K421">
        <v>1503</v>
      </c>
      <c r="L421">
        <v>496</v>
      </c>
      <c r="M421">
        <v>40</v>
      </c>
      <c r="N421">
        <v>140</v>
      </c>
      <c r="O421">
        <v>286</v>
      </c>
      <c r="P421">
        <v>445</v>
      </c>
      <c r="Q421">
        <v>582</v>
      </c>
      <c r="R421">
        <v>765</v>
      </c>
      <c r="S421">
        <v>2190</v>
      </c>
      <c r="T421">
        <v>6660</v>
      </c>
      <c r="U421">
        <v>8850</v>
      </c>
      <c r="V421">
        <v>179</v>
      </c>
      <c r="W421">
        <v>900</v>
      </c>
      <c r="X421">
        <v>2170</v>
      </c>
      <c r="Y421">
        <v>2600</v>
      </c>
      <c r="Z421">
        <v>275</v>
      </c>
      <c r="AA421">
        <v>1939</v>
      </c>
      <c r="AB421" t="s">
        <v>1518</v>
      </c>
    </row>
    <row r="422" spans="1:28" x14ac:dyDescent="0.3">
      <c r="A422">
        <v>121</v>
      </c>
      <c r="B422" t="s">
        <v>1275</v>
      </c>
      <c r="C422">
        <v>0</v>
      </c>
      <c r="D422">
        <v>1610612752</v>
      </c>
      <c r="E422" t="s">
        <v>1248</v>
      </c>
      <c r="F422">
        <v>320</v>
      </c>
      <c r="G422">
        <v>79</v>
      </c>
      <c r="H422">
        <v>790</v>
      </c>
      <c r="I422">
        <v>29200</v>
      </c>
      <c r="J422">
        <v>730</v>
      </c>
      <c r="K422">
        <v>1452</v>
      </c>
      <c r="L422">
        <v>503</v>
      </c>
      <c r="M422">
        <v>60</v>
      </c>
      <c r="N422">
        <v>210</v>
      </c>
      <c r="O422">
        <v>286</v>
      </c>
      <c r="P422">
        <v>420</v>
      </c>
      <c r="Q422">
        <v>560</v>
      </c>
      <c r="R422">
        <v>75</v>
      </c>
      <c r="S422">
        <v>1570</v>
      </c>
      <c r="T422">
        <v>7100</v>
      </c>
      <c r="U422">
        <v>8670</v>
      </c>
      <c r="V422">
        <v>212</v>
      </c>
      <c r="W422">
        <v>680</v>
      </c>
      <c r="X422">
        <v>1590</v>
      </c>
      <c r="Y422">
        <v>2560</v>
      </c>
      <c r="Z422">
        <v>272</v>
      </c>
      <c r="AA422">
        <v>1886</v>
      </c>
      <c r="AB422" t="s">
        <v>1518</v>
      </c>
    </row>
    <row r="423" spans="1:28" x14ac:dyDescent="0.3">
      <c r="A423">
        <v>121</v>
      </c>
      <c r="B423" t="s">
        <v>1276</v>
      </c>
      <c r="C423">
        <v>0</v>
      </c>
      <c r="D423">
        <v>1610612752</v>
      </c>
      <c r="E423" t="s">
        <v>1248</v>
      </c>
      <c r="F423">
        <v>330</v>
      </c>
      <c r="G423">
        <v>76</v>
      </c>
      <c r="H423">
        <v>760</v>
      </c>
      <c r="I423">
        <v>27830</v>
      </c>
      <c r="J423">
        <v>678</v>
      </c>
      <c r="K423">
        <v>1456</v>
      </c>
      <c r="L423">
        <v>466</v>
      </c>
      <c r="M423">
        <v>40</v>
      </c>
      <c r="N423">
        <v>280</v>
      </c>
      <c r="O423">
        <v>143</v>
      </c>
      <c r="P423">
        <v>351</v>
      </c>
      <c r="Q423">
        <v>461</v>
      </c>
      <c r="R423">
        <v>761</v>
      </c>
      <c r="S423">
        <v>1570</v>
      </c>
      <c r="T423">
        <v>6490</v>
      </c>
      <c r="U423">
        <v>8060</v>
      </c>
      <c r="V423">
        <v>160</v>
      </c>
      <c r="W423">
        <v>680</v>
      </c>
      <c r="X423">
        <v>1840</v>
      </c>
      <c r="Y423">
        <v>2210</v>
      </c>
      <c r="Z423">
        <v>247</v>
      </c>
      <c r="AA423">
        <v>1711</v>
      </c>
      <c r="AB423" t="s">
        <v>1518</v>
      </c>
    </row>
    <row r="424" spans="1:28" x14ac:dyDescent="0.3">
      <c r="A424">
        <v>121</v>
      </c>
      <c r="B424" t="s">
        <v>1277</v>
      </c>
      <c r="C424">
        <v>0</v>
      </c>
      <c r="D424">
        <v>1610612752</v>
      </c>
      <c r="E424" t="s">
        <v>1248</v>
      </c>
      <c r="F424">
        <v>340</v>
      </c>
      <c r="G424">
        <v>78</v>
      </c>
      <c r="H424">
        <v>780</v>
      </c>
      <c r="I424">
        <v>28870</v>
      </c>
      <c r="J424">
        <v>655</v>
      </c>
      <c r="K424">
        <v>1342</v>
      </c>
      <c r="L424">
        <v>488</v>
      </c>
      <c r="M424">
        <v>20</v>
      </c>
      <c r="N424">
        <v>90</v>
      </c>
      <c r="O424">
        <v>222</v>
      </c>
      <c r="P424">
        <v>439</v>
      </c>
      <c r="Q424">
        <v>582</v>
      </c>
      <c r="R424">
        <v>754</v>
      </c>
      <c r="S424">
        <v>1750</v>
      </c>
      <c r="T424">
        <v>6590</v>
      </c>
      <c r="U424">
        <v>8340</v>
      </c>
      <c r="V424">
        <v>156</v>
      </c>
      <c r="W424">
        <v>690</v>
      </c>
      <c r="X424">
        <v>1890</v>
      </c>
      <c r="Y424">
        <v>2690</v>
      </c>
      <c r="Z424">
        <v>250</v>
      </c>
      <c r="AA424">
        <v>1751</v>
      </c>
      <c r="AB424" t="s">
        <v>1518</v>
      </c>
    </row>
    <row r="425" spans="1:28" x14ac:dyDescent="0.3">
      <c r="A425">
        <v>121</v>
      </c>
      <c r="B425" t="s">
        <v>1278</v>
      </c>
      <c r="C425">
        <v>0</v>
      </c>
      <c r="D425">
        <v>1610612752</v>
      </c>
      <c r="E425" t="s">
        <v>1248</v>
      </c>
      <c r="F425">
        <v>350</v>
      </c>
      <c r="G425">
        <v>26</v>
      </c>
      <c r="H425">
        <v>260</v>
      </c>
      <c r="I425">
        <v>8480</v>
      </c>
      <c r="J425">
        <v>203</v>
      </c>
      <c r="K425">
        <v>403</v>
      </c>
      <c r="L425">
        <v>504</v>
      </c>
      <c r="M425">
        <v>0</v>
      </c>
      <c r="N425">
        <v>20</v>
      </c>
      <c r="O425">
        <v>0</v>
      </c>
      <c r="P425">
        <v>134</v>
      </c>
      <c r="Q425">
        <v>186</v>
      </c>
      <c r="R425">
        <v>72</v>
      </c>
      <c r="S425">
        <v>590</v>
      </c>
      <c r="T425">
        <v>2060</v>
      </c>
      <c r="U425">
        <v>2650</v>
      </c>
      <c r="V425">
        <v>28</v>
      </c>
      <c r="W425">
        <v>160</v>
      </c>
      <c r="X425">
        <v>580</v>
      </c>
      <c r="Y425">
        <v>770</v>
      </c>
      <c r="Z425">
        <v>74</v>
      </c>
      <c r="AA425">
        <v>540</v>
      </c>
      <c r="AB425" t="s">
        <v>1518</v>
      </c>
    </row>
    <row r="426" spans="1:28" x14ac:dyDescent="0.3">
      <c r="A426">
        <v>121</v>
      </c>
      <c r="B426" t="s">
        <v>1429</v>
      </c>
      <c r="C426">
        <v>0</v>
      </c>
      <c r="D426">
        <v>1610612752</v>
      </c>
      <c r="E426" t="s">
        <v>1248</v>
      </c>
      <c r="F426">
        <v>360</v>
      </c>
      <c r="G426">
        <v>38</v>
      </c>
      <c r="H426">
        <v>380</v>
      </c>
      <c r="I426">
        <v>13000</v>
      </c>
      <c r="J426">
        <v>247</v>
      </c>
      <c r="K426">
        <v>568</v>
      </c>
      <c r="L426">
        <v>435</v>
      </c>
      <c r="M426">
        <v>0</v>
      </c>
      <c r="N426">
        <v>20</v>
      </c>
      <c r="O426">
        <v>0</v>
      </c>
      <c r="P426">
        <v>163</v>
      </c>
      <c r="Q426">
        <v>231</v>
      </c>
      <c r="R426">
        <v>706</v>
      </c>
      <c r="S426">
        <v>740</v>
      </c>
      <c r="T426">
        <v>3030</v>
      </c>
      <c r="U426">
        <v>3770</v>
      </c>
      <c r="V426">
        <v>43</v>
      </c>
      <c r="W426">
        <v>300</v>
      </c>
      <c r="X426">
        <v>1000</v>
      </c>
      <c r="Y426">
        <v>990</v>
      </c>
      <c r="Z426">
        <v>105</v>
      </c>
      <c r="AA426">
        <v>657</v>
      </c>
      <c r="AB426" t="s">
        <v>1518</v>
      </c>
    </row>
    <row r="427" spans="1:28" x14ac:dyDescent="0.3">
      <c r="A427">
        <v>121</v>
      </c>
      <c r="B427" t="s">
        <v>1464</v>
      </c>
      <c r="C427">
        <v>0</v>
      </c>
      <c r="D427">
        <v>1610612752</v>
      </c>
      <c r="E427" t="s">
        <v>1248</v>
      </c>
      <c r="F427">
        <v>370</v>
      </c>
      <c r="G427">
        <v>62</v>
      </c>
      <c r="H427">
        <v>620</v>
      </c>
      <c r="I427">
        <v>20350</v>
      </c>
      <c r="J427">
        <v>361</v>
      </c>
      <c r="K427">
        <v>775</v>
      </c>
      <c r="L427">
        <v>466</v>
      </c>
      <c r="M427">
        <v>0</v>
      </c>
      <c r="N427">
        <v>20</v>
      </c>
      <c r="O427">
        <v>0</v>
      </c>
      <c r="P427">
        <v>207</v>
      </c>
      <c r="Q427">
        <v>283</v>
      </c>
      <c r="R427">
        <v>731</v>
      </c>
      <c r="S427">
        <v>1400</v>
      </c>
      <c r="T427">
        <v>4640</v>
      </c>
      <c r="U427">
        <v>6040</v>
      </c>
      <c r="V427">
        <v>58</v>
      </c>
      <c r="W427">
        <v>360</v>
      </c>
      <c r="X427">
        <v>840</v>
      </c>
      <c r="Y427">
        <v>1420</v>
      </c>
      <c r="Z427">
        <v>196</v>
      </c>
      <c r="AA427">
        <v>929</v>
      </c>
      <c r="AB427" t="s">
        <v>1518</v>
      </c>
    </row>
    <row r="428" spans="1:28" x14ac:dyDescent="0.3">
      <c r="A428">
        <v>2866</v>
      </c>
      <c r="B428" t="s">
        <v>1295</v>
      </c>
      <c r="C428">
        <v>0</v>
      </c>
      <c r="D428">
        <v>1610612752</v>
      </c>
      <c r="E428" t="s">
        <v>1248</v>
      </c>
      <c r="F428">
        <v>200</v>
      </c>
      <c r="G428">
        <v>3</v>
      </c>
      <c r="H428">
        <v>0</v>
      </c>
      <c r="I428">
        <v>50</v>
      </c>
      <c r="J428">
        <v>4</v>
      </c>
      <c r="K428">
        <v>4</v>
      </c>
      <c r="L428">
        <v>10</v>
      </c>
      <c r="M428">
        <v>0</v>
      </c>
      <c r="N428">
        <v>0</v>
      </c>
      <c r="O428">
        <v>0</v>
      </c>
      <c r="P428">
        <v>2</v>
      </c>
      <c r="Q428">
        <v>2</v>
      </c>
      <c r="R428">
        <v>10</v>
      </c>
      <c r="S428">
        <v>0</v>
      </c>
      <c r="T428">
        <v>0</v>
      </c>
      <c r="U428">
        <v>0</v>
      </c>
      <c r="V428">
        <v>0</v>
      </c>
      <c r="W428">
        <v>10</v>
      </c>
      <c r="X428">
        <v>0</v>
      </c>
      <c r="Y428">
        <v>10</v>
      </c>
      <c r="Z428">
        <v>0</v>
      </c>
      <c r="AA428">
        <v>10</v>
      </c>
      <c r="AB428" t="s">
        <v>1519</v>
      </c>
    </row>
    <row r="429" spans="1:28" x14ac:dyDescent="0.3">
      <c r="A429">
        <v>2866</v>
      </c>
      <c r="B429" t="s">
        <v>1300</v>
      </c>
      <c r="C429">
        <v>0</v>
      </c>
      <c r="D429">
        <v>1610612752</v>
      </c>
      <c r="E429" t="s">
        <v>1248</v>
      </c>
      <c r="F429">
        <v>210</v>
      </c>
      <c r="G429">
        <v>55</v>
      </c>
      <c r="H429">
        <v>0</v>
      </c>
      <c r="I429">
        <v>7400</v>
      </c>
      <c r="J429">
        <v>117</v>
      </c>
      <c r="K429">
        <v>215</v>
      </c>
      <c r="L429">
        <v>544</v>
      </c>
      <c r="M429">
        <v>0</v>
      </c>
      <c r="N429">
        <v>0</v>
      </c>
      <c r="O429">
        <v>0</v>
      </c>
      <c r="P429">
        <v>58</v>
      </c>
      <c r="Q429">
        <v>77</v>
      </c>
      <c r="R429">
        <v>753</v>
      </c>
      <c r="S429">
        <v>670</v>
      </c>
      <c r="T429">
        <v>1160</v>
      </c>
      <c r="U429">
        <v>1830</v>
      </c>
      <c r="V429">
        <v>25</v>
      </c>
      <c r="W429">
        <v>170</v>
      </c>
      <c r="X429">
        <v>310</v>
      </c>
      <c r="Y429">
        <v>620</v>
      </c>
      <c r="Z429">
        <v>127</v>
      </c>
      <c r="AA429">
        <v>292</v>
      </c>
      <c r="AB429" t="s">
        <v>1519</v>
      </c>
    </row>
    <row r="430" spans="1:28" x14ac:dyDescent="0.3">
      <c r="A430">
        <v>77418</v>
      </c>
      <c r="B430" t="s">
        <v>1354</v>
      </c>
      <c r="C430">
        <v>0</v>
      </c>
      <c r="D430">
        <v>1610612752</v>
      </c>
      <c r="E430" t="s">
        <v>1248</v>
      </c>
      <c r="F430">
        <v>320</v>
      </c>
      <c r="G430">
        <v>77</v>
      </c>
      <c r="I430">
        <v>29260</v>
      </c>
      <c r="J430">
        <v>543</v>
      </c>
      <c r="K430">
        <v>1060</v>
      </c>
      <c r="L430">
        <v>512</v>
      </c>
      <c r="P430">
        <v>197</v>
      </c>
      <c r="Q430">
        <v>249</v>
      </c>
      <c r="R430">
        <v>791</v>
      </c>
      <c r="U430">
        <v>10110</v>
      </c>
      <c r="V430">
        <v>318</v>
      </c>
      <c r="Z430">
        <v>218</v>
      </c>
      <c r="AA430">
        <v>1283</v>
      </c>
      <c r="AB430" t="s">
        <v>1520</v>
      </c>
    </row>
    <row r="431" spans="1:28" x14ac:dyDescent="0.3">
      <c r="A431">
        <v>77418</v>
      </c>
      <c r="B431" t="s">
        <v>1356</v>
      </c>
      <c r="C431">
        <v>0</v>
      </c>
      <c r="D431">
        <v>1610612752</v>
      </c>
      <c r="E431" t="s">
        <v>1248</v>
      </c>
      <c r="F431">
        <v>330</v>
      </c>
      <c r="G431">
        <v>71</v>
      </c>
      <c r="I431">
        <v>20010</v>
      </c>
      <c r="J431">
        <v>312</v>
      </c>
      <c r="K431">
        <v>608</v>
      </c>
      <c r="L431">
        <v>513</v>
      </c>
      <c r="P431">
        <v>80</v>
      </c>
      <c r="Q431">
        <v>100</v>
      </c>
      <c r="R431">
        <v>8</v>
      </c>
      <c r="U431">
        <v>5100</v>
      </c>
      <c r="V431">
        <v>317</v>
      </c>
      <c r="Z431">
        <v>157</v>
      </c>
      <c r="AA431">
        <v>704</v>
      </c>
      <c r="AB431" t="s">
        <v>1520</v>
      </c>
    </row>
    <row r="432" spans="1:28" x14ac:dyDescent="0.3">
      <c r="A432">
        <v>77418</v>
      </c>
      <c r="B432" t="s">
        <v>1357</v>
      </c>
      <c r="C432">
        <v>0</v>
      </c>
      <c r="D432">
        <v>1610612752</v>
      </c>
      <c r="E432" t="s">
        <v>1248</v>
      </c>
      <c r="F432">
        <v>340</v>
      </c>
      <c r="G432">
        <v>73</v>
      </c>
      <c r="I432">
        <v>16270</v>
      </c>
      <c r="J432">
        <v>194</v>
      </c>
      <c r="K432">
        <v>420</v>
      </c>
      <c r="L432">
        <v>462</v>
      </c>
      <c r="P432">
        <v>67</v>
      </c>
      <c r="Q432">
        <v>96</v>
      </c>
      <c r="R432">
        <v>698</v>
      </c>
      <c r="S432">
        <v>620</v>
      </c>
      <c r="T432">
        <v>3120</v>
      </c>
      <c r="U432">
        <v>3740</v>
      </c>
      <c r="V432">
        <v>230</v>
      </c>
      <c r="W432">
        <v>280</v>
      </c>
      <c r="X432">
        <v>240</v>
      </c>
      <c r="Z432">
        <v>134</v>
      </c>
      <c r="AA432">
        <v>455</v>
      </c>
      <c r="AB432" t="s">
        <v>1520</v>
      </c>
    </row>
    <row r="433" spans="1:28" x14ac:dyDescent="0.3">
      <c r="A433">
        <v>77015</v>
      </c>
      <c r="B433" t="s">
        <v>1257</v>
      </c>
      <c r="C433">
        <v>0</v>
      </c>
      <c r="D433">
        <v>1610612752</v>
      </c>
      <c r="E433" t="s">
        <v>1248</v>
      </c>
      <c r="F433">
        <v>230</v>
      </c>
      <c r="G433">
        <v>75</v>
      </c>
      <c r="I433">
        <v>22360</v>
      </c>
      <c r="J433">
        <v>432</v>
      </c>
      <c r="K433">
        <v>1003</v>
      </c>
      <c r="L433">
        <v>431</v>
      </c>
      <c r="P433">
        <v>289</v>
      </c>
      <c r="Q433">
        <v>422</v>
      </c>
      <c r="R433">
        <v>685</v>
      </c>
      <c r="U433">
        <v>2980</v>
      </c>
      <c r="V433">
        <v>256</v>
      </c>
      <c r="Z433">
        <v>229</v>
      </c>
      <c r="AA433">
        <v>1153</v>
      </c>
      <c r="AB433" t="s">
        <v>1521</v>
      </c>
    </row>
    <row r="434" spans="1:28" x14ac:dyDescent="0.3">
      <c r="A434">
        <v>77015</v>
      </c>
      <c r="B434" t="s">
        <v>1258</v>
      </c>
      <c r="C434">
        <v>0</v>
      </c>
      <c r="D434">
        <v>1610612752</v>
      </c>
      <c r="E434" t="s">
        <v>1248</v>
      </c>
      <c r="F434">
        <v>240</v>
      </c>
      <c r="G434">
        <v>55</v>
      </c>
      <c r="I434">
        <v>6630</v>
      </c>
      <c r="J434">
        <v>114</v>
      </c>
      <c r="K434">
        <v>267</v>
      </c>
      <c r="L434">
        <v>427</v>
      </c>
      <c r="P434">
        <v>88</v>
      </c>
      <c r="Q434">
        <v>132</v>
      </c>
      <c r="R434">
        <v>667</v>
      </c>
      <c r="U434">
        <v>990</v>
      </c>
      <c r="V434">
        <v>79</v>
      </c>
      <c r="Z434">
        <v>96</v>
      </c>
      <c r="AA434">
        <v>316</v>
      </c>
      <c r="AB434" t="s">
        <v>1521</v>
      </c>
    </row>
    <row r="435" spans="1:28" x14ac:dyDescent="0.3">
      <c r="A435">
        <v>600010</v>
      </c>
      <c r="B435" t="s">
        <v>1469</v>
      </c>
      <c r="C435">
        <v>0</v>
      </c>
      <c r="D435">
        <v>1610612752</v>
      </c>
      <c r="E435" t="s">
        <v>1248</v>
      </c>
      <c r="F435">
        <v>320</v>
      </c>
      <c r="G435">
        <v>65</v>
      </c>
      <c r="H435">
        <v>50</v>
      </c>
      <c r="I435">
        <v>8320</v>
      </c>
      <c r="J435">
        <v>64</v>
      </c>
      <c r="K435">
        <v>157</v>
      </c>
      <c r="L435">
        <v>408</v>
      </c>
      <c r="M435">
        <v>0</v>
      </c>
      <c r="N435">
        <v>0</v>
      </c>
      <c r="O435">
        <v>0</v>
      </c>
      <c r="P435">
        <v>27</v>
      </c>
      <c r="Q435">
        <v>38</v>
      </c>
      <c r="R435">
        <v>711</v>
      </c>
      <c r="S435">
        <v>620</v>
      </c>
      <c r="T435">
        <v>1030</v>
      </c>
      <c r="U435">
        <v>1650</v>
      </c>
      <c r="V435">
        <v>30</v>
      </c>
      <c r="W435">
        <v>290</v>
      </c>
      <c r="X435">
        <v>300</v>
      </c>
      <c r="Y435">
        <v>460</v>
      </c>
      <c r="Z435">
        <v>153</v>
      </c>
      <c r="AA435">
        <v>155</v>
      </c>
      <c r="AB435" t="s">
        <v>1522</v>
      </c>
    </row>
    <row r="436" spans="1:28" x14ac:dyDescent="0.3">
      <c r="A436">
        <v>76320</v>
      </c>
      <c r="B436" t="s">
        <v>1268</v>
      </c>
      <c r="C436">
        <v>0</v>
      </c>
      <c r="D436">
        <v>1610612752</v>
      </c>
      <c r="E436" t="s">
        <v>1248</v>
      </c>
      <c r="F436">
        <v>230</v>
      </c>
      <c r="G436">
        <v>33</v>
      </c>
      <c r="H436">
        <v>0</v>
      </c>
      <c r="I436">
        <v>1400</v>
      </c>
      <c r="J436">
        <v>20</v>
      </c>
      <c r="K436">
        <v>48</v>
      </c>
      <c r="L436">
        <v>417</v>
      </c>
      <c r="M436">
        <v>0</v>
      </c>
      <c r="N436">
        <v>30</v>
      </c>
      <c r="O436">
        <v>0</v>
      </c>
      <c r="P436">
        <v>16</v>
      </c>
      <c r="Q436">
        <v>20</v>
      </c>
      <c r="R436">
        <v>8</v>
      </c>
      <c r="S436">
        <v>90</v>
      </c>
      <c r="T436">
        <v>190</v>
      </c>
      <c r="U436">
        <v>280</v>
      </c>
      <c r="V436">
        <v>2</v>
      </c>
      <c r="W436">
        <v>10</v>
      </c>
      <c r="X436">
        <v>20</v>
      </c>
      <c r="Y436">
        <v>170</v>
      </c>
      <c r="Z436">
        <v>28</v>
      </c>
      <c r="AA436">
        <v>56</v>
      </c>
      <c r="AB436" t="s">
        <v>1523</v>
      </c>
    </row>
    <row r="437" spans="1:28" x14ac:dyDescent="0.3">
      <c r="A437">
        <v>76320</v>
      </c>
      <c r="B437" t="s">
        <v>1270</v>
      </c>
      <c r="C437">
        <v>0</v>
      </c>
      <c r="D437">
        <v>1610612752</v>
      </c>
      <c r="E437" t="s">
        <v>1248</v>
      </c>
      <c r="F437">
        <v>240</v>
      </c>
      <c r="G437">
        <v>13</v>
      </c>
      <c r="H437">
        <v>0</v>
      </c>
      <c r="I437">
        <v>330</v>
      </c>
      <c r="J437">
        <v>3</v>
      </c>
      <c r="K437">
        <v>12</v>
      </c>
      <c r="L437">
        <v>25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>
        <v>30</v>
      </c>
      <c r="T437">
        <v>60</v>
      </c>
      <c r="U437">
        <v>90</v>
      </c>
      <c r="V437">
        <v>1</v>
      </c>
      <c r="W437">
        <v>0</v>
      </c>
      <c r="X437">
        <v>0</v>
      </c>
      <c r="Y437">
        <v>30</v>
      </c>
      <c r="Z437">
        <v>8</v>
      </c>
      <c r="AA437">
        <v>6</v>
      </c>
      <c r="AB437" t="s">
        <v>1523</v>
      </c>
    </row>
    <row r="438" spans="1:28" x14ac:dyDescent="0.3">
      <c r="A438">
        <v>779</v>
      </c>
      <c r="B438" t="s">
        <v>1465</v>
      </c>
      <c r="C438">
        <v>0</v>
      </c>
      <c r="D438">
        <v>1610612752</v>
      </c>
      <c r="E438" t="s">
        <v>1248</v>
      </c>
      <c r="F438">
        <v>340</v>
      </c>
      <c r="G438">
        <v>75</v>
      </c>
      <c r="H438">
        <v>250</v>
      </c>
      <c r="I438">
        <v>22120</v>
      </c>
      <c r="J438">
        <v>331</v>
      </c>
      <c r="K438">
        <v>752</v>
      </c>
      <c r="L438">
        <v>44</v>
      </c>
      <c r="M438">
        <v>820</v>
      </c>
      <c r="N438">
        <v>2110</v>
      </c>
      <c r="O438">
        <v>389</v>
      </c>
      <c r="P438">
        <v>155</v>
      </c>
      <c r="Q438">
        <v>182</v>
      </c>
      <c r="R438">
        <v>852</v>
      </c>
      <c r="S438">
        <v>610</v>
      </c>
      <c r="T438">
        <v>2460</v>
      </c>
      <c r="U438">
        <v>3070</v>
      </c>
      <c r="V438">
        <v>89</v>
      </c>
      <c r="W438">
        <v>410</v>
      </c>
      <c r="X438">
        <v>130</v>
      </c>
      <c r="Y438">
        <v>960</v>
      </c>
      <c r="Z438">
        <v>179</v>
      </c>
      <c r="AA438">
        <v>899</v>
      </c>
      <c r="AB438" t="s">
        <v>1524</v>
      </c>
    </row>
    <row r="439" spans="1:28" x14ac:dyDescent="0.3">
      <c r="A439">
        <v>201577</v>
      </c>
      <c r="B439" t="s">
        <v>1279</v>
      </c>
      <c r="C439">
        <v>0</v>
      </c>
      <c r="D439">
        <v>1610612752</v>
      </c>
      <c r="E439" t="s">
        <v>1248</v>
      </c>
      <c r="F439">
        <v>280</v>
      </c>
      <c r="G439">
        <v>82</v>
      </c>
      <c r="H439">
        <v>820</v>
      </c>
      <c r="I439">
        <v>22190</v>
      </c>
      <c r="J439">
        <v>357</v>
      </c>
      <c r="K439">
        <v>662</v>
      </c>
      <c r="L439">
        <v>539</v>
      </c>
      <c r="M439">
        <v>0</v>
      </c>
      <c r="N439">
        <v>10</v>
      </c>
      <c r="O439">
        <v>0</v>
      </c>
      <c r="P439">
        <v>128</v>
      </c>
      <c r="Q439">
        <v>161</v>
      </c>
      <c r="R439">
        <v>795</v>
      </c>
      <c r="S439">
        <v>2680</v>
      </c>
      <c r="T439">
        <v>3340</v>
      </c>
      <c r="U439">
        <v>6020</v>
      </c>
      <c r="V439">
        <v>114</v>
      </c>
      <c r="W439">
        <v>160</v>
      </c>
      <c r="X439">
        <v>1290</v>
      </c>
      <c r="Y439">
        <v>1330</v>
      </c>
      <c r="Z439">
        <v>182</v>
      </c>
      <c r="AA439">
        <v>842</v>
      </c>
      <c r="AB439" t="s">
        <v>1525</v>
      </c>
    </row>
    <row r="440" spans="1:28" x14ac:dyDescent="0.3">
      <c r="A440">
        <v>77011</v>
      </c>
      <c r="B440" t="s">
        <v>1339</v>
      </c>
      <c r="C440">
        <v>0</v>
      </c>
      <c r="D440">
        <v>1610612752</v>
      </c>
      <c r="E440" t="s">
        <v>1248</v>
      </c>
      <c r="F440">
        <v>240</v>
      </c>
      <c r="G440">
        <v>59</v>
      </c>
      <c r="J440">
        <v>201</v>
      </c>
      <c r="K440">
        <v>695</v>
      </c>
      <c r="L440">
        <v>289</v>
      </c>
      <c r="P440">
        <v>113</v>
      </c>
      <c r="Q440">
        <v>149</v>
      </c>
      <c r="R440">
        <v>758</v>
      </c>
      <c r="V440">
        <v>37</v>
      </c>
      <c r="Z440">
        <v>109</v>
      </c>
      <c r="AA440">
        <v>515</v>
      </c>
      <c r="AB440" t="s">
        <v>1526</v>
      </c>
    </row>
    <row r="441" spans="1:28" x14ac:dyDescent="0.3">
      <c r="A441">
        <v>77011</v>
      </c>
      <c r="B441" t="s">
        <v>1297</v>
      </c>
      <c r="C441">
        <v>0</v>
      </c>
      <c r="D441">
        <v>1610612752</v>
      </c>
      <c r="E441" t="s">
        <v>1248</v>
      </c>
      <c r="F441">
        <v>250</v>
      </c>
      <c r="G441">
        <v>4</v>
      </c>
      <c r="I441">
        <v>0</v>
      </c>
      <c r="J441">
        <v>1</v>
      </c>
      <c r="K441">
        <v>14</v>
      </c>
      <c r="L441">
        <v>71</v>
      </c>
      <c r="P441">
        <v>3</v>
      </c>
      <c r="Q441">
        <v>4</v>
      </c>
      <c r="R441">
        <v>75</v>
      </c>
      <c r="U441">
        <v>0</v>
      </c>
      <c r="V441">
        <v>1</v>
      </c>
      <c r="Z441">
        <v>3</v>
      </c>
      <c r="AA441">
        <v>5</v>
      </c>
      <c r="AB441" t="s">
        <v>1526</v>
      </c>
    </row>
    <row r="442" spans="1:28" x14ac:dyDescent="0.3">
      <c r="A442">
        <v>201961</v>
      </c>
      <c r="B442" t="s">
        <v>1288</v>
      </c>
      <c r="C442">
        <v>0</v>
      </c>
      <c r="D442">
        <v>1610612752</v>
      </c>
      <c r="E442" t="s">
        <v>1248</v>
      </c>
      <c r="F442">
        <v>320</v>
      </c>
      <c r="G442">
        <v>36</v>
      </c>
      <c r="H442">
        <v>10</v>
      </c>
      <c r="I442">
        <v>5580</v>
      </c>
      <c r="J442">
        <v>61</v>
      </c>
      <c r="K442">
        <v>174</v>
      </c>
      <c r="L442">
        <v>351</v>
      </c>
      <c r="M442">
        <v>500</v>
      </c>
      <c r="N442">
        <v>1430</v>
      </c>
      <c r="O442">
        <v>35</v>
      </c>
      <c r="P442">
        <v>11</v>
      </c>
      <c r="Q442">
        <v>13</v>
      </c>
      <c r="R442">
        <v>846</v>
      </c>
      <c r="S442">
        <v>40</v>
      </c>
      <c r="T442">
        <v>610</v>
      </c>
      <c r="U442">
        <v>650</v>
      </c>
      <c r="V442">
        <v>44</v>
      </c>
      <c r="W442">
        <v>130</v>
      </c>
      <c r="X442">
        <v>40</v>
      </c>
      <c r="Y442">
        <v>180</v>
      </c>
      <c r="Z442">
        <v>41</v>
      </c>
      <c r="AA442">
        <v>183</v>
      </c>
      <c r="AB442" t="s">
        <v>1527</v>
      </c>
    </row>
    <row r="443" spans="1:28" x14ac:dyDescent="0.3">
      <c r="A443">
        <v>76319</v>
      </c>
      <c r="B443" t="s">
        <v>1323</v>
      </c>
      <c r="C443">
        <v>0</v>
      </c>
      <c r="D443">
        <v>1610612752</v>
      </c>
      <c r="E443" t="s">
        <v>1248</v>
      </c>
      <c r="F443">
        <v>230</v>
      </c>
      <c r="G443">
        <v>59</v>
      </c>
      <c r="I443">
        <v>20160</v>
      </c>
      <c r="J443">
        <v>349</v>
      </c>
      <c r="K443">
        <v>754</v>
      </c>
      <c r="L443">
        <v>463</v>
      </c>
      <c r="P443">
        <v>129</v>
      </c>
      <c r="Q443">
        <v>182</v>
      </c>
      <c r="R443">
        <v>709</v>
      </c>
      <c r="U443">
        <v>3370</v>
      </c>
      <c r="V443">
        <v>205</v>
      </c>
      <c r="Z443">
        <v>156</v>
      </c>
      <c r="AA443">
        <v>827</v>
      </c>
      <c r="AB443" t="s">
        <v>1528</v>
      </c>
    </row>
    <row r="444" spans="1:28" x14ac:dyDescent="0.3">
      <c r="A444">
        <v>76319</v>
      </c>
      <c r="B444" t="s">
        <v>1255</v>
      </c>
      <c r="C444">
        <v>0</v>
      </c>
      <c r="D444">
        <v>1610612752</v>
      </c>
      <c r="E444" t="s">
        <v>1248</v>
      </c>
      <c r="F444">
        <v>240</v>
      </c>
      <c r="G444">
        <v>74</v>
      </c>
      <c r="I444">
        <v>14880</v>
      </c>
      <c r="J444">
        <v>297</v>
      </c>
      <c r="K444">
        <v>676</v>
      </c>
      <c r="L444">
        <v>439</v>
      </c>
      <c r="P444">
        <v>144</v>
      </c>
      <c r="Q444">
        <v>187</v>
      </c>
      <c r="R444">
        <v>77</v>
      </c>
      <c r="U444">
        <v>1700</v>
      </c>
      <c r="V444">
        <v>156</v>
      </c>
      <c r="Z444">
        <v>145</v>
      </c>
      <c r="AA444">
        <v>738</v>
      </c>
      <c r="AB444" t="s">
        <v>1528</v>
      </c>
    </row>
    <row r="445" spans="1:28" x14ac:dyDescent="0.3">
      <c r="A445">
        <v>76319</v>
      </c>
      <c r="B445" t="s">
        <v>1257</v>
      </c>
      <c r="C445">
        <v>0</v>
      </c>
      <c r="D445">
        <v>1610612752</v>
      </c>
      <c r="E445" t="s">
        <v>1248</v>
      </c>
      <c r="F445">
        <v>250</v>
      </c>
      <c r="G445">
        <v>76</v>
      </c>
      <c r="I445">
        <v>13790</v>
      </c>
      <c r="J445">
        <v>260</v>
      </c>
      <c r="K445">
        <v>616</v>
      </c>
      <c r="L445">
        <v>422</v>
      </c>
      <c r="P445">
        <v>138</v>
      </c>
      <c r="Q445">
        <v>187</v>
      </c>
      <c r="R445">
        <v>738</v>
      </c>
      <c r="U445">
        <v>1680</v>
      </c>
      <c r="V445">
        <v>157</v>
      </c>
      <c r="Z445">
        <v>167</v>
      </c>
      <c r="AA445">
        <v>658</v>
      </c>
      <c r="AB445" t="s">
        <v>1528</v>
      </c>
    </row>
    <row r="446" spans="1:28" x14ac:dyDescent="0.3">
      <c r="A446">
        <v>26</v>
      </c>
      <c r="B446" t="s">
        <v>1465</v>
      </c>
      <c r="C446">
        <v>0</v>
      </c>
      <c r="D446">
        <v>1610612752</v>
      </c>
      <c r="E446" t="s">
        <v>1248</v>
      </c>
      <c r="F446">
        <v>320</v>
      </c>
      <c r="G446">
        <v>25</v>
      </c>
      <c r="H446">
        <v>20</v>
      </c>
      <c r="I446">
        <v>2990</v>
      </c>
      <c r="J446">
        <v>18</v>
      </c>
      <c r="K446">
        <v>54</v>
      </c>
      <c r="L446">
        <v>333</v>
      </c>
      <c r="M446">
        <v>0</v>
      </c>
      <c r="N446">
        <v>0</v>
      </c>
      <c r="O446">
        <v>0</v>
      </c>
      <c r="P446">
        <v>13</v>
      </c>
      <c r="Q446">
        <v>17</v>
      </c>
      <c r="R446">
        <v>765</v>
      </c>
      <c r="S446">
        <v>260</v>
      </c>
      <c r="T446">
        <v>400</v>
      </c>
      <c r="U446">
        <v>660</v>
      </c>
      <c r="V446">
        <v>7</v>
      </c>
      <c r="W446">
        <v>30</v>
      </c>
      <c r="X446">
        <v>90</v>
      </c>
      <c r="Y446">
        <v>220</v>
      </c>
      <c r="Z446">
        <v>51</v>
      </c>
      <c r="AA446">
        <v>49</v>
      </c>
      <c r="AB446" t="s">
        <v>1529</v>
      </c>
    </row>
    <row r="447" spans="1:28" x14ac:dyDescent="0.3">
      <c r="A447">
        <v>1626195</v>
      </c>
      <c r="B447" t="s">
        <v>1281</v>
      </c>
      <c r="C447">
        <v>0</v>
      </c>
      <c r="D447">
        <v>1610612752</v>
      </c>
      <c r="E447" t="s">
        <v>1248</v>
      </c>
      <c r="F447">
        <v>230</v>
      </c>
      <c r="G447">
        <v>72</v>
      </c>
      <c r="H447">
        <v>220</v>
      </c>
      <c r="I447">
        <v>13240</v>
      </c>
      <c r="J447">
        <v>246</v>
      </c>
      <c r="K447">
        <v>465</v>
      </c>
      <c r="L447">
        <v>529</v>
      </c>
      <c r="M447">
        <v>40</v>
      </c>
      <c r="N447">
        <v>150</v>
      </c>
      <c r="O447">
        <v>267</v>
      </c>
      <c r="P447">
        <v>91</v>
      </c>
      <c r="Q447">
        <v>125</v>
      </c>
      <c r="R447">
        <v>728</v>
      </c>
      <c r="S447">
        <v>1700</v>
      </c>
      <c r="T447">
        <v>3320</v>
      </c>
      <c r="U447">
        <v>5020</v>
      </c>
      <c r="V447">
        <v>96</v>
      </c>
      <c r="W447">
        <v>410</v>
      </c>
      <c r="X447">
        <v>360</v>
      </c>
      <c r="Y447">
        <v>1000</v>
      </c>
      <c r="Z447">
        <v>150</v>
      </c>
      <c r="AA447">
        <v>587</v>
      </c>
      <c r="AB447" t="s">
        <v>1530</v>
      </c>
    </row>
    <row r="448" spans="1:28" x14ac:dyDescent="0.3">
      <c r="A448">
        <v>1626195</v>
      </c>
      <c r="B448" t="s">
        <v>1259</v>
      </c>
      <c r="C448">
        <v>0</v>
      </c>
      <c r="D448">
        <v>1610612752</v>
      </c>
      <c r="E448" t="s">
        <v>1248</v>
      </c>
      <c r="F448">
        <v>240</v>
      </c>
      <c r="G448">
        <v>26</v>
      </c>
      <c r="H448">
        <v>0</v>
      </c>
      <c r="I448">
        <v>2330</v>
      </c>
      <c r="J448">
        <v>49</v>
      </c>
      <c r="K448">
        <v>81</v>
      </c>
      <c r="L448">
        <v>605</v>
      </c>
      <c r="M448">
        <v>10</v>
      </c>
      <c r="N448">
        <v>50</v>
      </c>
      <c r="O448">
        <v>2</v>
      </c>
      <c r="P448">
        <v>12</v>
      </c>
      <c r="Q448">
        <v>28</v>
      </c>
      <c r="R448">
        <v>429</v>
      </c>
      <c r="S448">
        <v>220</v>
      </c>
      <c r="T448">
        <v>450</v>
      </c>
      <c r="U448">
        <v>670</v>
      </c>
      <c r="V448">
        <v>21</v>
      </c>
      <c r="W448">
        <v>80</v>
      </c>
      <c r="X448">
        <v>70</v>
      </c>
      <c r="Y448">
        <v>260</v>
      </c>
      <c r="Z448">
        <v>32</v>
      </c>
      <c r="AA448">
        <v>111</v>
      </c>
      <c r="AB448" t="s">
        <v>1530</v>
      </c>
    </row>
    <row r="449" spans="1:28" x14ac:dyDescent="0.3">
      <c r="A449">
        <v>1627740</v>
      </c>
      <c r="B449" t="s">
        <v>1287</v>
      </c>
      <c r="C449">
        <v>0</v>
      </c>
      <c r="D449">
        <v>1610612752</v>
      </c>
      <c r="E449" t="s">
        <v>1248</v>
      </c>
      <c r="F449">
        <v>220</v>
      </c>
      <c r="G449">
        <v>17</v>
      </c>
      <c r="H449">
        <v>0</v>
      </c>
      <c r="I449">
        <v>2340</v>
      </c>
      <c r="J449">
        <v>35</v>
      </c>
      <c r="K449">
        <v>85</v>
      </c>
      <c r="L449">
        <v>412</v>
      </c>
      <c r="M449">
        <v>150</v>
      </c>
      <c r="N449">
        <v>340</v>
      </c>
      <c r="O449">
        <v>441</v>
      </c>
      <c r="P449">
        <v>17</v>
      </c>
      <c r="Q449">
        <v>23</v>
      </c>
      <c r="R449">
        <v>739</v>
      </c>
      <c r="S449">
        <v>50</v>
      </c>
      <c r="T449">
        <v>520</v>
      </c>
      <c r="U449">
        <v>570</v>
      </c>
      <c r="V449">
        <v>15</v>
      </c>
      <c r="W449">
        <v>70</v>
      </c>
      <c r="X449">
        <v>20</v>
      </c>
      <c r="Y449">
        <v>90</v>
      </c>
      <c r="Z449">
        <v>25</v>
      </c>
      <c r="AA449">
        <v>102</v>
      </c>
      <c r="AB449" t="s">
        <v>1531</v>
      </c>
    </row>
    <row r="450" spans="1:28" x14ac:dyDescent="0.3">
      <c r="A450">
        <v>76318</v>
      </c>
      <c r="B450" t="s">
        <v>1323</v>
      </c>
      <c r="C450">
        <v>0</v>
      </c>
      <c r="D450">
        <v>1610612752</v>
      </c>
      <c r="E450" t="s">
        <v>1248</v>
      </c>
      <c r="F450">
        <v>260</v>
      </c>
      <c r="G450">
        <v>47</v>
      </c>
      <c r="I450">
        <v>4790</v>
      </c>
      <c r="J450">
        <v>48</v>
      </c>
      <c r="K450">
        <v>155</v>
      </c>
      <c r="L450">
        <v>31</v>
      </c>
      <c r="P450">
        <v>42</v>
      </c>
      <c r="Q450">
        <v>69</v>
      </c>
      <c r="R450">
        <v>609</v>
      </c>
      <c r="U450">
        <v>790</v>
      </c>
      <c r="V450">
        <v>51</v>
      </c>
      <c r="Z450">
        <v>63</v>
      </c>
      <c r="AA450">
        <v>138</v>
      </c>
      <c r="AB450" t="s">
        <v>1532</v>
      </c>
    </row>
    <row r="451" spans="1:28" x14ac:dyDescent="0.3">
      <c r="A451">
        <v>76318</v>
      </c>
      <c r="B451" t="s">
        <v>1255</v>
      </c>
      <c r="C451">
        <v>0</v>
      </c>
      <c r="D451">
        <v>1610612752</v>
      </c>
      <c r="E451" t="s">
        <v>1248</v>
      </c>
      <c r="F451">
        <v>270</v>
      </c>
      <c r="G451">
        <v>68</v>
      </c>
      <c r="I451">
        <v>11930</v>
      </c>
      <c r="J451">
        <v>172</v>
      </c>
      <c r="K451">
        <v>424</v>
      </c>
      <c r="L451">
        <v>406</v>
      </c>
      <c r="P451">
        <v>131</v>
      </c>
      <c r="Q451">
        <v>194</v>
      </c>
      <c r="R451">
        <v>675</v>
      </c>
      <c r="U451">
        <v>1800</v>
      </c>
      <c r="V451">
        <v>138</v>
      </c>
      <c r="Z451">
        <v>164</v>
      </c>
      <c r="AA451">
        <v>475</v>
      </c>
      <c r="AB451" t="s">
        <v>1532</v>
      </c>
    </row>
    <row r="452" spans="1:28" x14ac:dyDescent="0.3">
      <c r="A452">
        <v>201160</v>
      </c>
      <c r="B452" t="s">
        <v>1343</v>
      </c>
      <c r="C452">
        <v>0</v>
      </c>
      <c r="D452">
        <v>1610612752</v>
      </c>
      <c r="E452" t="s">
        <v>1248</v>
      </c>
      <c r="F452">
        <v>290</v>
      </c>
      <c r="G452">
        <v>82</v>
      </c>
      <c r="H452">
        <v>310</v>
      </c>
      <c r="I452">
        <v>17850</v>
      </c>
      <c r="J452">
        <v>257</v>
      </c>
      <c r="K452">
        <v>592</v>
      </c>
      <c r="L452">
        <v>434</v>
      </c>
      <c r="M452">
        <v>150</v>
      </c>
      <c r="N452">
        <v>420</v>
      </c>
      <c r="O452">
        <v>357</v>
      </c>
      <c r="P452">
        <v>127</v>
      </c>
      <c r="Q452">
        <v>153</v>
      </c>
      <c r="R452">
        <v>83</v>
      </c>
      <c r="S452">
        <v>980</v>
      </c>
      <c r="T452">
        <v>2260</v>
      </c>
      <c r="U452">
        <v>3240</v>
      </c>
      <c r="V452">
        <v>140</v>
      </c>
      <c r="W452">
        <v>320</v>
      </c>
      <c r="X452">
        <v>440</v>
      </c>
      <c r="Y452">
        <v>1040</v>
      </c>
      <c r="Z452">
        <v>205</v>
      </c>
      <c r="AA452">
        <v>656</v>
      </c>
      <c r="AB452" t="s">
        <v>1533</v>
      </c>
    </row>
    <row r="453" spans="1:28" x14ac:dyDescent="0.3">
      <c r="A453">
        <v>1629011</v>
      </c>
      <c r="B453" t="s">
        <v>1287</v>
      </c>
      <c r="C453">
        <v>0</v>
      </c>
      <c r="D453">
        <v>1610612752</v>
      </c>
      <c r="E453" t="s">
        <v>1248</v>
      </c>
      <c r="F453">
        <v>210</v>
      </c>
      <c r="G453">
        <v>66</v>
      </c>
      <c r="H453">
        <v>190</v>
      </c>
      <c r="I453">
        <v>13600</v>
      </c>
      <c r="J453">
        <v>202</v>
      </c>
      <c r="K453">
        <v>291</v>
      </c>
      <c r="L453">
        <v>694</v>
      </c>
      <c r="M453">
        <v>0</v>
      </c>
      <c r="N453">
        <v>0</v>
      </c>
      <c r="O453">
        <v>0</v>
      </c>
      <c r="P453">
        <v>81</v>
      </c>
      <c r="Q453">
        <v>135</v>
      </c>
      <c r="R453">
        <v>6</v>
      </c>
      <c r="S453">
        <v>1770</v>
      </c>
      <c r="T453">
        <v>2460</v>
      </c>
      <c r="U453">
        <v>4230</v>
      </c>
      <c r="V453">
        <v>37</v>
      </c>
      <c r="W453">
        <v>520</v>
      </c>
      <c r="X453">
        <v>1610</v>
      </c>
      <c r="Y453">
        <v>350</v>
      </c>
      <c r="Z453">
        <v>217</v>
      </c>
      <c r="AA453">
        <v>485</v>
      </c>
      <c r="AB453" t="s">
        <v>1534</v>
      </c>
    </row>
    <row r="454" spans="1:28" x14ac:dyDescent="0.3">
      <c r="A454">
        <v>1629011</v>
      </c>
      <c r="B454" t="s">
        <v>1288</v>
      </c>
      <c r="C454">
        <v>0</v>
      </c>
      <c r="D454">
        <v>1610612752</v>
      </c>
      <c r="E454" t="s">
        <v>1248</v>
      </c>
      <c r="F454">
        <v>220</v>
      </c>
      <c r="G454">
        <v>61</v>
      </c>
      <c r="H454">
        <v>70</v>
      </c>
      <c r="I454">
        <v>14120</v>
      </c>
      <c r="J454">
        <v>253</v>
      </c>
      <c r="K454">
        <v>341</v>
      </c>
      <c r="L454">
        <v>742</v>
      </c>
      <c r="M454">
        <v>0</v>
      </c>
      <c r="N454">
        <v>0</v>
      </c>
      <c r="O454">
        <v>0</v>
      </c>
      <c r="P454">
        <v>84</v>
      </c>
      <c r="Q454">
        <v>148</v>
      </c>
      <c r="R454">
        <v>568</v>
      </c>
      <c r="S454">
        <v>1860</v>
      </c>
      <c r="T454">
        <v>2420</v>
      </c>
      <c r="U454">
        <v>4280</v>
      </c>
      <c r="V454">
        <v>36</v>
      </c>
      <c r="W454">
        <v>520</v>
      </c>
      <c r="X454">
        <v>1190</v>
      </c>
      <c r="Y454">
        <v>370</v>
      </c>
      <c r="Z454">
        <v>194</v>
      </c>
      <c r="AA454">
        <v>590</v>
      </c>
      <c r="AB454" t="s">
        <v>1534</v>
      </c>
    </row>
    <row r="455" spans="1:28" x14ac:dyDescent="0.3">
      <c r="A455">
        <v>1629011</v>
      </c>
      <c r="B455" t="s">
        <v>1289</v>
      </c>
      <c r="C455">
        <v>0</v>
      </c>
      <c r="D455">
        <v>1610612752</v>
      </c>
      <c r="E455" t="s">
        <v>1248</v>
      </c>
      <c r="F455">
        <v>230</v>
      </c>
      <c r="G455">
        <v>31</v>
      </c>
      <c r="H455">
        <v>290</v>
      </c>
      <c r="I455">
        <v>8530</v>
      </c>
      <c r="J455">
        <v>115</v>
      </c>
      <c r="K455">
        <v>176</v>
      </c>
      <c r="L455">
        <v>653</v>
      </c>
      <c r="M455">
        <v>0</v>
      </c>
      <c r="N455">
        <v>0</v>
      </c>
      <c r="O455">
        <v>0</v>
      </c>
      <c r="P455">
        <v>26</v>
      </c>
      <c r="Q455">
        <v>53</v>
      </c>
      <c r="R455">
        <v>491</v>
      </c>
      <c r="S455">
        <v>1130</v>
      </c>
      <c r="T455">
        <v>1390</v>
      </c>
      <c r="U455">
        <v>2520</v>
      </c>
      <c r="V455">
        <v>17</v>
      </c>
      <c r="W455">
        <v>350</v>
      </c>
      <c r="X455">
        <v>450</v>
      </c>
      <c r="Y455">
        <v>260</v>
      </c>
      <c r="Z455">
        <v>86</v>
      </c>
      <c r="AA455">
        <v>256</v>
      </c>
      <c r="AB455" t="s">
        <v>1534</v>
      </c>
    </row>
    <row r="456" spans="1:28" x14ac:dyDescent="0.3">
      <c r="A456">
        <v>1629011</v>
      </c>
      <c r="B456" t="s">
        <v>1308</v>
      </c>
      <c r="C456">
        <v>0</v>
      </c>
      <c r="D456">
        <v>1610612752</v>
      </c>
      <c r="E456" t="s">
        <v>1248</v>
      </c>
      <c r="F456">
        <v>240</v>
      </c>
      <c r="G456">
        <v>72</v>
      </c>
      <c r="H456">
        <v>620</v>
      </c>
      <c r="I456">
        <v>18480</v>
      </c>
      <c r="J456">
        <v>261</v>
      </c>
      <c r="K456">
        <v>343</v>
      </c>
      <c r="L456">
        <v>761</v>
      </c>
      <c r="M456">
        <v>0</v>
      </c>
      <c r="N456">
        <v>0</v>
      </c>
      <c r="O456">
        <v>0</v>
      </c>
      <c r="P456">
        <v>88</v>
      </c>
      <c r="Q456">
        <v>181</v>
      </c>
      <c r="R456">
        <v>486</v>
      </c>
      <c r="S456">
        <v>2950</v>
      </c>
      <c r="T456">
        <v>3220</v>
      </c>
      <c r="U456">
        <v>6170</v>
      </c>
      <c r="V456">
        <v>38</v>
      </c>
      <c r="W456">
        <v>580</v>
      </c>
      <c r="X456">
        <v>1330</v>
      </c>
      <c r="Y456">
        <v>600</v>
      </c>
      <c r="Z456">
        <v>195</v>
      </c>
      <c r="AA456">
        <v>610</v>
      </c>
      <c r="AB456" t="s">
        <v>1534</v>
      </c>
    </row>
    <row r="457" spans="1:28" x14ac:dyDescent="0.3">
      <c r="A457">
        <v>1629011</v>
      </c>
      <c r="B457" t="s">
        <v>1327</v>
      </c>
      <c r="C457">
        <v>0</v>
      </c>
      <c r="D457">
        <v>1610612752</v>
      </c>
      <c r="E457" t="s">
        <v>1248</v>
      </c>
      <c r="F457">
        <v>250</v>
      </c>
      <c r="G457">
        <v>59</v>
      </c>
      <c r="H457">
        <v>580</v>
      </c>
      <c r="I457">
        <v>15890</v>
      </c>
      <c r="J457">
        <v>188</v>
      </c>
      <c r="K457">
        <v>280</v>
      </c>
      <c r="L457">
        <v>671</v>
      </c>
      <c r="M457">
        <v>0</v>
      </c>
      <c r="N457">
        <v>0</v>
      </c>
      <c r="O457">
        <v>0</v>
      </c>
      <c r="P457">
        <v>59</v>
      </c>
      <c r="Q457">
        <v>122</v>
      </c>
      <c r="R457">
        <v>484</v>
      </c>
      <c r="S457">
        <v>2670</v>
      </c>
      <c r="T457">
        <v>2880</v>
      </c>
      <c r="U457">
        <v>5550</v>
      </c>
      <c r="V457">
        <v>53</v>
      </c>
      <c r="W457">
        <v>560</v>
      </c>
      <c r="X457">
        <v>1090</v>
      </c>
      <c r="Y457">
        <v>410</v>
      </c>
      <c r="Z457">
        <v>160</v>
      </c>
      <c r="AA457">
        <v>435</v>
      </c>
      <c r="AB457" t="s">
        <v>1534</v>
      </c>
    </row>
    <row r="458" spans="1:28" x14ac:dyDescent="0.3">
      <c r="A458">
        <v>1629011</v>
      </c>
      <c r="B458" t="s">
        <v>1369</v>
      </c>
      <c r="C458">
        <v>0</v>
      </c>
      <c r="D458">
        <v>1610612752</v>
      </c>
      <c r="E458" t="s">
        <v>1248</v>
      </c>
      <c r="F458">
        <v>260</v>
      </c>
      <c r="G458">
        <v>31</v>
      </c>
      <c r="H458">
        <v>210</v>
      </c>
      <c r="I458">
        <v>7680</v>
      </c>
      <c r="J458">
        <v>73</v>
      </c>
      <c r="K458">
        <v>127</v>
      </c>
      <c r="L458">
        <v>575</v>
      </c>
      <c r="M458">
        <v>0</v>
      </c>
      <c r="N458">
        <v>0</v>
      </c>
      <c r="O458">
        <v>0</v>
      </c>
      <c r="P458">
        <v>27</v>
      </c>
      <c r="Q458">
        <v>66</v>
      </c>
      <c r="R458">
        <v>409</v>
      </c>
      <c r="S458">
        <v>1420</v>
      </c>
      <c r="T458">
        <v>1210</v>
      </c>
      <c r="U458">
        <v>2630</v>
      </c>
      <c r="V458">
        <v>18</v>
      </c>
      <c r="W458">
        <v>370</v>
      </c>
      <c r="X458">
        <v>350</v>
      </c>
      <c r="Y458">
        <v>250</v>
      </c>
      <c r="Z458">
        <v>55</v>
      </c>
      <c r="AA458">
        <v>173</v>
      </c>
      <c r="AB458" t="s">
        <v>1534</v>
      </c>
    </row>
    <row r="459" spans="1:28" x14ac:dyDescent="0.3">
      <c r="A459">
        <v>203944</v>
      </c>
      <c r="B459" t="s">
        <v>1288</v>
      </c>
      <c r="C459">
        <v>0</v>
      </c>
      <c r="D459">
        <v>1610612752</v>
      </c>
      <c r="E459" t="s">
        <v>1248</v>
      </c>
      <c r="F459">
        <v>250</v>
      </c>
      <c r="G459">
        <v>64</v>
      </c>
      <c r="H459">
        <v>640</v>
      </c>
      <c r="I459">
        <v>20800</v>
      </c>
      <c r="J459">
        <v>463</v>
      </c>
      <c r="K459">
        <v>1006</v>
      </c>
      <c r="L459">
        <v>46</v>
      </c>
      <c r="M459">
        <v>640</v>
      </c>
      <c r="N459">
        <v>2310</v>
      </c>
      <c r="O459">
        <v>277</v>
      </c>
      <c r="P459">
        <v>258</v>
      </c>
      <c r="Q459">
        <v>352</v>
      </c>
      <c r="R459">
        <v>733</v>
      </c>
      <c r="S459">
        <v>1510</v>
      </c>
      <c r="T459">
        <v>4710</v>
      </c>
      <c r="U459">
        <v>6220</v>
      </c>
      <c r="V459">
        <v>198</v>
      </c>
      <c r="W459">
        <v>510</v>
      </c>
      <c r="X459">
        <v>220</v>
      </c>
      <c r="Y459">
        <v>1930</v>
      </c>
      <c r="Z459">
        <v>178</v>
      </c>
      <c r="AA459">
        <v>1248</v>
      </c>
      <c r="AB459" t="s">
        <v>1535</v>
      </c>
    </row>
    <row r="460" spans="1:28" x14ac:dyDescent="0.3">
      <c r="A460">
        <v>203944</v>
      </c>
      <c r="B460" t="s">
        <v>1289</v>
      </c>
      <c r="C460">
        <v>0</v>
      </c>
      <c r="D460">
        <v>1610612752</v>
      </c>
      <c r="E460" t="s">
        <v>1248</v>
      </c>
      <c r="F460">
        <v>260</v>
      </c>
      <c r="G460">
        <v>71</v>
      </c>
      <c r="H460">
        <v>710</v>
      </c>
      <c r="I460">
        <v>26670</v>
      </c>
      <c r="J460">
        <v>602</v>
      </c>
      <c r="K460">
        <v>1321</v>
      </c>
      <c r="L460">
        <v>456</v>
      </c>
      <c r="M460">
        <v>1600</v>
      </c>
      <c r="N460">
        <v>3890</v>
      </c>
      <c r="O460">
        <v>411</v>
      </c>
      <c r="P460">
        <v>348</v>
      </c>
      <c r="Q460">
        <v>429</v>
      </c>
      <c r="R460">
        <v>811</v>
      </c>
      <c r="S460">
        <v>840</v>
      </c>
      <c r="T460">
        <v>6400</v>
      </c>
      <c r="U460">
        <v>7240</v>
      </c>
      <c r="V460">
        <v>427</v>
      </c>
      <c r="W460">
        <v>640</v>
      </c>
      <c r="X460">
        <v>180</v>
      </c>
      <c r="Y460">
        <v>2410</v>
      </c>
      <c r="Z460">
        <v>225</v>
      </c>
      <c r="AA460">
        <v>1712</v>
      </c>
      <c r="AB460" t="s">
        <v>1535</v>
      </c>
    </row>
    <row r="461" spans="1:28" x14ac:dyDescent="0.3">
      <c r="A461">
        <v>203944</v>
      </c>
      <c r="B461" t="s">
        <v>1308</v>
      </c>
      <c r="C461">
        <v>0</v>
      </c>
      <c r="D461">
        <v>1610612752</v>
      </c>
      <c r="E461" t="s">
        <v>1248</v>
      </c>
      <c r="F461">
        <v>270</v>
      </c>
      <c r="G461">
        <v>72</v>
      </c>
      <c r="H461">
        <v>720</v>
      </c>
      <c r="I461">
        <v>25440</v>
      </c>
      <c r="J461">
        <v>512</v>
      </c>
      <c r="K461">
        <v>1246</v>
      </c>
      <c r="L461">
        <v>411</v>
      </c>
      <c r="M461">
        <v>1200</v>
      </c>
      <c r="N461">
        <v>3900</v>
      </c>
      <c r="O461">
        <v>308</v>
      </c>
      <c r="P461">
        <v>303</v>
      </c>
      <c r="Q461">
        <v>401</v>
      </c>
      <c r="R461">
        <v>756</v>
      </c>
      <c r="S461">
        <v>1250</v>
      </c>
      <c r="T461">
        <v>5910</v>
      </c>
      <c r="U461">
        <v>7160</v>
      </c>
      <c r="V461">
        <v>370</v>
      </c>
      <c r="W461">
        <v>530</v>
      </c>
      <c r="X461">
        <v>390</v>
      </c>
      <c r="Y461">
        <v>2450</v>
      </c>
      <c r="Z461">
        <v>205</v>
      </c>
      <c r="AA461">
        <v>1447</v>
      </c>
      <c r="AB461" t="s">
        <v>1535</v>
      </c>
    </row>
    <row r="462" spans="1:28" x14ac:dyDescent="0.3">
      <c r="A462">
        <v>203944</v>
      </c>
      <c r="B462" t="s">
        <v>1327</v>
      </c>
      <c r="C462">
        <v>0</v>
      </c>
      <c r="D462">
        <v>1610612752</v>
      </c>
      <c r="E462" t="s">
        <v>1248</v>
      </c>
      <c r="F462">
        <v>280</v>
      </c>
      <c r="G462">
        <v>77</v>
      </c>
      <c r="H462">
        <v>770</v>
      </c>
      <c r="I462">
        <v>27370</v>
      </c>
      <c r="J462">
        <v>658</v>
      </c>
      <c r="K462">
        <v>1432</v>
      </c>
      <c r="L462">
        <v>459</v>
      </c>
      <c r="M462">
        <v>2180</v>
      </c>
      <c r="N462">
        <v>6360</v>
      </c>
      <c r="O462">
        <v>343</v>
      </c>
      <c r="P462">
        <v>402</v>
      </c>
      <c r="Q462">
        <v>531</v>
      </c>
      <c r="R462">
        <v>757</v>
      </c>
      <c r="S462">
        <v>1410</v>
      </c>
      <c r="T462">
        <v>6260</v>
      </c>
      <c r="U462">
        <v>7670</v>
      </c>
      <c r="V462">
        <v>316</v>
      </c>
      <c r="W462">
        <v>490</v>
      </c>
      <c r="X462">
        <v>210</v>
      </c>
      <c r="Y462">
        <v>2160</v>
      </c>
      <c r="Z462">
        <v>233</v>
      </c>
      <c r="AA462">
        <v>1936</v>
      </c>
      <c r="AB462" t="s">
        <v>1535</v>
      </c>
    </row>
    <row r="463" spans="1:28" x14ac:dyDescent="0.3">
      <c r="A463">
        <v>203944</v>
      </c>
      <c r="B463" t="s">
        <v>1369</v>
      </c>
      <c r="C463">
        <v>0</v>
      </c>
      <c r="D463">
        <v>1610612752</v>
      </c>
      <c r="E463" t="s">
        <v>1248</v>
      </c>
      <c r="F463">
        <v>290</v>
      </c>
      <c r="G463">
        <v>46</v>
      </c>
      <c r="H463">
        <v>460</v>
      </c>
      <c r="I463">
        <v>16300</v>
      </c>
      <c r="J463">
        <v>395</v>
      </c>
      <c r="K463">
        <v>836</v>
      </c>
      <c r="L463">
        <v>472</v>
      </c>
      <c r="M463">
        <v>760</v>
      </c>
      <c r="N463">
        <v>2440</v>
      </c>
      <c r="O463">
        <v>311</v>
      </c>
      <c r="P463">
        <v>236</v>
      </c>
      <c r="Q463">
        <v>302</v>
      </c>
      <c r="R463">
        <v>781</v>
      </c>
      <c r="S463">
        <v>990</v>
      </c>
      <c r="T463">
        <v>3240</v>
      </c>
      <c r="U463">
        <v>4230</v>
      </c>
      <c r="V463">
        <v>229</v>
      </c>
      <c r="W463">
        <v>250</v>
      </c>
      <c r="X463">
        <v>120</v>
      </c>
      <c r="Y463">
        <v>1590</v>
      </c>
      <c r="Z463">
        <v>125</v>
      </c>
      <c r="AA463">
        <v>1102</v>
      </c>
      <c r="AB463" t="s">
        <v>1535</v>
      </c>
    </row>
    <row r="464" spans="1:28" x14ac:dyDescent="0.3">
      <c r="A464">
        <v>38</v>
      </c>
      <c r="B464" t="s">
        <v>1276</v>
      </c>
      <c r="C464">
        <v>0</v>
      </c>
      <c r="D464">
        <v>1610612752</v>
      </c>
      <c r="E464" t="s">
        <v>1248</v>
      </c>
      <c r="F464">
        <v>310</v>
      </c>
      <c r="G464">
        <v>23</v>
      </c>
      <c r="H464">
        <v>70</v>
      </c>
      <c r="I464">
        <v>3250</v>
      </c>
      <c r="J464">
        <v>32</v>
      </c>
      <c r="K464">
        <v>79</v>
      </c>
      <c r="L464">
        <v>405</v>
      </c>
      <c r="M464">
        <v>240</v>
      </c>
      <c r="N464">
        <v>570</v>
      </c>
      <c r="O464">
        <v>421</v>
      </c>
      <c r="P464">
        <v>2</v>
      </c>
      <c r="Q464">
        <v>2</v>
      </c>
      <c r="R464">
        <v>10</v>
      </c>
      <c r="S464">
        <v>20</v>
      </c>
      <c r="T464">
        <v>290</v>
      </c>
      <c r="U464">
        <v>310</v>
      </c>
      <c r="V464">
        <v>27</v>
      </c>
      <c r="W464">
        <v>80</v>
      </c>
      <c r="X464">
        <v>100</v>
      </c>
      <c r="Y464">
        <v>110</v>
      </c>
      <c r="Z464">
        <v>36</v>
      </c>
      <c r="AA464">
        <v>90</v>
      </c>
      <c r="AB464" t="s">
        <v>1536</v>
      </c>
    </row>
    <row r="465" spans="1:28" x14ac:dyDescent="0.3">
      <c r="A465">
        <v>76993</v>
      </c>
      <c r="B465" t="s">
        <v>1394</v>
      </c>
      <c r="C465">
        <v>0</v>
      </c>
      <c r="D465">
        <v>1610612752</v>
      </c>
      <c r="E465" t="s">
        <v>1248</v>
      </c>
      <c r="F465">
        <v>310</v>
      </c>
      <c r="G465">
        <v>68</v>
      </c>
      <c r="H465">
        <v>530</v>
      </c>
      <c r="I465">
        <v>18900</v>
      </c>
      <c r="J465">
        <v>273</v>
      </c>
      <c r="K465">
        <v>624</v>
      </c>
      <c r="L465">
        <v>438</v>
      </c>
      <c r="M465">
        <v>190</v>
      </c>
      <c r="N465">
        <v>740</v>
      </c>
      <c r="O465">
        <v>257</v>
      </c>
      <c r="P465">
        <v>173</v>
      </c>
      <c r="Q465">
        <v>212</v>
      </c>
      <c r="R465">
        <v>816</v>
      </c>
      <c r="S465">
        <v>440</v>
      </c>
      <c r="T465">
        <v>1220</v>
      </c>
      <c r="U465">
        <v>1660</v>
      </c>
      <c r="V465">
        <v>439</v>
      </c>
      <c r="W465">
        <v>950</v>
      </c>
      <c r="X465">
        <v>110</v>
      </c>
      <c r="Y465">
        <v>1570</v>
      </c>
      <c r="Z465">
        <v>191</v>
      </c>
      <c r="AA465">
        <v>738</v>
      </c>
      <c r="AB465" t="s">
        <v>1537</v>
      </c>
    </row>
    <row r="466" spans="1:28" x14ac:dyDescent="0.3">
      <c r="A466">
        <v>76993</v>
      </c>
      <c r="B466" t="s">
        <v>1253</v>
      </c>
      <c r="C466">
        <v>0</v>
      </c>
      <c r="D466">
        <v>1610612752</v>
      </c>
      <c r="E466" t="s">
        <v>1248</v>
      </c>
      <c r="F466">
        <v>320</v>
      </c>
      <c r="G466">
        <v>6</v>
      </c>
      <c r="H466">
        <v>20</v>
      </c>
      <c r="I466">
        <v>690</v>
      </c>
      <c r="J466">
        <v>5</v>
      </c>
      <c r="K466">
        <v>14</v>
      </c>
      <c r="L466">
        <v>357</v>
      </c>
      <c r="M466">
        <v>20</v>
      </c>
      <c r="N466">
        <v>40</v>
      </c>
      <c r="O466">
        <v>5</v>
      </c>
      <c r="P466">
        <v>2</v>
      </c>
      <c r="Q466">
        <v>2</v>
      </c>
      <c r="R466">
        <v>10</v>
      </c>
      <c r="S466">
        <v>10</v>
      </c>
      <c r="T466">
        <v>90</v>
      </c>
      <c r="U466">
        <v>100</v>
      </c>
      <c r="V466">
        <v>13</v>
      </c>
      <c r="W466">
        <v>20</v>
      </c>
      <c r="X466">
        <v>0</v>
      </c>
      <c r="Y466">
        <v>80</v>
      </c>
      <c r="Z466">
        <v>14</v>
      </c>
      <c r="AA466">
        <v>14</v>
      </c>
      <c r="AB466" t="s">
        <v>1537</v>
      </c>
    </row>
    <row r="467" spans="1:28" x14ac:dyDescent="0.3">
      <c r="A467">
        <v>76655</v>
      </c>
      <c r="B467" t="s">
        <v>1378</v>
      </c>
      <c r="C467">
        <v>0</v>
      </c>
      <c r="D467">
        <v>1610612752</v>
      </c>
      <c r="E467" t="s">
        <v>1248</v>
      </c>
      <c r="F467">
        <v>280</v>
      </c>
      <c r="G467">
        <v>3</v>
      </c>
      <c r="J467">
        <v>0</v>
      </c>
      <c r="K467">
        <v>4</v>
      </c>
      <c r="L467">
        <v>0</v>
      </c>
      <c r="P467">
        <v>4</v>
      </c>
      <c r="Q467">
        <v>4</v>
      </c>
      <c r="R467">
        <v>10</v>
      </c>
      <c r="U467">
        <v>80</v>
      </c>
      <c r="V467">
        <v>0</v>
      </c>
      <c r="Z467">
        <v>6</v>
      </c>
      <c r="AA467">
        <v>4</v>
      </c>
      <c r="AB467" t="s">
        <v>1538</v>
      </c>
    </row>
    <row r="468" spans="1:28" x14ac:dyDescent="0.3">
      <c r="A468">
        <v>76314</v>
      </c>
      <c r="B468" t="s">
        <v>1323</v>
      </c>
      <c r="C468">
        <v>0</v>
      </c>
      <c r="D468">
        <v>1610612752</v>
      </c>
      <c r="E468" t="s">
        <v>1248</v>
      </c>
      <c r="F468">
        <v>220</v>
      </c>
      <c r="G468">
        <v>8</v>
      </c>
      <c r="I468">
        <v>280</v>
      </c>
      <c r="J468">
        <v>7</v>
      </c>
      <c r="K468">
        <v>14</v>
      </c>
      <c r="L468">
        <v>5</v>
      </c>
      <c r="P468">
        <v>1</v>
      </c>
      <c r="Q468">
        <v>4</v>
      </c>
      <c r="R468">
        <v>25</v>
      </c>
      <c r="U468">
        <v>50</v>
      </c>
      <c r="V468">
        <v>1</v>
      </c>
      <c r="Z468">
        <v>3</v>
      </c>
      <c r="AA468">
        <v>15</v>
      </c>
      <c r="AB468" t="s">
        <v>1539</v>
      </c>
    </row>
    <row r="469" spans="1:28" x14ac:dyDescent="0.3">
      <c r="A469">
        <v>77884</v>
      </c>
      <c r="B469" t="s">
        <v>1417</v>
      </c>
      <c r="C469">
        <v>0</v>
      </c>
      <c r="D469">
        <v>1610612752</v>
      </c>
      <c r="E469" t="s">
        <v>1248</v>
      </c>
      <c r="F469">
        <v>220</v>
      </c>
      <c r="G469">
        <v>56</v>
      </c>
      <c r="I469">
        <v>2510</v>
      </c>
      <c r="J469">
        <v>30</v>
      </c>
      <c r="K469">
        <v>81</v>
      </c>
      <c r="L469">
        <v>37</v>
      </c>
      <c r="P469">
        <v>24</v>
      </c>
      <c r="Q469">
        <v>34</v>
      </c>
      <c r="R469">
        <v>706</v>
      </c>
      <c r="U469">
        <v>290</v>
      </c>
      <c r="V469">
        <v>12</v>
      </c>
      <c r="Z469">
        <v>57</v>
      </c>
      <c r="AA469">
        <v>84</v>
      </c>
      <c r="AB469" t="s">
        <v>1540</v>
      </c>
    </row>
    <row r="470" spans="1:28" x14ac:dyDescent="0.3">
      <c r="A470">
        <v>77884</v>
      </c>
      <c r="B470" t="s">
        <v>1354</v>
      </c>
      <c r="C470">
        <v>0</v>
      </c>
      <c r="D470">
        <v>1610612752</v>
      </c>
      <c r="E470" t="s">
        <v>1248</v>
      </c>
      <c r="F470">
        <v>230</v>
      </c>
      <c r="G470">
        <v>6</v>
      </c>
      <c r="I470">
        <v>400</v>
      </c>
      <c r="J470">
        <v>5</v>
      </c>
      <c r="K470">
        <v>14</v>
      </c>
      <c r="L470">
        <v>357</v>
      </c>
      <c r="P470">
        <v>9</v>
      </c>
      <c r="Q470">
        <v>11</v>
      </c>
      <c r="R470">
        <v>818</v>
      </c>
      <c r="U470">
        <v>60</v>
      </c>
      <c r="V470">
        <v>6</v>
      </c>
      <c r="Z470">
        <v>10</v>
      </c>
      <c r="AA470">
        <v>19</v>
      </c>
      <c r="AB470" t="s">
        <v>1540</v>
      </c>
    </row>
    <row r="471" spans="1:28" x14ac:dyDescent="0.3">
      <c r="A471">
        <v>202391</v>
      </c>
      <c r="B471" t="s">
        <v>1290</v>
      </c>
      <c r="C471">
        <v>0</v>
      </c>
      <c r="D471">
        <v>1610612752</v>
      </c>
      <c r="E471" t="s">
        <v>1248</v>
      </c>
      <c r="F471">
        <v>230</v>
      </c>
      <c r="G471">
        <v>35</v>
      </c>
      <c r="H471">
        <v>250</v>
      </c>
      <c r="I471">
        <v>9400</v>
      </c>
      <c r="J471">
        <v>171</v>
      </c>
      <c r="K471">
        <v>383</v>
      </c>
      <c r="L471">
        <v>446</v>
      </c>
      <c r="M471">
        <v>240</v>
      </c>
      <c r="N471">
        <v>750</v>
      </c>
      <c r="O471">
        <v>32</v>
      </c>
      <c r="P471">
        <v>146</v>
      </c>
      <c r="Q471">
        <v>183</v>
      </c>
      <c r="R471">
        <v>798</v>
      </c>
      <c r="S471">
        <v>180</v>
      </c>
      <c r="T471">
        <v>890</v>
      </c>
      <c r="U471">
        <v>1070</v>
      </c>
      <c r="V471">
        <v>216</v>
      </c>
      <c r="W471">
        <v>550</v>
      </c>
      <c r="X471">
        <v>90</v>
      </c>
      <c r="Y471">
        <v>1260</v>
      </c>
      <c r="Z471">
        <v>78</v>
      </c>
      <c r="AA471">
        <v>512</v>
      </c>
      <c r="AB471" t="s">
        <v>1541</v>
      </c>
    </row>
    <row r="472" spans="1:28" x14ac:dyDescent="0.3">
      <c r="A472">
        <v>21</v>
      </c>
      <c r="B472" t="s">
        <v>1272</v>
      </c>
      <c r="C472">
        <v>0</v>
      </c>
      <c r="D472">
        <v>1610612752</v>
      </c>
      <c r="E472" t="s">
        <v>1248</v>
      </c>
      <c r="F472">
        <v>240</v>
      </c>
      <c r="G472">
        <v>82</v>
      </c>
      <c r="H472">
        <v>10</v>
      </c>
      <c r="I472">
        <v>15100</v>
      </c>
      <c r="J472">
        <v>161</v>
      </c>
      <c r="K472">
        <v>435</v>
      </c>
      <c r="L472">
        <v>37</v>
      </c>
      <c r="M472">
        <v>80</v>
      </c>
      <c r="N472">
        <v>550</v>
      </c>
      <c r="O472">
        <v>145</v>
      </c>
      <c r="P472">
        <v>117</v>
      </c>
      <c r="Q472">
        <v>158</v>
      </c>
      <c r="R472">
        <v>741</v>
      </c>
      <c r="S472">
        <v>330</v>
      </c>
      <c r="T472">
        <v>1030</v>
      </c>
      <c r="U472">
        <v>1360</v>
      </c>
      <c r="V472">
        <v>314</v>
      </c>
      <c r="W472">
        <v>590</v>
      </c>
      <c r="X472">
        <v>90</v>
      </c>
      <c r="Y472">
        <v>980</v>
      </c>
      <c r="Z472">
        <v>170</v>
      </c>
      <c r="AA472">
        <v>447</v>
      </c>
      <c r="AB472" t="s">
        <v>1542</v>
      </c>
    </row>
    <row r="473" spans="1:28" x14ac:dyDescent="0.3">
      <c r="A473">
        <v>21</v>
      </c>
      <c r="B473" t="s">
        <v>1273</v>
      </c>
      <c r="C473">
        <v>0</v>
      </c>
      <c r="D473">
        <v>1610612752</v>
      </c>
      <c r="E473" t="s">
        <v>1248</v>
      </c>
      <c r="F473">
        <v>250</v>
      </c>
      <c r="G473">
        <v>70</v>
      </c>
      <c r="H473">
        <v>350</v>
      </c>
      <c r="I473">
        <v>16990</v>
      </c>
      <c r="J473">
        <v>174</v>
      </c>
      <c r="K473">
        <v>419</v>
      </c>
      <c r="L473">
        <v>415</v>
      </c>
      <c r="M473">
        <v>40</v>
      </c>
      <c r="N473">
        <v>300</v>
      </c>
      <c r="O473">
        <v>133</v>
      </c>
      <c r="P473">
        <v>107</v>
      </c>
      <c r="Q473">
        <v>159</v>
      </c>
      <c r="R473">
        <v>673</v>
      </c>
      <c r="S473">
        <v>420</v>
      </c>
      <c r="T473">
        <v>1280</v>
      </c>
      <c r="U473">
        <v>1700</v>
      </c>
      <c r="V473">
        <v>398</v>
      </c>
      <c r="W473">
        <v>1130</v>
      </c>
      <c r="X473">
        <v>120</v>
      </c>
      <c r="Y473">
        <v>1040</v>
      </c>
      <c r="Z473">
        <v>141</v>
      </c>
      <c r="AA473">
        <v>459</v>
      </c>
      <c r="AB473" t="s">
        <v>1542</v>
      </c>
    </row>
    <row r="474" spans="1:28" x14ac:dyDescent="0.3">
      <c r="A474">
        <v>21</v>
      </c>
      <c r="B474" t="s">
        <v>1274</v>
      </c>
      <c r="C474">
        <v>0</v>
      </c>
      <c r="D474">
        <v>1610612752</v>
      </c>
      <c r="E474" t="s">
        <v>1248</v>
      </c>
      <c r="F474">
        <v>260</v>
      </c>
      <c r="G474">
        <v>80</v>
      </c>
      <c r="H474">
        <v>360</v>
      </c>
      <c r="I474">
        <v>19940</v>
      </c>
      <c r="J474">
        <v>225</v>
      </c>
      <c r="K474">
        <v>571</v>
      </c>
      <c r="L474">
        <v>394</v>
      </c>
      <c r="M474">
        <v>480</v>
      </c>
      <c r="N474">
        <v>1600</v>
      </c>
      <c r="O474">
        <v>3</v>
      </c>
      <c r="P474">
        <v>130</v>
      </c>
      <c r="Q474">
        <v>168</v>
      </c>
      <c r="R474">
        <v>774</v>
      </c>
      <c r="S474">
        <v>430</v>
      </c>
      <c r="T474">
        <v>1460</v>
      </c>
      <c r="U474">
        <v>1890</v>
      </c>
      <c r="V474">
        <v>365</v>
      </c>
      <c r="W474">
        <v>1140</v>
      </c>
      <c r="X474">
        <v>130</v>
      </c>
      <c r="Y474">
        <v>1270</v>
      </c>
      <c r="Z474">
        <v>163</v>
      </c>
      <c r="AA474">
        <v>628</v>
      </c>
      <c r="AB474" t="s">
        <v>1542</v>
      </c>
    </row>
    <row r="475" spans="1:28" x14ac:dyDescent="0.3">
      <c r="A475">
        <v>21</v>
      </c>
      <c r="B475" t="s">
        <v>1275</v>
      </c>
      <c r="C475">
        <v>0</v>
      </c>
      <c r="D475">
        <v>1610612752</v>
      </c>
      <c r="E475" t="s">
        <v>1248</v>
      </c>
      <c r="F475">
        <v>270</v>
      </c>
      <c r="G475">
        <v>61</v>
      </c>
      <c r="H475">
        <v>20</v>
      </c>
      <c r="I475">
        <v>9430</v>
      </c>
      <c r="J475">
        <v>128</v>
      </c>
      <c r="K475">
        <v>293</v>
      </c>
      <c r="L475">
        <v>437</v>
      </c>
      <c r="M475">
        <v>560</v>
      </c>
      <c r="N475">
        <v>1550</v>
      </c>
      <c r="O475">
        <v>361</v>
      </c>
      <c r="P475">
        <v>60</v>
      </c>
      <c r="Q475">
        <v>76</v>
      </c>
      <c r="R475">
        <v>789</v>
      </c>
      <c r="S475">
        <v>70</v>
      </c>
      <c r="T475">
        <v>570</v>
      </c>
      <c r="U475">
        <v>640</v>
      </c>
      <c r="V475">
        <v>160</v>
      </c>
      <c r="W475">
        <v>500</v>
      </c>
      <c r="X475">
        <v>70</v>
      </c>
      <c r="Y475">
        <v>570</v>
      </c>
      <c r="Z475">
        <v>99</v>
      </c>
      <c r="AA475">
        <v>372</v>
      </c>
      <c r="AB475" t="s">
        <v>1542</v>
      </c>
    </row>
    <row r="476" spans="1:28" x14ac:dyDescent="0.3">
      <c r="A476">
        <v>76986</v>
      </c>
      <c r="B476" t="s">
        <v>1362</v>
      </c>
      <c r="C476">
        <v>0</v>
      </c>
      <c r="D476">
        <v>1610612752</v>
      </c>
      <c r="E476" t="s">
        <v>1248</v>
      </c>
      <c r="F476">
        <v>250</v>
      </c>
      <c r="G476">
        <v>5</v>
      </c>
      <c r="I476">
        <v>230</v>
      </c>
      <c r="J476">
        <v>2</v>
      </c>
      <c r="K476">
        <v>9</v>
      </c>
      <c r="L476">
        <v>222</v>
      </c>
      <c r="P476">
        <v>0</v>
      </c>
      <c r="Q476">
        <v>1</v>
      </c>
      <c r="R476">
        <v>0</v>
      </c>
      <c r="U476">
        <v>40</v>
      </c>
      <c r="V476">
        <v>2</v>
      </c>
      <c r="Z476">
        <v>3</v>
      </c>
      <c r="AA476">
        <v>4</v>
      </c>
      <c r="AB476" t="s">
        <v>1543</v>
      </c>
    </row>
    <row r="477" spans="1:28" x14ac:dyDescent="0.3">
      <c r="A477">
        <v>458</v>
      </c>
      <c r="B477" t="s">
        <v>1330</v>
      </c>
      <c r="C477">
        <v>0</v>
      </c>
      <c r="D477">
        <v>1610612752</v>
      </c>
      <c r="E477" t="s">
        <v>1248</v>
      </c>
      <c r="F477">
        <v>290</v>
      </c>
      <c r="G477">
        <v>39</v>
      </c>
      <c r="H477">
        <v>0</v>
      </c>
      <c r="I477">
        <v>6100</v>
      </c>
      <c r="J477">
        <v>59</v>
      </c>
      <c r="K477">
        <v>175</v>
      </c>
      <c r="L477">
        <v>337</v>
      </c>
      <c r="M477">
        <v>140</v>
      </c>
      <c r="N477">
        <v>580</v>
      </c>
      <c r="O477">
        <v>241</v>
      </c>
      <c r="P477">
        <v>39</v>
      </c>
      <c r="Q477">
        <v>49</v>
      </c>
      <c r="R477">
        <v>796</v>
      </c>
      <c r="S477">
        <v>90</v>
      </c>
      <c r="T477">
        <v>400</v>
      </c>
      <c r="U477">
        <v>490</v>
      </c>
      <c r="V477">
        <v>100</v>
      </c>
      <c r="W477">
        <v>240</v>
      </c>
      <c r="X477">
        <v>30</v>
      </c>
      <c r="Y477">
        <v>530</v>
      </c>
      <c r="Z477">
        <v>55</v>
      </c>
      <c r="AA477">
        <v>171</v>
      </c>
      <c r="AB477" t="s">
        <v>1544</v>
      </c>
    </row>
    <row r="478" spans="1:28" x14ac:dyDescent="0.3">
      <c r="A478">
        <v>458</v>
      </c>
      <c r="B478" t="s">
        <v>1325</v>
      </c>
      <c r="C478">
        <v>0</v>
      </c>
      <c r="D478">
        <v>1610612752</v>
      </c>
      <c r="E478" t="s">
        <v>1248</v>
      </c>
      <c r="F478">
        <v>300</v>
      </c>
      <c r="G478">
        <v>82</v>
      </c>
      <c r="H478">
        <v>760</v>
      </c>
      <c r="I478">
        <v>22430</v>
      </c>
      <c r="J478">
        <v>262</v>
      </c>
      <c r="K478">
        <v>628</v>
      </c>
      <c r="L478">
        <v>417</v>
      </c>
      <c r="M478">
        <v>1310</v>
      </c>
      <c r="N478">
        <v>3370</v>
      </c>
      <c r="O478">
        <v>389</v>
      </c>
      <c r="P478">
        <v>89</v>
      </c>
      <c r="Q478">
        <v>105</v>
      </c>
      <c r="R478">
        <v>848</v>
      </c>
      <c r="S478">
        <v>240</v>
      </c>
      <c r="T478">
        <v>1620</v>
      </c>
      <c r="U478">
        <v>1860</v>
      </c>
      <c r="V478">
        <v>444</v>
      </c>
      <c r="W478">
        <v>710</v>
      </c>
      <c r="X478">
        <v>90</v>
      </c>
      <c r="Y478">
        <v>1490</v>
      </c>
      <c r="Z478">
        <v>222</v>
      </c>
      <c r="AA478">
        <v>744</v>
      </c>
      <c r="AB478" t="s">
        <v>1544</v>
      </c>
    </row>
    <row r="479" spans="1:28" x14ac:dyDescent="0.3">
      <c r="A479">
        <v>458</v>
      </c>
      <c r="B479" t="s">
        <v>1293</v>
      </c>
      <c r="C479">
        <v>0</v>
      </c>
      <c r="D479">
        <v>1610612752</v>
      </c>
      <c r="E479" t="s">
        <v>1248</v>
      </c>
      <c r="F479">
        <v>310</v>
      </c>
      <c r="G479">
        <v>33</v>
      </c>
      <c r="H479">
        <v>230</v>
      </c>
      <c r="I479">
        <v>7300</v>
      </c>
      <c r="J479">
        <v>80</v>
      </c>
      <c r="K479">
        <v>202</v>
      </c>
      <c r="L479">
        <v>396</v>
      </c>
      <c r="M479">
        <v>280</v>
      </c>
      <c r="N479">
        <v>850</v>
      </c>
      <c r="O479">
        <v>329</v>
      </c>
      <c r="P479">
        <v>32</v>
      </c>
      <c r="Q479">
        <v>36</v>
      </c>
      <c r="R479">
        <v>889</v>
      </c>
      <c r="S479">
        <v>70</v>
      </c>
      <c r="T479">
        <v>590</v>
      </c>
      <c r="U479">
        <v>660</v>
      </c>
      <c r="V479">
        <v>156</v>
      </c>
      <c r="W479">
        <v>300</v>
      </c>
      <c r="X479">
        <v>30</v>
      </c>
      <c r="Y479">
        <v>500</v>
      </c>
      <c r="Z479">
        <v>85</v>
      </c>
      <c r="AA479">
        <v>220</v>
      </c>
      <c r="AB479" t="s">
        <v>1544</v>
      </c>
    </row>
    <row r="480" spans="1:28" x14ac:dyDescent="0.3">
      <c r="A480">
        <v>202692</v>
      </c>
      <c r="B480" t="s">
        <v>1289</v>
      </c>
      <c r="C480">
        <v>0</v>
      </c>
      <c r="D480">
        <v>1610612752</v>
      </c>
      <c r="E480" t="s">
        <v>1248</v>
      </c>
      <c r="F480">
        <v>290</v>
      </c>
      <c r="G480">
        <v>49</v>
      </c>
      <c r="H480">
        <v>50</v>
      </c>
      <c r="I480">
        <v>12550</v>
      </c>
      <c r="J480">
        <v>210</v>
      </c>
      <c r="K480">
        <v>500</v>
      </c>
      <c r="L480">
        <v>42</v>
      </c>
      <c r="M480">
        <v>1020</v>
      </c>
      <c r="N480">
        <v>2460</v>
      </c>
      <c r="O480">
        <v>415</v>
      </c>
      <c r="P480">
        <v>101</v>
      </c>
      <c r="Q480">
        <v>118</v>
      </c>
      <c r="R480">
        <v>856</v>
      </c>
      <c r="S480">
        <v>210</v>
      </c>
      <c r="T480">
        <v>2060</v>
      </c>
      <c r="U480">
        <v>2270</v>
      </c>
      <c r="V480">
        <v>107</v>
      </c>
      <c r="W480">
        <v>310</v>
      </c>
      <c r="X480">
        <v>140</v>
      </c>
      <c r="Y480">
        <v>490</v>
      </c>
      <c r="Z480">
        <v>102</v>
      </c>
      <c r="AA480">
        <v>623</v>
      </c>
      <c r="AB480" t="s">
        <v>1545</v>
      </c>
    </row>
    <row r="481" spans="1:28" x14ac:dyDescent="0.3">
      <c r="A481">
        <v>202692</v>
      </c>
      <c r="B481" t="s">
        <v>1308</v>
      </c>
      <c r="C481">
        <v>0</v>
      </c>
      <c r="D481">
        <v>1610612752</v>
      </c>
      <c r="E481" t="s">
        <v>1248</v>
      </c>
      <c r="F481">
        <v>300</v>
      </c>
      <c r="G481">
        <v>81</v>
      </c>
      <c r="H481">
        <v>440</v>
      </c>
      <c r="I481">
        <v>23180</v>
      </c>
      <c r="J481">
        <v>285</v>
      </c>
      <c r="K481">
        <v>728</v>
      </c>
      <c r="L481">
        <v>391</v>
      </c>
      <c r="M481">
        <v>1570</v>
      </c>
      <c r="N481">
        <v>3890</v>
      </c>
      <c r="O481">
        <v>404</v>
      </c>
      <c r="P481">
        <v>217</v>
      </c>
      <c r="Q481">
        <v>264</v>
      </c>
      <c r="R481">
        <v>822</v>
      </c>
      <c r="S481">
        <v>470</v>
      </c>
      <c r="T481">
        <v>3500</v>
      </c>
      <c r="U481">
        <v>3970</v>
      </c>
      <c r="V481">
        <v>239</v>
      </c>
      <c r="W481">
        <v>850</v>
      </c>
      <c r="X481">
        <v>260</v>
      </c>
      <c r="Y481">
        <v>910</v>
      </c>
      <c r="Z481">
        <v>215</v>
      </c>
      <c r="AA481">
        <v>944</v>
      </c>
      <c r="AB481" t="s">
        <v>1545</v>
      </c>
    </row>
    <row r="482" spans="1:28" x14ac:dyDescent="0.3">
      <c r="A482">
        <v>202692</v>
      </c>
      <c r="B482" t="s">
        <v>1369</v>
      </c>
      <c r="C482">
        <v>0</v>
      </c>
      <c r="D482">
        <v>1610612752</v>
      </c>
      <c r="E482" t="s">
        <v>1248</v>
      </c>
      <c r="F482">
        <v>320</v>
      </c>
      <c r="G482">
        <v>23</v>
      </c>
      <c r="H482">
        <v>10</v>
      </c>
      <c r="I482">
        <v>3110</v>
      </c>
      <c r="J482">
        <v>50</v>
      </c>
      <c r="K482">
        <v>163</v>
      </c>
      <c r="L482">
        <v>307</v>
      </c>
      <c r="M482">
        <v>250</v>
      </c>
      <c r="N482">
        <v>830</v>
      </c>
      <c r="O482">
        <v>301</v>
      </c>
      <c r="P482">
        <v>24</v>
      </c>
      <c r="Q482">
        <v>33</v>
      </c>
      <c r="R482">
        <v>727</v>
      </c>
      <c r="S482">
        <v>80</v>
      </c>
      <c r="T482">
        <v>320</v>
      </c>
      <c r="U482">
        <v>400</v>
      </c>
      <c r="V482">
        <v>20</v>
      </c>
      <c r="W482">
        <v>70</v>
      </c>
      <c r="X482">
        <v>10</v>
      </c>
      <c r="Y482">
        <v>160</v>
      </c>
      <c r="Z482">
        <v>11</v>
      </c>
      <c r="AA482">
        <v>149</v>
      </c>
      <c r="AB482" t="s">
        <v>1545</v>
      </c>
    </row>
    <row r="483" spans="1:28" x14ac:dyDescent="0.3">
      <c r="A483">
        <v>77793</v>
      </c>
      <c r="B483" t="s">
        <v>1339</v>
      </c>
      <c r="C483">
        <v>0</v>
      </c>
      <c r="D483">
        <v>1610612752</v>
      </c>
      <c r="E483" t="s">
        <v>1248</v>
      </c>
      <c r="F483">
        <v>250</v>
      </c>
      <c r="G483">
        <v>42</v>
      </c>
      <c r="J483">
        <v>160</v>
      </c>
      <c r="K483">
        <v>521</v>
      </c>
      <c r="L483">
        <v>307</v>
      </c>
      <c r="P483">
        <v>81</v>
      </c>
      <c r="Q483">
        <v>121</v>
      </c>
      <c r="R483">
        <v>669</v>
      </c>
      <c r="V483">
        <v>34</v>
      </c>
      <c r="Z483">
        <v>110</v>
      </c>
      <c r="AA483">
        <v>401</v>
      </c>
      <c r="AB483" t="s">
        <v>1546</v>
      </c>
    </row>
    <row r="484" spans="1:28" x14ac:dyDescent="0.3">
      <c r="A484">
        <v>77793</v>
      </c>
      <c r="B484" t="s">
        <v>1297</v>
      </c>
      <c r="C484">
        <v>0</v>
      </c>
      <c r="D484">
        <v>1610612752</v>
      </c>
      <c r="E484" t="s">
        <v>1248</v>
      </c>
      <c r="F484">
        <v>260</v>
      </c>
      <c r="G484">
        <v>48</v>
      </c>
      <c r="J484">
        <v>224</v>
      </c>
      <c r="K484">
        <v>710</v>
      </c>
      <c r="L484">
        <v>315</v>
      </c>
      <c r="P484">
        <v>174</v>
      </c>
      <c r="Q484">
        <v>234</v>
      </c>
      <c r="R484">
        <v>744</v>
      </c>
      <c r="V484">
        <v>45</v>
      </c>
      <c r="Z484">
        <v>149</v>
      </c>
      <c r="AA484">
        <v>622</v>
      </c>
      <c r="AB484" t="s">
        <v>1546</v>
      </c>
    </row>
    <row r="485" spans="1:28" x14ac:dyDescent="0.3">
      <c r="A485">
        <v>77793</v>
      </c>
      <c r="B485" t="s">
        <v>1299</v>
      </c>
      <c r="C485">
        <v>0</v>
      </c>
      <c r="D485">
        <v>1610612752</v>
      </c>
      <c r="E485" t="s">
        <v>1248</v>
      </c>
      <c r="F485">
        <v>270</v>
      </c>
      <c r="G485">
        <v>58</v>
      </c>
      <c r="J485">
        <v>240</v>
      </c>
      <c r="K485">
        <v>685</v>
      </c>
      <c r="L485">
        <v>35</v>
      </c>
      <c r="P485">
        <v>234</v>
      </c>
      <c r="Q485">
        <v>307</v>
      </c>
      <c r="R485">
        <v>762</v>
      </c>
      <c r="V485">
        <v>108</v>
      </c>
      <c r="Z485">
        <v>206</v>
      </c>
      <c r="AA485">
        <v>714</v>
      </c>
      <c r="AB485" t="s">
        <v>1546</v>
      </c>
    </row>
    <row r="486" spans="1:28" x14ac:dyDescent="0.3">
      <c r="A486">
        <v>101135</v>
      </c>
      <c r="B486" t="s">
        <v>1300</v>
      </c>
      <c r="C486">
        <v>0</v>
      </c>
      <c r="D486">
        <v>1610612752</v>
      </c>
      <c r="E486" t="s">
        <v>1248</v>
      </c>
      <c r="F486">
        <v>230</v>
      </c>
      <c r="G486">
        <v>67</v>
      </c>
      <c r="H486">
        <v>140</v>
      </c>
      <c r="I486">
        <v>11290</v>
      </c>
      <c r="J486">
        <v>137</v>
      </c>
      <c r="K486">
        <v>230</v>
      </c>
      <c r="L486">
        <v>596</v>
      </c>
      <c r="M486">
        <v>0</v>
      </c>
      <c r="N486">
        <v>0</v>
      </c>
      <c r="O486">
        <v>0</v>
      </c>
      <c r="P486">
        <v>71</v>
      </c>
      <c r="Q486">
        <v>123</v>
      </c>
      <c r="R486">
        <v>577</v>
      </c>
      <c r="S486">
        <v>1090</v>
      </c>
      <c r="T486">
        <v>1940</v>
      </c>
      <c r="U486">
        <v>3030</v>
      </c>
      <c r="V486">
        <v>43</v>
      </c>
      <c r="W486">
        <v>300</v>
      </c>
      <c r="X486">
        <v>200</v>
      </c>
      <c r="Y486">
        <v>510</v>
      </c>
      <c r="Z486">
        <v>124</v>
      </c>
      <c r="AA486">
        <v>345</v>
      </c>
      <c r="AB486" t="s">
        <v>1547</v>
      </c>
    </row>
    <row r="487" spans="1:28" x14ac:dyDescent="0.3">
      <c r="A487">
        <v>101135</v>
      </c>
      <c r="B487" t="s">
        <v>1302</v>
      </c>
      <c r="C487">
        <v>0</v>
      </c>
      <c r="D487">
        <v>1610612752</v>
      </c>
      <c r="E487" t="s">
        <v>1248</v>
      </c>
      <c r="F487">
        <v>240</v>
      </c>
      <c r="G487">
        <v>58</v>
      </c>
      <c r="H487">
        <v>120</v>
      </c>
      <c r="I487">
        <v>17270</v>
      </c>
      <c r="J487">
        <v>240</v>
      </c>
      <c r="K487">
        <v>400</v>
      </c>
      <c r="L487">
        <v>6</v>
      </c>
      <c r="M487">
        <v>0</v>
      </c>
      <c r="N487">
        <v>0</v>
      </c>
      <c r="O487">
        <v>0</v>
      </c>
      <c r="P487">
        <v>141</v>
      </c>
      <c r="Q487">
        <v>173</v>
      </c>
      <c r="R487">
        <v>815</v>
      </c>
      <c r="S487">
        <v>1960</v>
      </c>
      <c r="T487">
        <v>4060</v>
      </c>
      <c r="U487">
        <v>6020</v>
      </c>
      <c r="V487">
        <v>104</v>
      </c>
      <c r="W487">
        <v>480</v>
      </c>
      <c r="X487">
        <v>230</v>
      </c>
      <c r="Y487">
        <v>920</v>
      </c>
      <c r="Z487">
        <v>155</v>
      </c>
      <c r="AA487">
        <v>621</v>
      </c>
      <c r="AB487" t="s">
        <v>1547</v>
      </c>
    </row>
    <row r="488" spans="1:28" x14ac:dyDescent="0.3">
      <c r="A488">
        <v>101135</v>
      </c>
      <c r="B488" t="s">
        <v>1303</v>
      </c>
      <c r="C488">
        <v>0</v>
      </c>
      <c r="D488">
        <v>1610612752</v>
      </c>
      <c r="E488" t="s">
        <v>1248</v>
      </c>
      <c r="F488">
        <v>250</v>
      </c>
      <c r="G488">
        <v>81</v>
      </c>
      <c r="H488">
        <v>290</v>
      </c>
      <c r="I488">
        <v>23560</v>
      </c>
      <c r="J488">
        <v>341</v>
      </c>
      <c r="K488">
        <v>618</v>
      </c>
      <c r="L488">
        <v>552</v>
      </c>
      <c r="M488">
        <v>0</v>
      </c>
      <c r="N488">
        <v>20</v>
      </c>
      <c r="O488">
        <v>0</v>
      </c>
      <c r="P488">
        <v>194</v>
      </c>
      <c r="Q488">
        <v>237</v>
      </c>
      <c r="R488">
        <v>819</v>
      </c>
      <c r="S488">
        <v>2420</v>
      </c>
      <c r="T488">
        <v>4820</v>
      </c>
      <c r="U488">
        <v>7240</v>
      </c>
      <c r="V488">
        <v>95</v>
      </c>
      <c r="W488">
        <v>550</v>
      </c>
      <c r="X488">
        <v>290</v>
      </c>
      <c r="Y488">
        <v>970</v>
      </c>
      <c r="Z488">
        <v>210</v>
      </c>
      <c r="AA488">
        <v>876</v>
      </c>
      <c r="AB488" t="s">
        <v>1547</v>
      </c>
    </row>
    <row r="489" spans="1:28" x14ac:dyDescent="0.3">
      <c r="A489">
        <v>101135</v>
      </c>
      <c r="B489" t="s">
        <v>1304</v>
      </c>
      <c r="C489">
        <v>0</v>
      </c>
      <c r="D489">
        <v>1610612752</v>
      </c>
      <c r="E489" t="s">
        <v>1248</v>
      </c>
      <c r="F489">
        <v>260</v>
      </c>
      <c r="G489">
        <v>81</v>
      </c>
      <c r="H489">
        <v>740</v>
      </c>
      <c r="I489">
        <v>28240</v>
      </c>
      <c r="J489">
        <v>522</v>
      </c>
      <c r="K489">
        <v>951</v>
      </c>
      <c r="L489">
        <v>549</v>
      </c>
      <c r="M489">
        <v>0</v>
      </c>
      <c r="N489">
        <v>30</v>
      </c>
      <c r="O489">
        <v>0</v>
      </c>
      <c r="P489">
        <v>249</v>
      </c>
      <c r="Q489">
        <v>330</v>
      </c>
      <c r="R489">
        <v>755</v>
      </c>
      <c r="S489">
        <v>2560</v>
      </c>
      <c r="T489">
        <v>6950</v>
      </c>
      <c r="U489">
        <v>9510</v>
      </c>
      <c r="V489">
        <v>174</v>
      </c>
      <c r="W489">
        <v>800</v>
      </c>
      <c r="X489">
        <v>220</v>
      </c>
      <c r="Y489">
        <v>1500</v>
      </c>
      <c r="Z489">
        <v>260</v>
      </c>
      <c r="AA489">
        <v>1293</v>
      </c>
      <c r="AB489" t="s">
        <v>1547</v>
      </c>
    </row>
    <row r="490" spans="1:28" x14ac:dyDescent="0.3">
      <c r="A490">
        <v>101135</v>
      </c>
      <c r="B490" t="s">
        <v>1305</v>
      </c>
      <c r="C490">
        <v>0</v>
      </c>
      <c r="D490">
        <v>1610612752</v>
      </c>
      <c r="E490" t="s">
        <v>1248</v>
      </c>
      <c r="F490">
        <v>270</v>
      </c>
      <c r="G490">
        <v>81</v>
      </c>
      <c r="H490">
        <v>810</v>
      </c>
      <c r="I490">
        <v>30190</v>
      </c>
      <c r="J490">
        <v>686</v>
      </c>
      <c r="K490">
        <v>1258</v>
      </c>
      <c r="L490">
        <v>545</v>
      </c>
      <c r="M490">
        <v>0</v>
      </c>
      <c r="N490">
        <v>80</v>
      </c>
      <c r="O490">
        <v>0</v>
      </c>
      <c r="P490">
        <v>268</v>
      </c>
      <c r="Q490">
        <v>330</v>
      </c>
      <c r="R490">
        <v>812</v>
      </c>
      <c r="S490">
        <v>2280</v>
      </c>
      <c r="T490">
        <v>7210</v>
      </c>
      <c r="U490">
        <v>9490</v>
      </c>
      <c r="V490">
        <v>295</v>
      </c>
      <c r="W490">
        <v>850</v>
      </c>
      <c r="X490">
        <v>400</v>
      </c>
      <c r="Y490">
        <v>1890</v>
      </c>
      <c r="Z490">
        <v>257</v>
      </c>
      <c r="AA490">
        <v>1640</v>
      </c>
      <c r="AB490" t="s">
        <v>1547</v>
      </c>
    </row>
    <row r="491" spans="1:28" x14ac:dyDescent="0.3">
      <c r="A491">
        <v>76008</v>
      </c>
      <c r="B491" t="s">
        <v>1349</v>
      </c>
      <c r="C491">
        <v>0</v>
      </c>
      <c r="D491">
        <v>1610612752</v>
      </c>
      <c r="E491" t="s">
        <v>1248</v>
      </c>
      <c r="F491">
        <v>230</v>
      </c>
      <c r="G491">
        <v>28</v>
      </c>
      <c r="I491">
        <v>2200</v>
      </c>
      <c r="J491">
        <v>14</v>
      </c>
      <c r="K491">
        <v>63</v>
      </c>
      <c r="L491">
        <v>222</v>
      </c>
      <c r="P491">
        <v>15</v>
      </c>
      <c r="Q491">
        <v>28</v>
      </c>
      <c r="R491">
        <v>536</v>
      </c>
      <c r="U491">
        <v>150</v>
      </c>
      <c r="V491">
        <v>23</v>
      </c>
      <c r="Z491">
        <v>43</v>
      </c>
      <c r="AA491">
        <v>43</v>
      </c>
      <c r="AB491" t="s">
        <v>1548</v>
      </c>
    </row>
    <row r="492" spans="1:28" x14ac:dyDescent="0.3">
      <c r="A492">
        <v>76981</v>
      </c>
      <c r="B492" t="s">
        <v>1261</v>
      </c>
      <c r="C492">
        <v>0</v>
      </c>
      <c r="D492">
        <v>1610612752</v>
      </c>
      <c r="E492" t="s">
        <v>1248</v>
      </c>
      <c r="F492">
        <v>270</v>
      </c>
      <c r="G492">
        <v>78</v>
      </c>
      <c r="I492">
        <v>28920</v>
      </c>
      <c r="J492">
        <v>605</v>
      </c>
      <c r="K492">
        <v>1360</v>
      </c>
      <c r="L492">
        <v>445</v>
      </c>
      <c r="P492">
        <v>339</v>
      </c>
      <c r="Q492">
        <v>448</v>
      </c>
      <c r="R492">
        <v>757</v>
      </c>
      <c r="S492">
        <v>2340</v>
      </c>
      <c r="T492">
        <v>6440</v>
      </c>
      <c r="U492">
        <v>8780</v>
      </c>
      <c r="V492">
        <v>92</v>
      </c>
      <c r="W492">
        <v>530</v>
      </c>
      <c r="X492">
        <v>800</v>
      </c>
      <c r="Z492">
        <v>255</v>
      </c>
      <c r="AA492">
        <v>1549</v>
      </c>
      <c r="AB492" t="s">
        <v>1549</v>
      </c>
    </row>
    <row r="493" spans="1:28" x14ac:dyDescent="0.3">
      <c r="A493">
        <v>76981</v>
      </c>
      <c r="B493" t="s">
        <v>1263</v>
      </c>
      <c r="C493">
        <v>0</v>
      </c>
      <c r="D493">
        <v>1610612752</v>
      </c>
      <c r="E493" t="s">
        <v>1248</v>
      </c>
      <c r="F493">
        <v>280</v>
      </c>
      <c r="G493">
        <v>31</v>
      </c>
      <c r="I493">
        <v>10210</v>
      </c>
      <c r="J493">
        <v>202</v>
      </c>
      <c r="K493">
        <v>449</v>
      </c>
      <c r="L493">
        <v>45</v>
      </c>
      <c r="P493">
        <v>109</v>
      </c>
      <c r="Q493">
        <v>131</v>
      </c>
      <c r="R493">
        <v>832</v>
      </c>
      <c r="S493">
        <v>770</v>
      </c>
      <c r="T493">
        <v>2030</v>
      </c>
      <c r="U493">
        <v>2800</v>
      </c>
      <c r="V493">
        <v>50</v>
      </c>
      <c r="W493">
        <v>140</v>
      </c>
      <c r="X493">
        <v>290</v>
      </c>
      <c r="Z493">
        <v>72</v>
      </c>
      <c r="AA493">
        <v>513</v>
      </c>
      <c r="AB493" t="s">
        <v>1549</v>
      </c>
    </row>
    <row r="494" spans="1:28" x14ac:dyDescent="0.3">
      <c r="A494">
        <v>76981</v>
      </c>
      <c r="B494" t="s">
        <v>1264</v>
      </c>
      <c r="C494">
        <v>0</v>
      </c>
      <c r="D494">
        <v>1610612752</v>
      </c>
      <c r="E494" t="s">
        <v>1248</v>
      </c>
      <c r="F494">
        <v>290</v>
      </c>
      <c r="G494">
        <v>67</v>
      </c>
      <c r="I494">
        <v>17650</v>
      </c>
      <c r="J494">
        <v>412</v>
      </c>
      <c r="K494">
        <v>852</v>
      </c>
      <c r="L494">
        <v>484</v>
      </c>
      <c r="P494">
        <v>96</v>
      </c>
      <c r="Q494">
        <v>135</v>
      </c>
      <c r="R494">
        <v>711</v>
      </c>
      <c r="S494">
        <v>1410</v>
      </c>
      <c r="T494">
        <v>3010</v>
      </c>
      <c r="U494">
        <v>4420</v>
      </c>
      <c r="V494">
        <v>126</v>
      </c>
      <c r="W494">
        <v>370</v>
      </c>
      <c r="X494">
        <v>720</v>
      </c>
      <c r="Y494">
        <v>1400</v>
      </c>
      <c r="Z494">
        <v>188</v>
      </c>
      <c r="AA494">
        <v>920</v>
      </c>
      <c r="AB494" t="s">
        <v>1549</v>
      </c>
    </row>
    <row r="495" spans="1:28" x14ac:dyDescent="0.3">
      <c r="A495">
        <v>76981</v>
      </c>
      <c r="B495" t="s">
        <v>1265</v>
      </c>
      <c r="C495">
        <v>0</v>
      </c>
      <c r="D495">
        <v>1610612752</v>
      </c>
      <c r="E495" t="s">
        <v>1248</v>
      </c>
      <c r="F495">
        <v>300</v>
      </c>
      <c r="G495">
        <v>34</v>
      </c>
      <c r="I495">
        <v>10230</v>
      </c>
      <c r="J495">
        <v>249</v>
      </c>
      <c r="K495">
        <v>509</v>
      </c>
      <c r="L495">
        <v>489</v>
      </c>
      <c r="P495">
        <v>107</v>
      </c>
      <c r="Q495">
        <v>146</v>
      </c>
      <c r="R495">
        <v>733</v>
      </c>
      <c r="S495">
        <v>660</v>
      </c>
      <c r="T495">
        <v>1400</v>
      </c>
      <c r="U495">
        <v>2060</v>
      </c>
      <c r="V495">
        <v>56</v>
      </c>
      <c r="W495">
        <v>100</v>
      </c>
      <c r="X495">
        <v>290</v>
      </c>
      <c r="Y495">
        <v>870</v>
      </c>
      <c r="Z495">
        <v>108</v>
      </c>
      <c r="AA495">
        <v>605</v>
      </c>
      <c r="AB495" t="s">
        <v>1549</v>
      </c>
    </row>
    <row r="496" spans="1:28" x14ac:dyDescent="0.3">
      <c r="A496">
        <v>76647</v>
      </c>
      <c r="B496" t="s">
        <v>1257</v>
      </c>
      <c r="C496">
        <v>0</v>
      </c>
      <c r="D496">
        <v>1610612752</v>
      </c>
      <c r="E496" t="s">
        <v>1248</v>
      </c>
      <c r="F496">
        <v>250</v>
      </c>
      <c r="G496">
        <v>66</v>
      </c>
      <c r="I496">
        <v>23250</v>
      </c>
      <c r="J496">
        <v>334</v>
      </c>
      <c r="K496">
        <v>758</v>
      </c>
      <c r="L496">
        <v>441</v>
      </c>
      <c r="P496">
        <v>193</v>
      </c>
      <c r="Q496">
        <v>243</v>
      </c>
      <c r="R496">
        <v>794</v>
      </c>
      <c r="U496">
        <v>1910</v>
      </c>
      <c r="V496">
        <v>358</v>
      </c>
      <c r="Z496">
        <v>181</v>
      </c>
      <c r="AA496">
        <v>861</v>
      </c>
      <c r="AB496" t="s">
        <v>1550</v>
      </c>
    </row>
    <row r="497" spans="1:28" x14ac:dyDescent="0.3">
      <c r="A497">
        <v>76647</v>
      </c>
      <c r="B497" t="s">
        <v>1258</v>
      </c>
      <c r="C497">
        <v>0</v>
      </c>
      <c r="D497">
        <v>1610612752</v>
      </c>
      <c r="E497" t="s">
        <v>1248</v>
      </c>
      <c r="F497">
        <v>260</v>
      </c>
      <c r="G497">
        <v>74</v>
      </c>
      <c r="I497">
        <v>16640</v>
      </c>
      <c r="J497">
        <v>258</v>
      </c>
      <c r="K497">
        <v>529</v>
      </c>
      <c r="L497">
        <v>488</v>
      </c>
      <c r="P497">
        <v>162</v>
      </c>
      <c r="Q497">
        <v>199</v>
      </c>
      <c r="R497">
        <v>814</v>
      </c>
      <c r="U497">
        <v>1430</v>
      </c>
      <c r="V497">
        <v>252</v>
      </c>
      <c r="Z497">
        <v>139</v>
      </c>
      <c r="AA497">
        <v>678</v>
      </c>
      <c r="AB497" t="s">
        <v>1550</v>
      </c>
    </row>
    <row r="498" spans="1:28" x14ac:dyDescent="0.3">
      <c r="A498">
        <v>76647</v>
      </c>
      <c r="B498" t="s">
        <v>1412</v>
      </c>
      <c r="C498">
        <v>0</v>
      </c>
      <c r="D498">
        <v>1610612752</v>
      </c>
      <c r="E498" t="s">
        <v>1248</v>
      </c>
      <c r="F498">
        <v>270</v>
      </c>
      <c r="G498">
        <v>7</v>
      </c>
      <c r="I498">
        <v>580</v>
      </c>
      <c r="J498">
        <v>5</v>
      </c>
      <c r="K498">
        <v>16</v>
      </c>
      <c r="L498">
        <v>313</v>
      </c>
      <c r="P498">
        <v>7</v>
      </c>
      <c r="Q498">
        <v>10</v>
      </c>
      <c r="R498">
        <v>7</v>
      </c>
      <c r="U498">
        <v>20</v>
      </c>
      <c r="V498">
        <v>14</v>
      </c>
      <c r="Z498">
        <v>4</v>
      </c>
      <c r="AA498">
        <v>17</v>
      </c>
      <c r="AB498" t="s">
        <v>1550</v>
      </c>
    </row>
    <row r="499" spans="1:28" x14ac:dyDescent="0.3">
      <c r="A499">
        <v>203504</v>
      </c>
      <c r="B499" t="s">
        <v>1259</v>
      </c>
      <c r="C499">
        <v>0</v>
      </c>
      <c r="D499">
        <v>1610612752</v>
      </c>
      <c r="E499" t="s">
        <v>1248</v>
      </c>
      <c r="F499">
        <v>250</v>
      </c>
      <c r="G499">
        <v>36</v>
      </c>
      <c r="H499">
        <v>90</v>
      </c>
      <c r="I499">
        <v>7850</v>
      </c>
      <c r="J499">
        <v>193</v>
      </c>
      <c r="K499">
        <v>384</v>
      </c>
      <c r="L499">
        <v>503</v>
      </c>
      <c r="M499">
        <v>380</v>
      </c>
      <c r="N499">
        <v>1050</v>
      </c>
      <c r="O499">
        <v>362</v>
      </c>
      <c r="P499">
        <v>37</v>
      </c>
      <c r="Q499">
        <v>57</v>
      </c>
      <c r="R499">
        <v>649</v>
      </c>
      <c r="S499">
        <v>130</v>
      </c>
      <c r="T499">
        <v>580</v>
      </c>
      <c r="U499">
        <v>710</v>
      </c>
      <c r="V499">
        <v>170</v>
      </c>
      <c r="W499">
        <v>240</v>
      </c>
      <c r="X499">
        <v>40</v>
      </c>
      <c r="Y499">
        <v>430</v>
      </c>
      <c r="Z499">
        <v>43</v>
      </c>
      <c r="AA499">
        <v>461</v>
      </c>
      <c r="AB499" t="s">
        <v>1551</v>
      </c>
    </row>
    <row r="500" spans="1:28" x14ac:dyDescent="0.3">
      <c r="A500">
        <v>203504</v>
      </c>
      <c r="B500" t="s">
        <v>1287</v>
      </c>
      <c r="C500">
        <v>0</v>
      </c>
      <c r="D500">
        <v>1610612752</v>
      </c>
      <c r="E500" t="s">
        <v>1248</v>
      </c>
      <c r="F500">
        <v>260</v>
      </c>
      <c r="G500">
        <v>33</v>
      </c>
      <c r="H500">
        <v>70</v>
      </c>
      <c r="I500">
        <v>6890</v>
      </c>
      <c r="J500">
        <v>148</v>
      </c>
      <c r="K500">
        <v>358</v>
      </c>
      <c r="L500">
        <v>413</v>
      </c>
      <c r="M500">
        <v>300</v>
      </c>
      <c r="N500">
        <v>860</v>
      </c>
      <c r="O500">
        <v>349</v>
      </c>
      <c r="P500">
        <v>62</v>
      </c>
      <c r="Q500">
        <v>75</v>
      </c>
      <c r="R500">
        <v>827</v>
      </c>
      <c r="S500">
        <v>150</v>
      </c>
      <c r="T500">
        <v>470</v>
      </c>
      <c r="U500">
        <v>620</v>
      </c>
      <c r="V500">
        <v>94</v>
      </c>
      <c r="W500">
        <v>210</v>
      </c>
      <c r="X500">
        <v>50</v>
      </c>
      <c r="Y500">
        <v>290</v>
      </c>
      <c r="Z500">
        <v>33</v>
      </c>
      <c r="AA500">
        <v>388</v>
      </c>
      <c r="AB500" t="s">
        <v>1551</v>
      </c>
    </row>
    <row r="501" spans="1:28" x14ac:dyDescent="0.3">
      <c r="A501">
        <v>1630579</v>
      </c>
      <c r="B501" t="s">
        <v>1308</v>
      </c>
      <c r="C501">
        <v>0</v>
      </c>
      <c r="D501">
        <v>1610612752</v>
      </c>
      <c r="E501" t="s">
        <v>1248</v>
      </c>
      <c r="F501">
        <v>230</v>
      </c>
      <c r="G501">
        <v>41</v>
      </c>
      <c r="H501">
        <v>50</v>
      </c>
      <c r="I501">
        <v>5550</v>
      </c>
      <c r="J501">
        <v>39</v>
      </c>
      <c r="K501">
        <v>54</v>
      </c>
      <c r="L501">
        <v>722</v>
      </c>
      <c r="M501">
        <v>0</v>
      </c>
      <c r="N501">
        <v>0</v>
      </c>
      <c r="O501">
        <v>0</v>
      </c>
      <c r="P501">
        <v>12</v>
      </c>
      <c r="Q501">
        <v>29</v>
      </c>
      <c r="R501">
        <v>414</v>
      </c>
      <c r="S501">
        <v>610</v>
      </c>
      <c r="T501">
        <v>1080</v>
      </c>
      <c r="U501">
        <v>1690</v>
      </c>
      <c r="V501">
        <v>21</v>
      </c>
      <c r="W501">
        <v>110</v>
      </c>
      <c r="X501">
        <v>220</v>
      </c>
      <c r="Y501">
        <v>200</v>
      </c>
      <c r="Z501">
        <v>66</v>
      </c>
      <c r="AA501">
        <v>90</v>
      </c>
      <c r="AB501" t="s">
        <v>1552</v>
      </c>
    </row>
    <row r="502" spans="1:28" x14ac:dyDescent="0.3">
      <c r="A502">
        <v>1630579</v>
      </c>
      <c r="B502" t="s">
        <v>1327</v>
      </c>
      <c r="C502">
        <v>0</v>
      </c>
      <c r="D502">
        <v>1610612752</v>
      </c>
      <c r="E502" t="s">
        <v>1248</v>
      </c>
      <c r="F502">
        <v>240</v>
      </c>
      <c r="G502">
        <v>52</v>
      </c>
      <c r="H502">
        <v>160</v>
      </c>
      <c r="I502">
        <v>8120</v>
      </c>
      <c r="J502">
        <v>83</v>
      </c>
      <c r="K502">
        <v>107</v>
      </c>
      <c r="L502">
        <v>776</v>
      </c>
      <c r="M502">
        <v>0</v>
      </c>
      <c r="N502">
        <v>10</v>
      </c>
      <c r="O502">
        <v>0</v>
      </c>
      <c r="P502">
        <v>12</v>
      </c>
      <c r="Q502">
        <v>16</v>
      </c>
      <c r="R502">
        <v>75</v>
      </c>
      <c r="S502">
        <v>990</v>
      </c>
      <c r="T502">
        <v>1430</v>
      </c>
      <c r="U502">
        <v>2420</v>
      </c>
      <c r="V502">
        <v>25</v>
      </c>
      <c r="W502">
        <v>150</v>
      </c>
      <c r="X502">
        <v>280</v>
      </c>
      <c r="Y502">
        <v>270</v>
      </c>
      <c r="Z502">
        <v>96</v>
      </c>
      <c r="AA502">
        <v>178</v>
      </c>
      <c r="AB502" t="s">
        <v>1552</v>
      </c>
    </row>
    <row r="503" spans="1:28" x14ac:dyDescent="0.3">
      <c r="A503">
        <v>1630579</v>
      </c>
      <c r="B503" t="s">
        <v>1369</v>
      </c>
      <c r="C503">
        <v>0</v>
      </c>
      <c r="D503">
        <v>1610612752</v>
      </c>
      <c r="E503" t="s">
        <v>1248</v>
      </c>
      <c r="F503">
        <v>250</v>
      </c>
      <c r="G503">
        <v>45</v>
      </c>
      <c r="H503">
        <v>110</v>
      </c>
      <c r="I503">
        <v>5850</v>
      </c>
      <c r="J503">
        <v>38</v>
      </c>
      <c r="K503">
        <v>55</v>
      </c>
      <c r="L503">
        <v>691</v>
      </c>
      <c r="M503">
        <v>0</v>
      </c>
      <c r="N503">
        <v>0</v>
      </c>
      <c r="O503">
        <v>0</v>
      </c>
      <c r="P503">
        <v>16</v>
      </c>
      <c r="Q503">
        <v>24</v>
      </c>
      <c r="R503">
        <v>667</v>
      </c>
      <c r="S503">
        <v>560</v>
      </c>
      <c r="T503">
        <v>910</v>
      </c>
      <c r="U503">
        <v>1470</v>
      </c>
      <c r="V503">
        <v>25</v>
      </c>
      <c r="W503">
        <v>80</v>
      </c>
      <c r="X503">
        <v>190</v>
      </c>
      <c r="Y503">
        <v>160</v>
      </c>
      <c r="Z503">
        <v>45</v>
      </c>
      <c r="AA503">
        <v>92</v>
      </c>
      <c r="AB503" t="s">
        <v>1552</v>
      </c>
    </row>
    <row r="504" spans="1:28" x14ac:dyDescent="0.3">
      <c r="A504">
        <v>201584</v>
      </c>
      <c r="B504" t="s">
        <v>1281</v>
      </c>
      <c r="C504">
        <v>0</v>
      </c>
      <c r="D504">
        <v>1610612752</v>
      </c>
      <c r="E504" t="s">
        <v>1248</v>
      </c>
      <c r="F504">
        <v>310</v>
      </c>
      <c r="G504">
        <v>77</v>
      </c>
      <c r="H504">
        <v>740</v>
      </c>
      <c r="I504">
        <v>24590</v>
      </c>
      <c r="J504">
        <v>321</v>
      </c>
      <c r="K504">
        <v>704</v>
      </c>
      <c r="L504">
        <v>456</v>
      </c>
      <c r="M504">
        <v>1080</v>
      </c>
      <c r="N504">
        <v>2690</v>
      </c>
      <c r="O504">
        <v>401</v>
      </c>
      <c r="P504">
        <v>85</v>
      </c>
      <c r="Q504">
        <v>98</v>
      </c>
      <c r="R504">
        <v>867</v>
      </c>
      <c r="S504">
        <v>530</v>
      </c>
      <c r="T504">
        <v>2060</v>
      </c>
      <c r="U504">
        <v>2590</v>
      </c>
      <c r="V504">
        <v>179</v>
      </c>
      <c r="W504">
        <v>810</v>
      </c>
      <c r="X504">
        <v>240</v>
      </c>
      <c r="Y504">
        <v>690</v>
      </c>
      <c r="Z504">
        <v>141</v>
      </c>
      <c r="AA504">
        <v>835</v>
      </c>
      <c r="AB504" t="s">
        <v>1553</v>
      </c>
    </row>
    <row r="505" spans="1:28" x14ac:dyDescent="0.3">
      <c r="A505">
        <v>201584</v>
      </c>
      <c r="B505" t="s">
        <v>1259</v>
      </c>
      <c r="C505">
        <v>0</v>
      </c>
      <c r="D505">
        <v>1610612752</v>
      </c>
      <c r="E505" t="s">
        <v>1248</v>
      </c>
      <c r="F505">
        <v>320</v>
      </c>
      <c r="G505">
        <v>76</v>
      </c>
      <c r="H505">
        <v>690</v>
      </c>
      <c r="I505">
        <v>23100</v>
      </c>
      <c r="J505">
        <v>343</v>
      </c>
      <c r="K505">
        <v>755</v>
      </c>
      <c r="L505">
        <v>454</v>
      </c>
      <c r="M505">
        <v>1130</v>
      </c>
      <c r="N505">
        <v>2780</v>
      </c>
      <c r="O505">
        <v>406</v>
      </c>
      <c r="P505">
        <v>114</v>
      </c>
      <c r="Q505">
        <v>124</v>
      </c>
      <c r="R505">
        <v>919</v>
      </c>
      <c r="S505">
        <v>300</v>
      </c>
      <c r="T505">
        <v>1940</v>
      </c>
      <c r="U505">
        <v>2240</v>
      </c>
      <c r="V505">
        <v>180</v>
      </c>
      <c r="W505">
        <v>800</v>
      </c>
      <c r="X505">
        <v>170</v>
      </c>
      <c r="Y505">
        <v>840</v>
      </c>
      <c r="Z505">
        <v>109</v>
      </c>
      <c r="AA505">
        <v>913</v>
      </c>
      <c r="AB505" t="s">
        <v>1553</v>
      </c>
    </row>
    <row r="506" spans="1:28" x14ac:dyDescent="0.3">
      <c r="A506">
        <v>201584</v>
      </c>
      <c r="B506" t="s">
        <v>1287</v>
      </c>
      <c r="C506">
        <v>0</v>
      </c>
      <c r="D506">
        <v>1610612752</v>
      </c>
      <c r="E506" t="s">
        <v>1248</v>
      </c>
      <c r="F506">
        <v>330</v>
      </c>
      <c r="G506">
        <v>12</v>
      </c>
      <c r="H506">
        <v>20</v>
      </c>
      <c r="I506">
        <v>1600</v>
      </c>
      <c r="J506">
        <v>21</v>
      </c>
      <c r="K506">
        <v>47</v>
      </c>
      <c r="L506">
        <v>447</v>
      </c>
      <c r="M506">
        <v>50</v>
      </c>
      <c r="N506">
        <v>160</v>
      </c>
      <c r="O506">
        <v>313</v>
      </c>
      <c r="P506">
        <v>9</v>
      </c>
      <c r="Q506">
        <v>14</v>
      </c>
      <c r="R506">
        <v>643</v>
      </c>
      <c r="S506">
        <v>60</v>
      </c>
      <c r="T506">
        <v>210</v>
      </c>
      <c r="U506">
        <v>270</v>
      </c>
      <c r="V506">
        <v>16</v>
      </c>
      <c r="W506">
        <v>80</v>
      </c>
      <c r="X506">
        <v>20</v>
      </c>
      <c r="Y506">
        <v>50</v>
      </c>
      <c r="Z506">
        <v>13</v>
      </c>
      <c r="AA506">
        <v>56</v>
      </c>
      <c r="AB506" t="s">
        <v>1553</v>
      </c>
    </row>
    <row r="507" spans="1:28" x14ac:dyDescent="0.3">
      <c r="A507">
        <v>76968</v>
      </c>
      <c r="B507" t="s">
        <v>1468</v>
      </c>
      <c r="C507">
        <v>0</v>
      </c>
      <c r="D507">
        <v>1610612752</v>
      </c>
      <c r="E507" t="s">
        <v>1248</v>
      </c>
      <c r="F507">
        <v>230</v>
      </c>
      <c r="G507">
        <v>21</v>
      </c>
      <c r="H507">
        <v>0</v>
      </c>
      <c r="I507">
        <v>980</v>
      </c>
      <c r="J507">
        <v>8</v>
      </c>
      <c r="K507">
        <v>22</v>
      </c>
      <c r="L507">
        <v>364</v>
      </c>
      <c r="M507">
        <v>0</v>
      </c>
      <c r="N507">
        <v>10</v>
      </c>
      <c r="O507">
        <v>0</v>
      </c>
      <c r="P507">
        <v>7</v>
      </c>
      <c r="Q507">
        <v>14</v>
      </c>
      <c r="R507">
        <v>5</v>
      </c>
      <c r="S507">
        <v>100</v>
      </c>
      <c r="T507">
        <v>210</v>
      </c>
      <c r="U507">
        <v>310</v>
      </c>
      <c r="V507">
        <v>1</v>
      </c>
      <c r="W507">
        <v>50</v>
      </c>
      <c r="X507">
        <v>0</v>
      </c>
      <c r="Y507">
        <v>60</v>
      </c>
      <c r="Z507">
        <v>31</v>
      </c>
      <c r="AA507">
        <v>23</v>
      </c>
      <c r="AB507" t="s">
        <v>1554</v>
      </c>
    </row>
    <row r="508" spans="1:28" x14ac:dyDescent="0.3">
      <c r="A508">
        <v>76635</v>
      </c>
      <c r="B508" t="s">
        <v>1272</v>
      </c>
      <c r="C508">
        <v>0</v>
      </c>
      <c r="D508">
        <v>1610612752</v>
      </c>
      <c r="E508" t="s">
        <v>1248</v>
      </c>
      <c r="F508">
        <v>240</v>
      </c>
      <c r="G508">
        <v>4</v>
      </c>
      <c r="H508">
        <v>0</v>
      </c>
      <c r="I508">
        <v>130</v>
      </c>
      <c r="J508">
        <v>2</v>
      </c>
      <c r="K508">
        <v>9</v>
      </c>
      <c r="L508">
        <v>222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10</v>
      </c>
      <c r="U508">
        <v>10</v>
      </c>
      <c r="V508">
        <v>0</v>
      </c>
      <c r="W508">
        <v>0</v>
      </c>
      <c r="X508">
        <v>0</v>
      </c>
      <c r="Y508">
        <v>0</v>
      </c>
      <c r="Z508">
        <v>3</v>
      </c>
      <c r="AA508">
        <v>4</v>
      </c>
      <c r="AB508" t="s">
        <v>1555</v>
      </c>
    </row>
    <row r="509" spans="1:28" x14ac:dyDescent="0.3">
      <c r="A509">
        <v>76303</v>
      </c>
      <c r="B509" t="s">
        <v>1263</v>
      </c>
      <c r="C509">
        <v>0</v>
      </c>
      <c r="D509">
        <v>1610612752</v>
      </c>
      <c r="E509" t="s">
        <v>1248</v>
      </c>
      <c r="F509">
        <v>240</v>
      </c>
      <c r="G509">
        <v>61</v>
      </c>
      <c r="I509">
        <v>6080</v>
      </c>
      <c r="J509">
        <v>148</v>
      </c>
      <c r="K509">
        <v>352</v>
      </c>
      <c r="L509">
        <v>42</v>
      </c>
      <c r="P509">
        <v>51</v>
      </c>
      <c r="Q509">
        <v>85</v>
      </c>
      <c r="R509">
        <v>6</v>
      </c>
      <c r="S509">
        <v>260</v>
      </c>
      <c r="T509">
        <v>400</v>
      </c>
      <c r="U509">
        <v>660</v>
      </c>
      <c r="V509">
        <v>62</v>
      </c>
      <c r="W509">
        <v>470</v>
      </c>
      <c r="X509">
        <v>10</v>
      </c>
      <c r="Z509">
        <v>88</v>
      </c>
      <c r="AA509">
        <v>347</v>
      </c>
      <c r="AB509" t="s">
        <v>1556</v>
      </c>
    </row>
    <row r="510" spans="1:28" x14ac:dyDescent="0.3">
      <c r="A510">
        <v>76303</v>
      </c>
      <c r="B510" t="s">
        <v>1264</v>
      </c>
      <c r="C510">
        <v>0</v>
      </c>
      <c r="D510">
        <v>1610612752</v>
      </c>
      <c r="E510" t="s">
        <v>1248</v>
      </c>
      <c r="F510">
        <v>250</v>
      </c>
      <c r="G510">
        <v>2</v>
      </c>
      <c r="I510">
        <v>150</v>
      </c>
      <c r="J510">
        <v>1</v>
      </c>
      <c r="K510">
        <v>2</v>
      </c>
      <c r="L510">
        <v>5</v>
      </c>
      <c r="P510">
        <v>0</v>
      </c>
      <c r="Q510">
        <v>0</v>
      </c>
      <c r="S510">
        <v>0</v>
      </c>
      <c r="T510">
        <v>0</v>
      </c>
      <c r="U510">
        <v>0</v>
      </c>
      <c r="V510">
        <v>1</v>
      </c>
      <c r="W510">
        <v>10</v>
      </c>
      <c r="X510">
        <v>0</v>
      </c>
      <c r="Y510">
        <v>0</v>
      </c>
      <c r="Z510">
        <v>1</v>
      </c>
      <c r="AA510">
        <v>2</v>
      </c>
      <c r="AB510" t="s">
        <v>1556</v>
      </c>
    </row>
    <row r="511" spans="1:28" x14ac:dyDescent="0.3">
      <c r="A511">
        <v>203495</v>
      </c>
      <c r="B511" t="s">
        <v>1343</v>
      </c>
      <c r="C511">
        <v>0</v>
      </c>
      <c r="D511">
        <v>1610612752</v>
      </c>
      <c r="E511" t="s">
        <v>1248</v>
      </c>
      <c r="F511">
        <v>220</v>
      </c>
      <c r="G511">
        <v>12</v>
      </c>
      <c r="H511">
        <v>0</v>
      </c>
      <c r="I511">
        <v>2330</v>
      </c>
      <c r="J511">
        <v>32</v>
      </c>
      <c r="K511">
        <v>90</v>
      </c>
      <c r="L511">
        <v>356</v>
      </c>
      <c r="M511">
        <v>100</v>
      </c>
      <c r="N511">
        <v>240</v>
      </c>
      <c r="O511">
        <v>417</v>
      </c>
      <c r="P511">
        <v>15</v>
      </c>
      <c r="Q511">
        <v>20</v>
      </c>
      <c r="R511">
        <v>75</v>
      </c>
      <c r="S511">
        <v>150</v>
      </c>
      <c r="T511">
        <v>190</v>
      </c>
      <c r="U511">
        <v>340</v>
      </c>
      <c r="V511">
        <v>18</v>
      </c>
      <c r="W511">
        <v>60</v>
      </c>
      <c r="X511">
        <v>10</v>
      </c>
      <c r="Y511">
        <v>240</v>
      </c>
      <c r="Z511">
        <v>20</v>
      </c>
      <c r="AA511">
        <v>89</v>
      </c>
      <c r="AB511" t="s">
        <v>1557</v>
      </c>
    </row>
    <row r="512" spans="1:28" x14ac:dyDescent="0.3">
      <c r="A512">
        <v>1628392</v>
      </c>
      <c r="B512" t="s">
        <v>1327</v>
      </c>
      <c r="C512">
        <v>0</v>
      </c>
      <c r="D512">
        <v>1610612752</v>
      </c>
      <c r="E512" t="s">
        <v>1248</v>
      </c>
      <c r="F512">
        <v>250</v>
      </c>
      <c r="G512">
        <v>82</v>
      </c>
      <c r="H512">
        <v>80</v>
      </c>
      <c r="I512">
        <v>16280</v>
      </c>
      <c r="J512">
        <v>175</v>
      </c>
      <c r="K512">
        <v>327</v>
      </c>
      <c r="L512">
        <v>535</v>
      </c>
      <c r="M512">
        <v>80</v>
      </c>
      <c r="N512">
        <v>370</v>
      </c>
      <c r="O512">
        <v>216</v>
      </c>
      <c r="P512">
        <v>48</v>
      </c>
      <c r="Q512">
        <v>71</v>
      </c>
      <c r="R512">
        <v>676</v>
      </c>
      <c r="S512">
        <v>2090</v>
      </c>
      <c r="T512">
        <v>3270</v>
      </c>
      <c r="U512">
        <v>5360</v>
      </c>
      <c r="V512">
        <v>102</v>
      </c>
      <c r="W512">
        <v>530</v>
      </c>
      <c r="X512">
        <v>640</v>
      </c>
      <c r="Y512">
        <v>660</v>
      </c>
      <c r="Z512">
        <v>213</v>
      </c>
      <c r="AA512">
        <v>406</v>
      </c>
      <c r="AB512" t="s">
        <v>1558</v>
      </c>
    </row>
    <row r="513" spans="1:28" x14ac:dyDescent="0.3">
      <c r="A513">
        <v>1628392</v>
      </c>
      <c r="B513" t="s">
        <v>1369</v>
      </c>
      <c r="C513">
        <v>0</v>
      </c>
      <c r="D513">
        <v>1610612752</v>
      </c>
      <c r="E513" t="s">
        <v>1248</v>
      </c>
      <c r="F513">
        <v>260</v>
      </c>
      <c r="G513">
        <v>75</v>
      </c>
      <c r="H513">
        <v>490</v>
      </c>
      <c r="I513">
        <v>18960</v>
      </c>
      <c r="J513">
        <v>235</v>
      </c>
      <c r="K513">
        <v>365</v>
      </c>
      <c r="L513">
        <v>644</v>
      </c>
      <c r="M513">
        <v>10</v>
      </c>
      <c r="N513">
        <v>30</v>
      </c>
      <c r="O513">
        <v>333</v>
      </c>
      <c r="P513">
        <v>111</v>
      </c>
      <c r="Q513">
        <v>157</v>
      </c>
      <c r="R513">
        <v>707</v>
      </c>
      <c r="S513">
        <v>2440</v>
      </c>
      <c r="T513">
        <v>3820</v>
      </c>
      <c r="U513">
        <v>6260</v>
      </c>
      <c r="V513">
        <v>188</v>
      </c>
      <c r="W513">
        <v>870</v>
      </c>
      <c r="X513">
        <v>850</v>
      </c>
      <c r="Y513">
        <v>930</v>
      </c>
      <c r="Z513">
        <v>210</v>
      </c>
      <c r="AA513">
        <v>582</v>
      </c>
      <c r="AB513" t="s">
        <v>1558</v>
      </c>
    </row>
    <row r="514" spans="1:28" x14ac:dyDescent="0.3">
      <c r="A514">
        <v>203921</v>
      </c>
      <c r="B514" t="s">
        <v>1343</v>
      </c>
      <c r="C514">
        <v>0</v>
      </c>
      <c r="D514">
        <v>1610612752</v>
      </c>
      <c r="E514" t="s">
        <v>1248</v>
      </c>
      <c r="F514">
        <v>240</v>
      </c>
      <c r="G514">
        <v>39</v>
      </c>
      <c r="H514">
        <v>70</v>
      </c>
      <c r="I514">
        <v>6470</v>
      </c>
      <c r="J514">
        <v>76</v>
      </c>
      <c r="K514">
        <v>214</v>
      </c>
      <c r="L514">
        <v>355</v>
      </c>
      <c r="M514">
        <v>220</v>
      </c>
      <c r="N514">
        <v>840</v>
      </c>
      <c r="O514">
        <v>262</v>
      </c>
      <c r="P514">
        <v>36</v>
      </c>
      <c r="Q514">
        <v>48</v>
      </c>
      <c r="R514">
        <v>75</v>
      </c>
      <c r="S514">
        <v>220</v>
      </c>
      <c r="T514">
        <v>750</v>
      </c>
      <c r="U514">
        <v>970</v>
      </c>
      <c r="V514">
        <v>36</v>
      </c>
      <c r="W514">
        <v>240</v>
      </c>
      <c r="X514">
        <v>120</v>
      </c>
      <c r="Y514">
        <v>400</v>
      </c>
      <c r="Z514">
        <v>57</v>
      </c>
      <c r="AA514">
        <v>210</v>
      </c>
      <c r="AB514" t="s">
        <v>1559</v>
      </c>
    </row>
    <row r="515" spans="1:28" x14ac:dyDescent="0.3">
      <c r="A515">
        <v>203921</v>
      </c>
      <c r="B515" t="s">
        <v>1279</v>
      </c>
      <c r="C515">
        <v>0</v>
      </c>
      <c r="D515">
        <v>1610612752</v>
      </c>
      <c r="E515" t="s">
        <v>1248</v>
      </c>
      <c r="F515">
        <v>250</v>
      </c>
      <c r="G515">
        <v>17</v>
      </c>
      <c r="H515">
        <v>20</v>
      </c>
      <c r="I515">
        <v>1540</v>
      </c>
      <c r="J515">
        <v>12</v>
      </c>
      <c r="K515">
        <v>40</v>
      </c>
      <c r="L515">
        <v>3</v>
      </c>
      <c r="M515">
        <v>40</v>
      </c>
      <c r="N515">
        <v>150</v>
      </c>
      <c r="O515">
        <v>267</v>
      </c>
      <c r="P515">
        <v>3</v>
      </c>
      <c r="Q515">
        <v>4</v>
      </c>
      <c r="R515">
        <v>75</v>
      </c>
      <c r="S515">
        <v>40</v>
      </c>
      <c r="T515">
        <v>220</v>
      </c>
      <c r="U515">
        <v>260</v>
      </c>
      <c r="V515">
        <v>6</v>
      </c>
      <c r="W515">
        <v>20</v>
      </c>
      <c r="X515">
        <v>30</v>
      </c>
      <c r="Y515">
        <v>90</v>
      </c>
      <c r="Z515">
        <v>16</v>
      </c>
      <c r="AA515">
        <v>31</v>
      </c>
      <c r="AB515" t="s">
        <v>1559</v>
      </c>
    </row>
    <row r="516" spans="1:28" x14ac:dyDescent="0.3">
      <c r="A516">
        <v>76300</v>
      </c>
      <c r="B516" t="s">
        <v>1265</v>
      </c>
      <c r="C516">
        <v>0</v>
      </c>
      <c r="D516">
        <v>1610612752</v>
      </c>
      <c r="E516" t="s">
        <v>1248</v>
      </c>
      <c r="F516">
        <v>230</v>
      </c>
      <c r="G516">
        <v>12</v>
      </c>
      <c r="I516">
        <v>970</v>
      </c>
      <c r="J516">
        <v>9</v>
      </c>
      <c r="K516">
        <v>26</v>
      </c>
      <c r="L516">
        <v>346</v>
      </c>
      <c r="P516">
        <v>10</v>
      </c>
      <c r="Q516">
        <v>12</v>
      </c>
      <c r="R516">
        <v>833</v>
      </c>
      <c r="S516">
        <v>90</v>
      </c>
      <c r="T516">
        <v>80</v>
      </c>
      <c r="U516">
        <v>170</v>
      </c>
      <c r="V516">
        <v>4</v>
      </c>
      <c r="W516">
        <v>30</v>
      </c>
      <c r="X516">
        <v>30</v>
      </c>
      <c r="Y516">
        <v>50</v>
      </c>
      <c r="Z516">
        <v>10</v>
      </c>
      <c r="AA516">
        <v>28</v>
      </c>
      <c r="AB516" t="s">
        <v>1560</v>
      </c>
    </row>
    <row r="517" spans="1:28" x14ac:dyDescent="0.3">
      <c r="A517">
        <v>77350</v>
      </c>
      <c r="B517" t="s">
        <v>1263</v>
      </c>
      <c r="C517">
        <v>0</v>
      </c>
      <c r="D517">
        <v>1610612752</v>
      </c>
      <c r="E517" t="s">
        <v>1248</v>
      </c>
      <c r="F517">
        <v>280</v>
      </c>
      <c r="G517">
        <v>56</v>
      </c>
      <c r="I517">
        <v>7650</v>
      </c>
      <c r="J517">
        <v>134</v>
      </c>
      <c r="K517">
        <v>277</v>
      </c>
      <c r="L517">
        <v>484</v>
      </c>
      <c r="P517">
        <v>58</v>
      </c>
      <c r="Q517">
        <v>73</v>
      </c>
      <c r="R517">
        <v>795</v>
      </c>
      <c r="S517">
        <v>110</v>
      </c>
      <c r="T517">
        <v>360</v>
      </c>
      <c r="U517">
        <v>470</v>
      </c>
      <c r="V517">
        <v>154</v>
      </c>
      <c r="W517">
        <v>210</v>
      </c>
      <c r="X517">
        <v>60</v>
      </c>
      <c r="Z517">
        <v>87</v>
      </c>
      <c r="AA517">
        <v>326</v>
      </c>
      <c r="AB517" t="s">
        <v>1561</v>
      </c>
    </row>
    <row r="518" spans="1:28" x14ac:dyDescent="0.3">
      <c r="A518">
        <v>1628404</v>
      </c>
      <c r="B518" t="s">
        <v>1327</v>
      </c>
      <c r="C518">
        <v>0</v>
      </c>
      <c r="D518">
        <v>1610612752</v>
      </c>
      <c r="E518" t="s">
        <v>1248</v>
      </c>
      <c r="F518">
        <v>280</v>
      </c>
      <c r="G518">
        <v>25</v>
      </c>
      <c r="H518">
        <v>10</v>
      </c>
      <c r="I518">
        <v>7500</v>
      </c>
      <c r="J518">
        <v>92</v>
      </c>
      <c r="K518">
        <v>157</v>
      </c>
      <c r="L518">
        <v>586</v>
      </c>
      <c r="M518">
        <v>270</v>
      </c>
      <c r="N518">
        <v>520</v>
      </c>
      <c r="O518">
        <v>519</v>
      </c>
      <c r="P518">
        <v>45</v>
      </c>
      <c r="Q518">
        <v>57</v>
      </c>
      <c r="R518">
        <v>789</v>
      </c>
      <c r="S518">
        <v>470</v>
      </c>
      <c r="T518">
        <v>1290</v>
      </c>
      <c r="U518">
        <v>1760</v>
      </c>
      <c r="V518">
        <v>90</v>
      </c>
      <c r="W518">
        <v>340</v>
      </c>
      <c r="X518">
        <v>120</v>
      </c>
      <c r="Y518">
        <v>380</v>
      </c>
      <c r="Z518">
        <v>62</v>
      </c>
      <c r="AA518">
        <v>256</v>
      </c>
      <c r="AB518" t="s">
        <v>1562</v>
      </c>
    </row>
    <row r="519" spans="1:28" x14ac:dyDescent="0.3">
      <c r="A519">
        <v>1628404</v>
      </c>
      <c r="B519" t="s">
        <v>1369</v>
      </c>
      <c r="C519">
        <v>0</v>
      </c>
      <c r="D519">
        <v>1610612752</v>
      </c>
      <c r="E519" t="s">
        <v>1248</v>
      </c>
      <c r="F519">
        <v>290</v>
      </c>
      <c r="G519">
        <v>81</v>
      </c>
      <c r="H519">
        <v>420</v>
      </c>
      <c r="I519">
        <v>27070</v>
      </c>
      <c r="J519">
        <v>295</v>
      </c>
      <c r="K519">
        <v>679</v>
      </c>
      <c r="L519">
        <v>434</v>
      </c>
      <c r="M519">
        <v>800</v>
      </c>
      <c r="N519">
        <v>2580</v>
      </c>
      <c r="O519">
        <v>31</v>
      </c>
      <c r="P519">
        <v>91</v>
      </c>
      <c r="Q519">
        <v>115</v>
      </c>
      <c r="R519">
        <v>791</v>
      </c>
      <c r="S519">
        <v>1280</v>
      </c>
      <c r="T519">
        <v>5470</v>
      </c>
      <c r="U519">
        <v>6750</v>
      </c>
      <c r="V519">
        <v>331</v>
      </c>
      <c r="W519">
        <v>750</v>
      </c>
      <c r="X519">
        <v>230</v>
      </c>
      <c r="Y519">
        <v>1180</v>
      </c>
      <c r="Z519">
        <v>171</v>
      </c>
      <c r="AA519">
        <v>761</v>
      </c>
      <c r="AB519" t="s">
        <v>1562</v>
      </c>
    </row>
    <row r="520" spans="1:28" x14ac:dyDescent="0.3">
      <c r="A520">
        <v>76611</v>
      </c>
      <c r="B520" t="s">
        <v>1315</v>
      </c>
      <c r="C520">
        <v>0</v>
      </c>
      <c r="D520">
        <v>1610612752</v>
      </c>
      <c r="E520" t="s">
        <v>1248</v>
      </c>
      <c r="F520">
        <v>260</v>
      </c>
      <c r="G520">
        <v>60</v>
      </c>
      <c r="I520">
        <v>12900</v>
      </c>
      <c r="J520">
        <v>149</v>
      </c>
      <c r="K520">
        <v>370</v>
      </c>
      <c r="L520">
        <v>403</v>
      </c>
      <c r="P520">
        <v>167</v>
      </c>
      <c r="Q520">
        <v>236</v>
      </c>
      <c r="R520">
        <v>708</v>
      </c>
      <c r="U520">
        <v>4430</v>
      </c>
      <c r="V520">
        <v>39</v>
      </c>
      <c r="Z520">
        <v>211</v>
      </c>
      <c r="AA520">
        <v>465</v>
      </c>
      <c r="AB520" t="s">
        <v>1563</v>
      </c>
    </row>
    <row r="521" spans="1:28" x14ac:dyDescent="0.3">
      <c r="A521">
        <v>203493</v>
      </c>
      <c r="B521" t="s">
        <v>1288</v>
      </c>
      <c r="C521">
        <v>0</v>
      </c>
      <c r="D521">
        <v>1610612752</v>
      </c>
      <c r="E521" t="s">
        <v>1248</v>
      </c>
      <c r="F521">
        <v>290</v>
      </c>
      <c r="G521">
        <v>29</v>
      </c>
      <c r="H521">
        <v>190</v>
      </c>
      <c r="I521">
        <v>6840</v>
      </c>
      <c r="J521">
        <v>90</v>
      </c>
      <c r="K521">
        <v>224</v>
      </c>
      <c r="L521">
        <v>402</v>
      </c>
      <c r="M521">
        <v>370</v>
      </c>
      <c r="N521">
        <v>1110</v>
      </c>
      <c r="O521">
        <v>333</v>
      </c>
      <c r="P521">
        <v>17</v>
      </c>
      <c r="Q521">
        <v>21</v>
      </c>
      <c r="R521">
        <v>81</v>
      </c>
      <c r="S521">
        <v>130</v>
      </c>
      <c r="T521">
        <v>550</v>
      </c>
      <c r="U521">
        <v>680</v>
      </c>
      <c r="V521">
        <v>42</v>
      </c>
      <c r="W521">
        <v>250</v>
      </c>
      <c r="X521">
        <v>30</v>
      </c>
      <c r="Y521">
        <v>190</v>
      </c>
      <c r="Z521">
        <v>56</v>
      </c>
      <c r="AA521">
        <v>234</v>
      </c>
      <c r="AB521" t="s">
        <v>1564</v>
      </c>
    </row>
    <row r="522" spans="1:28" x14ac:dyDescent="0.3">
      <c r="A522">
        <v>203493</v>
      </c>
      <c r="B522" t="s">
        <v>1289</v>
      </c>
      <c r="C522">
        <v>0</v>
      </c>
      <c r="D522">
        <v>1610612752</v>
      </c>
      <c r="E522" t="s">
        <v>1248</v>
      </c>
      <c r="F522">
        <v>300</v>
      </c>
      <c r="G522">
        <v>65</v>
      </c>
      <c r="H522">
        <v>640</v>
      </c>
      <c r="I522">
        <v>19490</v>
      </c>
      <c r="J522">
        <v>248</v>
      </c>
      <c r="K522">
        <v>561</v>
      </c>
      <c r="L522">
        <v>442</v>
      </c>
      <c r="M522">
        <v>1630</v>
      </c>
      <c r="N522">
        <v>3980</v>
      </c>
      <c r="O522">
        <v>41</v>
      </c>
      <c r="P522">
        <v>50</v>
      </c>
      <c r="Q522">
        <v>55</v>
      </c>
      <c r="R522">
        <v>909</v>
      </c>
      <c r="S522">
        <v>160</v>
      </c>
      <c r="T522">
        <v>2070</v>
      </c>
      <c r="U522">
        <v>2230</v>
      </c>
      <c r="V522">
        <v>99</v>
      </c>
      <c r="W522">
        <v>520</v>
      </c>
      <c r="X522">
        <v>110</v>
      </c>
      <c r="Y522">
        <v>450</v>
      </c>
      <c r="Z522">
        <v>146</v>
      </c>
      <c r="AA522">
        <v>709</v>
      </c>
      <c r="AB522" t="s">
        <v>1564</v>
      </c>
    </row>
    <row r="523" spans="1:28" x14ac:dyDescent="0.3">
      <c r="A523">
        <v>77346</v>
      </c>
      <c r="B523" t="s">
        <v>1378</v>
      </c>
      <c r="C523">
        <v>0</v>
      </c>
      <c r="D523">
        <v>1610612752</v>
      </c>
      <c r="E523" t="s">
        <v>1248</v>
      </c>
      <c r="F523">
        <v>240</v>
      </c>
      <c r="G523">
        <v>30</v>
      </c>
      <c r="J523">
        <v>32</v>
      </c>
      <c r="K523">
        <v>93</v>
      </c>
      <c r="L523">
        <v>344</v>
      </c>
      <c r="P523">
        <v>35</v>
      </c>
      <c r="Q523">
        <v>41</v>
      </c>
      <c r="R523">
        <v>854</v>
      </c>
      <c r="U523">
        <v>590</v>
      </c>
      <c r="V523">
        <v>23</v>
      </c>
      <c r="Z523">
        <v>56</v>
      </c>
      <c r="AA523">
        <v>99</v>
      </c>
      <c r="AB523" t="s">
        <v>1565</v>
      </c>
    </row>
    <row r="524" spans="1:28" x14ac:dyDescent="0.3">
      <c r="A524">
        <v>970</v>
      </c>
      <c r="B524" t="s">
        <v>1465</v>
      </c>
      <c r="C524">
        <v>0</v>
      </c>
      <c r="D524">
        <v>1610612752</v>
      </c>
      <c r="E524" t="s">
        <v>1248</v>
      </c>
      <c r="F524">
        <v>270</v>
      </c>
      <c r="G524">
        <v>30</v>
      </c>
      <c r="H524">
        <v>50</v>
      </c>
      <c r="I524">
        <v>5480</v>
      </c>
      <c r="J524">
        <v>67</v>
      </c>
      <c r="K524">
        <v>121</v>
      </c>
      <c r="L524">
        <v>554</v>
      </c>
      <c r="M524">
        <v>0</v>
      </c>
      <c r="N524">
        <v>0</v>
      </c>
      <c r="O524">
        <v>0</v>
      </c>
      <c r="P524">
        <v>51</v>
      </c>
      <c r="Q524">
        <v>70</v>
      </c>
      <c r="R524">
        <v>729</v>
      </c>
      <c r="S524">
        <v>370</v>
      </c>
      <c r="T524">
        <v>620</v>
      </c>
      <c r="U524">
        <v>990</v>
      </c>
      <c r="V524">
        <v>20</v>
      </c>
      <c r="W524">
        <v>150</v>
      </c>
      <c r="X524">
        <v>190</v>
      </c>
      <c r="Y524">
        <v>410</v>
      </c>
      <c r="Z524">
        <v>101</v>
      </c>
      <c r="AA524">
        <v>185</v>
      </c>
      <c r="AB524" t="s">
        <v>1566</v>
      </c>
    </row>
    <row r="525" spans="1:28" x14ac:dyDescent="0.3">
      <c r="A525">
        <v>970</v>
      </c>
      <c r="B525" t="s">
        <v>1330</v>
      </c>
      <c r="C525">
        <v>0</v>
      </c>
      <c r="D525">
        <v>1610612752</v>
      </c>
      <c r="E525" t="s">
        <v>1248</v>
      </c>
      <c r="F525">
        <v>280</v>
      </c>
      <c r="G525">
        <v>77</v>
      </c>
      <c r="H525">
        <v>40</v>
      </c>
      <c r="I525">
        <v>15640</v>
      </c>
      <c r="J525">
        <v>237</v>
      </c>
      <c r="K525">
        <v>450</v>
      </c>
      <c r="L525">
        <v>527</v>
      </c>
      <c r="M525">
        <v>0</v>
      </c>
      <c r="N525">
        <v>20</v>
      </c>
      <c r="O525">
        <v>0</v>
      </c>
      <c r="P525">
        <v>122</v>
      </c>
      <c r="Q525">
        <v>172</v>
      </c>
      <c r="R525">
        <v>709</v>
      </c>
      <c r="S525">
        <v>1250</v>
      </c>
      <c r="T525">
        <v>2240</v>
      </c>
      <c r="U525">
        <v>3490</v>
      </c>
      <c r="V525">
        <v>37</v>
      </c>
      <c r="W525">
        <v>300</v>
      </c>
      <c r="X525">
        <v>360</v>
      </c>
      <c r="Y525">
        <v>950</v>
      </c>
      <c r="Z525">
        <v>250</v>
      </c>
      <c r="AA525">
        <v>596</v>
      </c>
      <c r="AB525" t="s">
        <v>1566</v>
      </c>
    </row>
    <row r="526" spans="1:28" x14ac:dyDescent="0.3">
      <c r="A526">
        <v>970</v>
      </c>
      <c r="B526" t="s">
        <v>1325</v>
      </c>
      <c r="C526">
        <v>0</v>
      </c>
      <c r="D526">
        <v>1610612752</v>
      </c>
      <c r="E526" t="s">
        <v>1248</v>
      </c>
      <c r="F526">
        <v>290</v>
      </c>
      <c r="G526">
        <v>74</v>
      </c>
      <c r="H526">
        <v>640</v>
      </c>
      <c r="I526">
        <v>18460</v>
      </c>
      <c r="J526">
        <v>225</v>
      </c>
      <c r="K526">
        <v>443</v>
      </c>
      <c r="L526">
        <v>508</v>
      </c>
      <c r="M526">
        <v>0</v>
      </c>
      <c r="N526">
        <v>0</v>
      </c>
      <c r="O526">
        <v>0</v>
      </c>
      <c r="P526">
        <v>123</v>
      </c>
      <c r="Q526">
        <v>150</v>
      </c>
      <c r="R526">
        <v>82</v>
      </c>
      <c r="S526">
        <v>1650</v>
      </c>
      <c r="T526">
        <v>3110</v>
      </c>
      <c r="U526">
        <v>4760</v>
      </c>
      <c r="V526">
        <v>62</v>
      </c>
      <c r="W526">
        <v>120</v>
      </c>
      <c r="X526">
        <v>230</v>
      </c>
      <c r="Y526">
        <v>900</v>
      </c>
      <c r="Z526">
        <v>231</v>
      </c>
      <c r="AA526">
        <v>573</v>
      </c>
      <c r="AB526" t="s">
        <v>1566</v>
      </c>
    </row>
    <row r="527" spans="1:28" x14ac:dyDescent="0.3">
      <c r="A527">
        <v>970</v>
      </c>
      <c r="B527" t="s">
        <v>1293</v>
      </c>
      <c r="C527">
        <v>0</v>
      </c>
      <c r="D527">
        <v>1610612752</v>
      </c>
      <c r="E527" t="s">
        <v>1248</v>
      </c>
      <c r="F527">
        <v>300</v>
      </c>
      <c r="G527">
        <v>56</v>
      </c>
      <c r="H527">
        <v>30</v>
      </c>
      <c r="I527">
        <v>8710</v>
      </c>
      <c r="J527">
        <v>100</v>
      </c>
      <c r="K527">
        <v>202</v>
      </c>
      <c r="L527">
        <v>495</v>
      </c>
      <c r="M527">
        <v>0</v>
      </c>
      <c r="N527">
        <v>0</v>
      </c>
      <c r="O527">
        <v>0</v>
      </c>
      <c r="P527">
        <v>58</v>
      </c>
      <c r="Q527">
        <v>78</v>
      </c>
      <c r="R527">
        <v>744</v>
      </c>
      <c r="S527">
        <v>580</v>
      </c>
      <c r="T527">
        <v>1190</v>
      </c>
      <c r="U527">
        <v>1770</v>
      </c>
      <c r="V527">
        <v>29</v>
      </c>
      <c r="W527">
        <v>120</v>
      </c>
      <c r="X527">
        <v>140</v>
      </c>
      <c r="Y527">
        <v>650</v>
      </c>
      <c r="Z527">
        <v>134</v>
      </c>
      <c r="AA527">
        <v>258</v>
      </c>
      <c r="AB527" t="s">
        <v>1566</v>
      </c>
    </row>
    <row r="528" spans="1:28" x14ac:dyDescent="0.3">
      <c r="A528">
        <v>2768</v>
      </c>
      <c r="B528" t="s">
        <v>1304</v>
      </c>
      <c r="C528">
        <v>0</v>
      </c>
      <c r="D528">
        <v>1610612752</v>
      </c>
      <c r="E528" t="s">
        <v>1248</v>
      </c>
      <c r="F528">
        <v>260</v>
      </c>
      <c r="G528">
        <v>79</v>
      </c>
      <c r="H528">
        <v>780</v>
      </c>
      <c r="I528">
        <v>29060</v>
      </c>
      <c r="J528">
        <v>287</v>
      </c>
      <c r="K528">
        <v>681</v>
      </c>
      <c r="L528">
        <v>421</v>
      </c>
      <c r="M528">
        <v>1270</v>
      </c>
      <c r="N528">
        <v>3250</v>
      </c>
      <c r="O528">
        <v>391</v>
      </c>
      <c r="P528">
        <v>179</v>
      </c>
      <c r="Q528">
        <v>209</v>
      </c>
      <c r="R528">
        <v>856</v>
      </c>
      <c r="S528">
        <v>450</v>
      </c>
      <c r="T528">
        <v>2010</v>
      </c>
      <c r="U528">
        <v>2460</v>
      </c>
      <c r="V528">
        <v>566</v>
      </c>
      <c r="W528">
        <v>720</v>
      </c>
      <c r="X528">
        <v>70</v>
      </c>
      <c r="Y528">
        <v>2210</v>
      </c>
      <c r="Z528">
        <v>126</v>
      </c>
      <c r="AA528">
        <v>880</v>
      </c>
      <c r="AB528" t="s">
        <v>1567</v>
      </c>
    </row>
    <row r="529" spans="1:28" x14ac:dyDescent="0.3">
      <c r="A529">
        <v>2768</v>
      </c>
      <c r="B529" t="s">
        <v>1305</v>
      </c>
      <c r="C529">
        <v>0</v>
      </c>
      <c r="D529">
        <v>1610612752</v>
      </c>
      <c r="E529" t="s">
        <v>1248</v>
      </c>
      <c r="F529">
        <v>270</v>
      </c>
      <c r="G529">
        <v>67</v>
      </c>
      <c r="H529">
        <v>590</v>
      </c>
      <c r="I529">
        <v>20720</v>
      </c>
      <c r="J529">
        <v>168</v>
      </c>
      <c r="K529">
        <v>451</v>
      </c>
      <c r="L529">
        <v>373</v>
      </c>
      <c r="M529">
        <v>900</v>
      </c>
      <c r="N529">
        <v>2580</v>
      </c>
      <c r="O529">
        <v>349</v>
      </c>
      <c r="P529">
        <v>68</v>
      </c>
      <c r="Q529">
        <v>95</v>
      </c>
      <c r="R529">
        <v>716</v>
      </c>
      <c r="S529">
        <v>280</v>
      </c>
      <c r="T529">
        <v>1500</v>
      </c>
      <c r="U529">
        <v>1780</v>
      </c>
      <c r="V529">
        <v>378</v>
      </c>
      <c r="W529">
        <v>590</v>
      </c>
      <c r="X529">
        <v>30</v>
      </c>
      <c r="Y529">
        <v>1100</v>
      </c>
      <c r="Z529">
        <v>83</v>
      </c>
      <c r="AA529">
        <v>494</v>
      </c>
      <c r="AB529" t="s">
        <v>1567</v>
      </c>
    </row>
    <row r="530" spans="1:28" x14ac:dyDescent="0.3">
      <c r="A530">
        <v>76297</v>
      </c>
      <c r="B530" t="s">
        <v>1322</v>
      </c>
      <c r="C530">
        <v>0</v>
      </c>
      <c r="D530">
        <v>1610612752</v>
      </c>
      <c r="E530" t="s">
        <v>1248</v>
      </c>
      <c r="F530">
        <v>220</v>
      </c>
      <c r="G530">
        <v>61</v>
      </c>
      <c r="I530">
        <v>10750</v>
      </c>
      <c r="J530">
        <v>156</v>
      </c>
      <c r="K530">
        <v>361</v>
      </c>
      <c r="L530">
        <v>432</v>
      </c>
      <c r="P530">
        <v>87</v>
      </c>
      <c r="Q530">
        <v>134</v>
      </c>
      <c r="R530">
        <v>649</v>
      </c>
      <c r="U530">
        <v>2970</v>
      </c>
      <c r="V530">
        <v>45</v>
      </c>
      <c r="Z530">
        <v>171</v>
      </c>
      <c r="AA530">
        <v>399</v>
      </c>
      <c r="AB530" t="s">
        <v>1568</v>
      </c>
    </row>
    <row r="531" spans="1:28" x14ac:dyDescent="0.3">
      <c r="A531">
        <v>76297</v>
      </c>
      <c r="B531" t="s">
        <v>1323</v>
      </c>
      <c r="C531">
        <v>0</v>
      </c>
      <c r="D531">
        <v>1610612752</v>
      </c>
      <c r="E531" t="s">
        <v>1248</v>
      </c>
      <c r="F531">
        <v>230</v>
      </c>
      <c r="G531">
        <v>79</v>
      </c>
      <c r="I531">
        <v>13700</v>
      </c>
      <c r="J531">
        <v>188</v>
      </c>
      <c r="K531">
        <v>431</v>
      </c>
      <c r="L531">
        <v>436</v>
      </c>
      <c r="P531">
        <v>138</v>
      </c>
      <c r="Q531">
        <v>231</v>
      </c>
      <c r="R531">
        <v>597</v>
      </c>
      <c r="U531">
        <v>3450</v>
      </c>
      <c r="V531">
        <v>86</v>
      </c>
      <c r="Z531">
        <v>162</v>
      </c>
      <c r="AA531">
        <v>514</v>
      </c>
      <c r="AB531" t="s">
        <v>1568</v>
      </c>
    </row>
    <row r="532" spans="1:28" x14ac:dyDescent="0.3">
      <c r="A532">
        <v>76297</v>
      </c>
      <c r="B532" t="s">
        <v>1255</v>
      </c>
      <c r="C532">
        <v>0</v>
      </c>
      <c r="D532">
        <v>1610612752</v>
      </c>
      <c r="E532" t="s">
        <v>1248</v>
      </c>
      <c r="F532">
        <v>240</v>
      </c>
      <c r="G532">
        <v>78</v>
      </c>
      <c r="I532">
        <v>17250</v>
      </c>
      <c r="J532">
        <v>294</v>
      </c>
      <c r="K532">
        <v>596</v>
      </c>
      <c r="L532">
        <v>493</v>
      </c>
      <c r="P532">
        <v>151</v>
      </c>
      <c r="Q532">
        <v>202</v>
      </c>
      <c r="R532">
        <v>748</v>
      </c>
      <c r="U532">
        <v>3950</v>
      </c>
      <c r="V532">
        <v>87</v>
      </c>
      <c r="Z532">
        <v>204</v>
      </c>
      <c r="AA532">
        <v>739</v>
      </c>
      <c r="AB532" t="s">
        <v>1568</v>
      </c>
    </row>
    <row r="533" spans="1:28" x14ac:dyDescent="0.3">
      <c r="A533">
        <v>76297</v>
      </c>
      <c r="B533" t="s">
        <v>1257</v>
      </c>
      <c r="C533">
        <v>0</v>
      </c>
      <c r="D533">
        <v>1610612752</v>
      </c>
      <c r="E533" t="s">
        <v>1248</v>
      </c>
      <c r="F533">
        <v>250</v>
      </c>
      <c r="G533">
        <v>73</v>
      </c>
      <c r="I533">
        <v>10310</v>
      </c>
      <c r="J533">
        <v>128</v>
      </c>
      <c r="K533">
        <v>297</v>
      </c>
      <c r="L533">
        <v>431</v>
      </c>
      <c r="P533">
        <v>84</v>
      </c>
      <c r="Q533">
        <v>115</v>
      </c>
      <c r="R533">
        <v>73</v>
      </c>
      <c r="U533">
        <v>2760</v>
      </c>
      <c r="V533">
        <v>57</v>
      </c>
      <c r="Z533">
        <v>130</v>
      </c>
      <c r="AA533">
        <v>340</v>
      </c>
      <c r="AB533" t="s">
        <v>1568</v>
      </c>
    </row>
    <row r="534" spans="1:28" x14ac:dyDescent="0.3">
      <c r="A534">
        <v>76297</v>
      </c>
      <c r="B534" t="s">
        <v>1258</v>
      </c>
      <c r="C534">
        <v>0</v>
      </c>
      <c r="D534">
        <v>1610612752</v>
      </c>
      <c r="E534" t="s">
        <v>1248</v>
      </c>
      <c r="F534">
        <v>260</v>
      </c>
      <c r="G534">
        <v>62</v>
      </c>
      <c r="I534">
        <v>11880</v>
      </c>
      <c r="J534">
        <v>196</v>
      </c>
      <c r="K534">
        <v>407</v>
      </c>
      <c r="L534">
        <v>482</v>
      </c>
      <c r="P534">
        <v>121</v>
      </c>
      <c r="Q534">
        <v>170</v>
      </c>
      <c r="R534">
        <v>712</v>
      </c>
      <c r="U534">
        <v>3100</v>
      </c>
      <c r="V534">
        <v>62</v>
      </c>
      <c r="Z534">
        <v>147</v>
      </c>
      <c r="AA534">
        <v>513</v>
      </c>
      <c r="AB534" t="s">
        <v>1568</v>
      </c>
    </row>
    <row r="535" spans="1:28" x14ac:dyDescent="0.3">
      <c r="A535">
        <v>76085</v>
      </c>
      <c r="B535" t="s">
        <v>1406</v>
      </c>
      <c r="C535">
        <v>0</v>
      </c>
      <c r="D535">
        <v>1610612752</v>
      </c>
      <c r="E535" t="s">
        <v>1248</v>
      </c>
      <c r="F535">
        <v>280</v>
      </c>
      <c r="G535">
        <v>74</v>
      </c>
      <c r="H535">
        <v>280</v>
      </c>
      <c r="I535">
        <v>12970</v>
      </c>
      <c r="J535">
        <v>156</v>
      </c>
      <c r="K535">
        <v>349</v>
      </c>
      <c r="L535">
        <v>447</v>
      </c>
      <c r="M535">
        <v>0</v>
      </c>
      <c r="N535">
        <v>10</v>
      </c>
      <c r="O535">
        <v>0</v>
      </c>
      <c r="P535">
        <v>73</v>
      </c>
      <c r="Q535">
        <v>108</v>
      </c>
      <c r="R535">
        <v>676</v>
      </c>
      <c r="S535">
        <v>1220</v>
      </c>
      <c r="T535">
        <v>2220</v>
      </c>
      <c r="U535">
        <v>3440</v>
      </c>
      <c r="V535">
        <v>39</v>
      </c>
      <c r="W535">
        <v>300</v>
      </c>
      <c r="X535">
        <v>500</v>
      </c>
      <c r="Y535">
        <v>1000</v>
      </c>
      <c r="Z535">
        <v>286</v>
      </c>
      <c r="AA535">
        <v>385</v>
      </c>
      <c r="AB535" t="s">
        <v>1569</v>
      </c>
    </row>
    <row r="536" spans="1:28" x14ac:dyDescent="0.3">
      <c r="A536">
        <v>76085</v>
      </c>
      <c r="B536" t="s">
        <v>1392</v>
      </c>
      <c r="C536">
        <v>0</v>
      </c>
      <c r="D536">
        <v>1610612752</v>
      </c>
      <c r="E536" t="s">
        <v>1248</v>
      </c>
      <c r="F536">
        <v>290</v>
      </c>
      <c r="G536">
        <v>48</v>
      </c>
      <c r="H536">
        <v>360</v>
      </c>
      <c r="I536">
        <v>12450</v>
      </c>
      <c r="J536">
        <v>202</v>
      </c>
      <c r="K536">
        <v>443</v>
      </c>
      <c r="L536">
        <v>456</v>
      </c>
      <c r="M536">
        <v>0</v>
      </c>
      <c r="N536">
        <v>40</v>
      </c>
      <c r="O536">
        <v>0</v>
      </c>
      <c r="P536">
        <v>129</v>
      </c>
      <c r="Q536">
        <v>167</v>
      </c>
      <c r="R536">
        <v>772</v>
      </c>
      <c r="S536">
        <v>1020</v>
      </c>
      <c r="T536">
        <v>2320</v>
      </c>
      <c r="U536">
        <v>3340</v>
      </c>
      <c r="V536">
        <v>50</v>
      </c>
      <c r="W536">
        <v>330</v>
      </c>
      <c r="X536">
        <v>400</v>
      </c>
      <c r="Y536">
        <v>990</v>
      </c>
      <c r="Z536">
        <v>207</v>
      </c>
      <c r="AA536">
        <v>533</v>
      </c>
      <c r="AB536" t="s">
        <v>1569</v>
      </c>
    </row>
    <row r="537" spans="1:28" x14ac:dyDescent="0.3">
      <c r="A537">
        <v>203499</v>
      </c>
      <c r="B537" t="s">
        <v>1343</v>
      </c>
      <c r="C537">
        <v>0</v>
      </c>
      <c r="D537">
        <v>1610612752</v>
      </c>
      <c r="E537" t="s">
        <v>1248</v>
      </c>
      <c r="F537">
        <v>220</v>
      </c>
      <c r="G537">
        <v>76</v>
      </c>
      <c r="H537">
        <v>220</v>
      </c>
      <c r="I537">
        <v>18650</v>
      </c>
      <c r="J537">
        <v>187</v>
      </c>
      <c r="K537">
        <v>432</v>
      </c>
      <c r="L537">
        <v>433</v>
      </c>
      <c r="M537">
        <v>350</v>
      </c>
      <c r="N537">
        <v>1160</v>
      </c>
      <c r="O537">
        <v>302</v>
      </c>
      <c r="P537">
        <v>61</v>
      </c>
      <c r="Q537">
        <v>78</v>
      </c>
      <c r="R537">
        <v>782</v>
      </c>
      <c r="S537">
        <v>290</v>
      </c>
      <c r="T537">
        <v>1470</v>
      </c>
      <c r="U537">
        <v>1760</v>
      </c>
      <c r="V537">
        <v>226</v>
      </c>
      <c r="W537">
        <v>930</v>
      </c>
      <c r="X537">
        <v>90</v>
      </c>
      <c r="Y537">
        <v>830</v>
      </c>
      <c r="Z537">
        <v>150</v>
      </c>
      <c r="AA537">
        <v>470</v>
      </c>
      <c r="AB537" t="s">
        <v>1570</v>
      </c>
    </row>
    <row r="538" spans="1:28" x14ac:dyDescent="0.3">
      <c r="A538">
        <v>1733</v>
      </c>
      <c r="B538" t="s">
        <v>1304</v>
      </c>
      <c r="C538">
        <v>0</v>
      </c>
      <c r="D538">
        <v>1610612752</v>
      </c>
      <c r="E538" t="s">
        <v>1248</v>
      </c>
      <c r="F538">
        <v>290</v>
      </c>
      <c r="G538">
        <v>68</v>
      </c>
      <c r="H538">
        <v>510</v>
      </c>
      <c r="I538">
        <v>23800</v>
      </c>
      <c r="J538">
        <v>509</v>
      </c>
      <c r="K538">
        <v>1142</v>
      </c>
      <c r="L538">
        <v>446</v>
      </c>
      <c r="M538">
        <v>1600</v>
      </c>
      <c r="N538">
        <v>4420</v>
      </c>
      <c r="O538">
        <v>362</v>
      </c>
      <c r="P538">
        <v>229</v>
      </c>
      <c r="Q538">
        <v>285</v>
      </c>
      <c r="R538">
        <v>804</v>
      </c>
      <c r="S538">
        <v>890</v>
      </c>
      <c r="T538">
        <v>3380</v>
      </c>
      <c r="U538">
        <v>4270</v>
      </c>
      <c r="V538">
        <v>92</v>
      </c>
      <c r="W538">
        <v>810</v>
      </c>
      <c r="X538">
        <v>220</v>
      </c>
      <c r="Y538">
        <v>1540</v>
      </c>
      <c r="Z538">
        <v>213</v>
      </c>
      <c r="AA538">
        <v>1407</v>
      </c>
      <c r="AB538" t="s">
        <v>1571</v>
      </c>
    </row>
    <row r="539" spans="1:28" x14ac:dyDescent="0.3">
      <c r="A539">
        <v>1733</v>
      </c>
      <c r="B539" t="s">
        <v>1305</v>
      </c>
      <c r="C539">
        <v>0</v>
      </c>
      <c r="D539">
        <v>1610612752</v>
      </c>
      <c r="E539" t="s">
        <v>1248</v>
      </c>
      <c r="F539">
        <v>300</v>
      </c>
      <c r="G539">
        <v>72</v>
      </c>
      <c r="H539">
        <v>150</v>
      </c>
      <c r="I539">
        <v>21950</v>
      </c>
      <c r="J539">
        <v>448</v>
      </c>
      <c r="K539">
        <v>1030</v>
      </c>
      <c r="L539">
        <v>435</v>
      </c>
      <c r="M539">
        <v>1400</v>
      </c>
      <c r="N539">
        <v>4090</v>
      </c>
      <c r="O539">
        <v>342</v>
      </c>
      <c r="P539">
        <v>240</v>
      </c>
      <c r="Q539">
        <v>317</v>
      </c>
      <c r="R539">
        <v>757</v>
      </c>
      <c r="S539">
        <v>880</v>
      </c>
      <c r="T539">
        <v>3170</v>
      </c>
      <c r="U539">
        <v>4050</v>
      </c>
      <c r="V539">
        <v>110</v>
      </c>
      <c r="W539">
        <v>620</v>
      </c>
      <c r="X539">
        <v>260</v>
      </c>
      <c r="Y539">
        <v>1320</v>
      </c>
      <c r="Z539">
        <v>209</v>
      </c>
      <c r="AA539">
        <v>1276</v>
      </c>
      <c r="AB539" t="s">
        <v>1571</v>
      </c>
    </row>
    <row r="540" spans="1:28" x14ac:dyDescent="0.3">
      <c r="A540">
        <v>201</v>
      </c>
      <c r="B540" t="s">
        <v>1278</v>
      </c>
      <c r="C540">
        <v>0</v>
      </c>
      <c r="D540">
        <v>1610612752</v>
      </c>
      <c r="E540" t="s">
        <v>1248</v>
      </c>
      <c r="F540">
        <v>330</v>
      </c>
      <c r="G540">
        <v>51</v>
      </c>
      <c r="H540">
        <v>220</v>
      </c>
      <c r="I540">
        <v>8580</v>
      </c>
      <c r="J540">
        <v>58</v>
      </c>
      <c r="K540">
        <v>143</v>
      </c>
      <c r="L540">
        <v>406</v>
      </c>
      <c r="M540">
        <v>0</v>
      </c>
      <c r="N540">
        <v>0</v>
      </c>
      <c r="O540">
        <v>0</v>
      </c>
      <c r="P540">
        <v>41</v>
      </c>
      <c r="Q540">
        <v>92</v>
      </c>
      <c r="R540">
        <v>446</v>
      </c>
      <c r="S540">
        <v>1080</v>
      </c>
      <c r="T540">
        <v>1670</v>
      </c>
      <c r="U540">
        <v>2750</v>
      </c>
      <c r="V540">
        <v>21</v>
      </c>
      <c r="W540">
        <v>130</v>
      </c>
      <c r="X540">
        <v>510</v>
      </c>
      <c r="Y540">
        <v>440</v>
      </c>
      <c r="Z540">
        <v>139</v>
      </c>
      <c r="AA540">
        <v>157</v>
      </c>
      <c r="AB540" t="s">
        <v>1572</v>
      </c>
    </row>
    <row r="541" spans="1:28" x14ac:dyDescent="0.3">
      <c r="A541">
        <v>201</v>
      </c>
      <c r="B541" t="s">
        <v>1429</v>
      </c>
      <c r="C541">
        <v>0</v>
      </c>
      <c r="D541">
        <v>1610612752</v>
      </c>
      <c r="E541" t="s">
        <v>1248</v>
      </c>
      <c r="F541">
        <v>340</v>
      </c>
      <c r="G541">
        <v>46</v>
      </c>
      <c r="H541">
        <v>160</v>
      </c>
      <c r="I541">
        <v>6850</v>
      </c>
      <c r="J541">
        <v>48</v>
      </c>
      <c r="K541">
        <v>109</v>
      </c>
      <c r="L541">
        <v>44</v>
      </c>
      <c r="M541">
        <v>0</v>
      </c>
      <c r="N541">
        <v>0</v>
      </c>
      <c r="O541">
        <v>0</v>
      </c>
      <c r="P541">
        <v>19</v>
      </c>
      <c r="Q541">
        <v>40</v>
      </c>
      <c r="R541">
        <v>475</v>
      </c>
      <c r="S541">
        <v>790</v>
      </c>
      <c r="T541">
        <v>1140</v>
      </c>
      <c r="U541">
        <v>1930</v>
      </c>
      <c r="V541">
        <v>7</v>
      </c>
      <c r="W541">
        <v>130</v>
      </c>
      <c r="X541">
        <v>380</v>
      </c>
      <c r="Y541">
        <v>240</v>
      </c>
      <c r="Z541">
        <v>116</v>
      </c>
      <c r="AA541">
        <v>115</v>
      </c>
      <c r="AB541" t="s">
        <v>1572</v>
      </c>
    </row>
    <row r="542" spans="1:28" x14ac:dyDescent="0.3">
      <c r="A542">
        <v>201</v>
      </c>
      <c r="B542" t="s">
        <v>1464</v>
      </c>
      <c r="C542">
        <v>0</v>
      </c>
      <c r="D542">
        <v>1610612752</v>
      </c>
      <c r="E542" t="s">
        <v>1248</v>
      </c>
      <c r="F542">
        <v>350</v>
      </c>
      <c r="G542">
        <v>47</v>
      </c>
      <c r="H542">
        <v>30</v>
      </c>
      <c r="I542">
        <v>4590</v>
      </c>
      <c r="J542">
        <v>23</v>
      </c>
      <c r="K542">
        <v>67</v>
      </c>
      <c r="L542">
        <v>343</v>
      </c>
      <c r="M542">
        <v>0</v>
      </c>
      <c r="N542">
        <v>0</v>
      </c>
      <c r="O542">
        <v>0</v>
      </c>
      <c r="P542">
        <v>9</v>
      </c>
      <c r="Q542">
        <v>27</v>
      </c>
      <c r="R542">
        <v>333</v>
      </c>
      <c r="S542">
        <v>630</v>
      </c>
      <c r="T542">
        <v>730</v>
      </c>
      <c r="U542">
        <v>1360</v>
      </c>
      <c r="V542">
        <v>5</v>
      </c>
      <c r="W542">
        <v>70</v>
      </c>
      <c r="X542">
        <v>210</v>
      </c>
      <c r="Y542">
        <v>180</v>
      </c>
      <c r="Z542">
        <v>95</v>
      </c>
      <c r="AA542">
        <v>55</v>
      </c>
      <c r="AB542" t="s">
        <v>1572</v>
      </c>
    </row>
    <row r="543" spans="1:28" x14ac:dyDescent="0.3">
      <c r="A543">
        <v>76295</v>
      </c>
      <c r="B543" t="s">
        <v>1323</v>
      </c>
      <c r="C543">
        <v>0</v>
      </c>
      <c r="D543">
        <v>1610612752</v>
      </c>
      <c r="E543" t="s">
        <v>1248</v>
      </c>
      <c r="F543">
        <v>230</v>
      </c>
      <c r="G543">
        <v>62</v>
      </c>
      <c r="I543">
        <v>6960</v>
      </c>
      <c r="J543">
        <v>158</v>
      </c>
      <c r="K543">
        <v>367</v>
      </c>
      <c r="L543">
        <v>431</v>
      </c>
      <c r="P543">
        <v>83</v>
      </c>
      <c r="Q543">
        <v>133</v>
      </c>
      <c r="R543">
        <v>624</v>
      </c>
      <c r="U543">
        <v>2360</v>
      </c>
      <c r="V543">
        <v>39</v>
      </c>
      <c r="Z543">
        <v>114</v>
      </c>
      <c r="AA543">
        <v>399</v>
      </c>
      <c r="AB543" t="s">
        <v>1573</v>
      </c>
    </row>
    <row r="544" spans="1:28" x14ac:dyDescent="0.3">
      <c r="A544">
        <v>76295</v>
      </c>
      <c r="B544" t="s">
        <v>1255</v>
      </c>
      <c r="C544">
        <v>0</v>
      </c>
      <c r="D544">
        <v>1610612752</v>
      </c>
      <c r="E544" t="s">
        <v>1248</v>
      </c>
      <c r="F544">
        <v>240</v>
      </c>
      <c r="G544">
        <v>6</v>
      </c>
      <c r="I544">
        <v>270</v>
      </c>
      <c r="J544">
        <v>5</v>
      </c>
      <c r="K544">
        <v>10</v>
      </c>
      <c r="L544">
        <v>5</v>
      </c>
      <c r="P544">
        <v>2</v>
      </c>
      <c r="Q544">
        <v>4</v>
      </c>
      <c r="R544">
        <v>5</v>
      </c>
      <c r="U544">
        <v>40</v>
      </c>
      <c r="V544">
        <v>5</v>
      </c>
      <c r="Z544">
        <v>6</v>
      </c>
      <c r="AA544">
        <v>12</v>
      </c>
      <c r="AB544" t="s">
        <v>1573</v>
      </c>
    </row>
    <row r="545" spans="1:28" x14ac:dyDescent="0.3">
      <c r="A545">
        <v>462</v>
      </c>
      <c r="B545" t="s">
        <v>1276</v>
      </c>
      <c r="C545">
        <v>0</v>
      </c>
      <c r="D545">
        <v>1610612752</v>
      </c>
      <c r="E545" t="s">
        <v>1248</v>
      </c>
      <c r="F545">
        <v>280</v>
      </c>
      <c r="G545">
        <v>33</v>
      </c>
      <c r="H545">
        <v>160</v>
      </c>
      <c r="I545">
        <v>6700</v>
      </c>
      <c r="J545">
        <v>88</v>
      </c>
      <c r="K545">
        <v>160</v>
      </c>
      <c r="L545">
        <v>55</v>
      </c>
      <c r="M545">
        <v>0</v>
      </c>
      <c r="N545">
        <v>0</v>
      </c>
      <c r="O545">
        <v>0</v>
      </c>
      <c r="P545">
        <v>43</v>
      </c>
      <c r="Q545">
        <v>55</v>
      </c>
      <c r="R545">
        <v>782</v>
      </c>
      <c r="S545">
        <v>380</v>
      </c>
      <c r="T545">
        <v>940</v>
      </c>
      <c r="U545">
        <v>1320</v>
      </c>
      <c r="V545">
        <v>28</v>
      </c>
      <c r="W545">
        <v>180</v>
      </c>
      <c r="X545">
        <v>70</v>
      </c>
      <c r="Y545">
        <v>300</v>
      </c>
      <c r="Z545">
        <v>89</v>
      </c>
      <c r="AA545">
        <v>219</v>
      </c>
      <c r="AB545" t="s">
        <v>1574</v>
      </c>
    </row>
    <row r="546" spans="1:28" x14ac:dyDescent="0.3">
      <c r="A546">
        <v>457</v>
      </c>
      <c r="B546" t="s">
        <v>1464</v>
      </c>
      <c r="C546">
        <v>0</v>
      </c>
      <c r="D546">
        <v>1610612752</v>
      </c>
      <c r="E546" t="s">
        <v>1248</v>
      </c>
      <c r="F546">
        <v>340</v>
      </c>
      <c r="G546">
        <v>19</v>
      </c>
      <c r="H546">
        <v>100</v>
      </c>
      <c r="I546">
        <v>2440</v>
      </c>
      <c r="J546">
        <v>28</v>
      </c>
      <c r="K546">
        <v>64</v>
      </c>
      <c r="L546">
        <v>438</v>
      </c>
      <c r="M546">
        <v>0</v>
      </c>
      <c r="N546">
        <v>0</v>
      </c>
      <c r="O546">
        <v>0</v>
      </c>
      <c r="P546">
        <v>3</v>
      </c>
      <c r="Q546">
        <v>7</v>
      </c>
      <c r="R546">
        <v>429</v>
      </c>
      <c r="S546">
        <v>160</v>
      </c>
      <c r="T546">
        <v>440</v>
      </c>
      <c r="U546">
        <v>600</v>
      </c>
      <c r="V546">
        <v>3</v>
      </c>
      <c r="W546">
        <v>80</v>
      </c>
      <c r="X546">
        <v>60</v>
      </c>
      <c r="Y546">
        <v>50</v>
      </c>
      <c r="Z546">
        <v>31</v>
      </c>
      <c r="AA546">
        <v>59</v>
      </c>
      <c r="AB546" t="s">
        <v>1575</v>
      </c>
    </row>
    <row r="547" spans="1:28" x14ac:dyDescent="0.3">
      <c r="A547">
        <v>202725</v>
      </c>
      <c r="B547" t="s">
        <v>1290</v>
      </c>
      <c r="C547">
        <v>0</v>
      </c>
      <c r="D547">
        <v>1610612752</v>
      </c>
      <c r="E547" t="s">
        <v>1248</v>
      </c>
      <c r="F547">
        <v>230</v>
      </c>
      <c r="G547">
        <v>37</v>
      </c>
      <c r="H547">
        <v>40</v>
      </c>
      <c r="I547">
        <v>5400</v>
      </c>
      <c r="J547">
        <v>63</v>
      </c>
      <c r="K547">
        <v>149</v>
      </c>
      <c r="L547">
        <v>423</v>
      </c>
      <c r="M547">
        <v>200</v>
      </c>
      <c r="N547">
        <v>590</v>
      </c>
      <c r="O547">
        <v>339</v>
      </c>
      <c r="P547">
        <v>16</v>
      </c>
      <c r="Q547">
        <v>26</v>
      </c>
      <c r="R547">
        <v>615</v>
      </c>
      <c r="S547">
        <v>470</v>
      </c>
      <c r="T547">
        <v>970</v>
      </c>
      <c r="U547">
        <v>1440</v>
      </c>
      <c r="V547">
        <v>11</v>
      </c>
      <c r="W547">
        <v>230</v>
      </c>
      <c r="X547">
        <v>200</v>
      </c>
      <c r="Y547">
        <v>200</v>
      </c>
      <c r="Z547">
        <v>48</v>
      </c>
      <c r="AA547">
        <v>162</v>
      </c>
      <c r="AB547" t="s">
        <v>1576</v>
      </c>
    </row>
    <row r="548" spans="1:28" x14ac:dyDescent="0.3">
      <c r="A548">
        <v>201962</v>
      </c>
      <c r="B548" t="s">
        <v>1305</v>
      </c>
      <c r="C548">
        <v>0</v>
      </c>
      <c r="D548">
        <v>1610612752</v>
      </c>
      <c r="E548" t="s">
        <v>1248</v>
      </c>
      <c r="F548">
        <v>240</v>
      </c>
      <c r="G548">
        <v>56</v>
      </c>
      <c r="H548">
        <v>120</v>
      </c>
      <c r="I548">
        <v>10870</v>
      </c>
      <c r="J548">
        <v>179</v>
      </c>
      <c r="K548">
        <v>391</v>
      </c>
      <c r="L548">
        <v>458</v>
      </c>
      <c r="M548">
        <v>680</v>
      </c>
      <c r="N548">
        <v>1750</v>
      </c>
      <c r="O548">
        <v>389</v>
      </c>
      <c r="P548">
        <v>55</v>
      </c>
      <c r="Q548">
        <v>68</v>
      </c>
      <c r="R548">
        <v>809</v>
      </c>
      <c r="S548">
        <v>400</v>
      </c>
      <c r="T548">
        <v>680</v>
      </c>
      <c r="U548">
        <v>1080</v>
      </c>
      <c r="V548">
        <v>112</v>
      </c>
      <c r="W548">
        <v>420</v>
      </c>
      <c r="X548">
        <v>30</v>
      </c>
      <c r="Y548">
        <v>550</v>
      </c>
      <c r="Z548">
        <v>116</v>
      </c>
      <c r="AA548">
        <v>481</v>
      </c>
      <c r="AB548" t="s">
        <v>1577</v>
      </c>
    </row>
    <row r="549" spans="1:28" x14ac:dyDescent="0.3">
      <c r="A549">
        <v>201962</v>
      </c>
      <c r="B549" t="s">
        <v>1312</v>
      </c>
      <c r="C549">
        <v>0</v>
      </c>
      <c r="D549">
        <v>1610612752</v>
      </c>
      <c r="E549" t="s">
        <v>1248</v>
      </c>
      <c r="F549">
        <v>250</v>
      </c>
      <c r="G549">
        <v>81</v>
      </c>
      <c r="H549">
        <v>90</v>
      </c>
      <c r="I549">
        <v>19710</v>
      </c>
      <c r="J549">
        <v>314</v>
      </c>
      <c r="K549">
        <v>755</v>
      </c>
      <c r="L549">
        <v>416</v>
      </c>
      <c r="M549">
        <v>1430</v>
      </c>
      <c r="N549">
        <v>3830</v>
      </c>
      <c r="O549">
        <v>373</v>
      </c>
      <c r="P549">
        <v>85</v>
      </c>
      <c r="Q549">
        <v>107</v>
      </c>
      <c r="R549">
        <v>794</v>
      </c>
      <c r="S549">
        <v>650</v>
      </c>
      <c r="T549">
        <v>1790</v>
      </c>
      <c r="U549">
        <v>2440</v>
      </c>
      <c r="V549">
        <v>244</v>
      </c>
      <c r="W549">
        <v>890</v>
      </c>
      <c r="X549">
        <v>40</v>
      </c>
      <c r="Y549">
        <v>890</v>
      </c>
      <c r="Z549">
        <v>177</v>
      </c>
      <c r="AA549">
        <v>856</v>
      </c>
      <c r="AB549" t="s">
        <v>1577</v>
      </c>
    </row>
    <row r="550" spans="1:28" x14ac:dyDescent="0.3">
      <c r="A550">
        <v>201962</v>
      </c>
      <c r="B550" t="s">
        <v>1290</v>
      </c>
      <c r="C550">
        <v>0</v>
      </c>
      <c r="D550">
        <v>1610612752</v>
      </c>
      <c r="E550" t="s">
        <v>1248</v>
      </c>
      <c r="F550">
        <v>260</v>
      </c>
      <c r="G550">
        <v>38</v>
      </c>
      <c r="H550">
        <v>90</v>
      </c>
      <c r="I550">
        <v>6560</v>
      </c>
      <c r="J550">
        <v>94</v>
      </c>
      <c r="K550">
        <v>290</v>
      </c>
      <c r="L550">
        <v>324</v>
      </c>
      <c r="M550">
        <v>270</v>
      </c>
      <c r="N550">
        <v>1170</v>
      </c>
      <c r="O550">
        <v>231</v>
      </c>
      <c r="P550">
        <v>22</v>
      </c>
      <c r="Q550">
        <v>26</v>
      </c>
      <c r="R550">
        <v>846</v>
      </c>
      <c r="S550">
        <v>160</v>
      </c>
      <c r="T550">
        <v>560</v>
      </c>
      <c r="U550">
        <v>720</v>
      </c>
      <c r="V550">
        <v>77</v>
      </c>
      <c r="W550">
        <v>290</v>
      </c>
      <c r="X550">
        <v>10</v>
      </c>
      <c r="Y550">
        <v>560</v>
      </c>
      <c r="Z550">
        <v>55</v>
      </c>
      <c r="AA550">
        <v>237</v>
      </c>
      <c r="AB550" t="s">
        <v>1577</v>
      </c>
    </row>
    <row r="551" spans="1:28" x14ac:dyDescent="0.3">
      <c r="A551">
        <v>76289</v>
      </c>
      <c r="B551" t="s">
        <v>1258</v>
      </c>
      <c r="C551">
        <v>0</v>
      </c>
      <c r="D551">
        <v>1610612752</v>
      </c>
      <c r="E551" t="s">
        <v>1248</v>
      </c>
      <c r="F551">
        <v>260</v>
      </c>
      <c r="G551">
        <v>77</v>
      </c>
      <c r="I551">
        <v>13320</v>
      </c>
      <c r="J551">
        <v>145</v>
      </c>
      <c r="K551">
        <v>436</v>
      </c>
      <c r="L551">
        <v>333</v>
      </c>
      <c r="P551">
        <v>87</v>
      </c>
      <c r="Q551">
        <v>133</v>
      </c>
      <c r="R551">
        <v>654</v>
      </c>
      <c r="U551">
        <v>1670</v>
      </c>
      <c r="V551">
        <v>167</v>
      </c>
      <c r="Z551">
        <v>212</v>
      </c>
      <c r="AA551">
        <v>377</v>
      </c>
      <c r="AB551" t="s">
        <v>1578</v>
      </c>
    </row>
    <row r="552" spans="1:28" x14ac:dyDescent="0.3">
      <c r="A552">
        <v>76289</v>
      </c>
      <c r="B552" t="s">
        <v>1412</v>
      </c>
      <c r="C552">
        <v>0</v>
      </c>
      <c r="D552">
        <v>1610612752</v>
      </c>
      <c r="E552" t="s">
        <v>1248</v>
      </c>
      <c r="F552">
        <v>270</v>
      </c>
      <c r="G552">
        <v>71</v>
      </c>
      <c r="I552">
        <v>11930</v>
      </c>
      <c r="J552">
        <v>212</v>
      </c>
      <c r="K552">
        <v>449</v>
      </c>
      <c r="L552">
        <v>472</v>
      </c>
      <c r="P552">
        <v>74</v>
      </c>
      <c r="Q552">
        <v>101</v>
      </c>
      <c r="R552">
        <v>733</v>
      </c>
      <c r="U552">
        <v>1700</v>
      </c>
      <c r="V552">
        <v>216</v>
      </c>
      <c r="Z552">
        <v>215</v>
      </c>
      <c r="AA552">
        <v>498</v>
      </c>
      <c r="AB552" t="s">
        <v>1578</v>
      </c>
    </row>
    <row r="553" spans="1:28" x14ac:dyDescent="0.3">
      <c r="A553">
        <v>76289</v>
      </c>
      <c r="B553" t="s">
        <v>1360</v>
      </c>
      <c r="C553">
        <v>0</v>
      </c>
      <c r="D553">
        <v>1610612752</v>
      </c>
      <c r="E553" t="s">
        <v>1248</v>
      </c>
      <c r="F553">
        <v>280</v>
      </c>
      <c r="G553">
        <v>63</v>
      </c>
      <c r="I553">
        <v>15930</v>
      </c>
      <c r="J553">
        <v>236</v>
      </c>
      <c r="K553">
        <v>577</v>
      </c>
      <c r="L553">
        <v>409</v>
      </c>
      <c r="P553">
        <v>74</v>
      </c>
      <c r="Q553">
        <v>114</v>
      </c>
      <c r="R553">
        <v>649</v>
      </c>
      <c r="U553">
        <v>2730</v>
      </c>
      <c r="V553">
        <v>218</v>
      </c>
      <c r="Z553">
        <v>231</v>
      </c>
      <c r="AA553">
        <v>546</v>
      </c>
      <c r="AB553" t="s">
        <v>1578</v>
      </c>
    </row>
    <row r="554" spans="1:28" x14ac:dyDescent="0.3">
      <c r="A554">
        <v>76289</v>
      </c>
      <c r="B554" t="s">
        <v>1414</v>
      </c>
      <c r="C554">
        <v>0</v>
      </c>
      <c r="D554">
        <v>1610612752</v>
      </c>
      <c r="E554" t="s">
        <v>1248</v>
      </c>
      <c r="F554">
        <v>290</v>
      </c>
      <c r="G554">
        <v>77</v>
      </c>
      <c r="I554">
        <v>9680</v>
      </c>
      <c r="J554">
        <v>112</v>
      </c>
      <c r="K554">
        <v>291</v>
      </c>
      <c r="L554">
        <v>385</v>
      </c>
      <c r="P554">
        <v>59</v>
      </c>
      <c r="Q554">
        <v>86</v>
      </c>
      <c r="R554">
        <v>686</v>
      </c>
      <c r="U554">
        <v>1330</v>
      </c>
      <c r="V554">
        <v>134</v>
      </c>
      <c r="Z554">
        <v>173</v>
      </c>
      <c r="AA554">
        <v>283</v>
      </c>
      <c r="AB554" t="s">
        <v>1578</v>
      </c>
    </row>
    <row r="555" spans="1:28" x14ac:dyDescent="0.3">
      <c r="A555">
        <v>1631376</v>
      </c>
      <c r="B555" t="s">
        <v>1369</v>
      </c>
      <c r="C555">
        <v>0</v>
      </c>
      <c r="D555">
        <v>1610612752</v>
      </c>
      <c r="E555" t="s">
        <v>1248</v>
      </c>
      <c r="F555">
        <v>260</v>
      </c>
      <c r="G555">
        <v>2</v>
      </c>
      <c r="H555">
        <v>0</v>
      </c>
      <c r="I555">
        <v>20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1579</v>
      </c>
    </row>
    <row r="556" spans="1:28" x14ac:dyDescent="0.3">
      <c r="A556">
        <v>78142</v>
      </c>
      <c r="B556" t="s">
        <v>1362</v>
      </c>
      <c r="C556">
        <v>0</v>
      </c>
      <c r="D556">
        <v>1610612752</v>
      </c>
      <c r="E556" t="s">
        <v>1248</v>
      </c>
      <c r="F556">
        <v>230</v>
      </c>
      <c r="G556">
        <v>62</v>
      </c>
      <c r="I556">
        <v>9470</v>
      </c>
      <c r="J556">
        <v>100</v>
      </c>
      <c r="K556">
        <v>289</v>
      </c>
      <c r="L556">
        <v>346</v>
      </c>
      <c r="P556">
        <v>59</v>
      </c>
      <c r="Q556">
        <v>78</v>
      </c>
      <c r="R556">
        <v>756</v>
      </c>
      <c r="U556">
        <v>1540</v>
      </c>
      <c r="V556">
        <v>89</v>
      </c>
      <c r="Z556">
        <v>64</v>
      </c>
      <c r="AA556">
        <v>259</v>
      </c>
      <c r="AB556" t="s">
        <v>1580</v>
      </c>
    </row>
    <row r="557" spans="1:28" x14ac:dyDescent="0.3">
      <c r="A557">
        <v>78142</v>
      </c>
      <c r="B557" t="s">
        <v>1315</v>
      </c>
      <c r="C557">
        <v>0</v>
      </c>
      <c r="D557">
        <v>1610612752</v>
      </c>
      <c r="E557" t="s">
        <v>1248</v>
      </c>
      <c r="F557">
        <v>240</v>
      </c>
      <c r="G557">
        <v>72</v>
      </c>
      <c r="I557">
        <v>17500</v>
      </c>
      <c r="J557">
        <v>240</v>
      </c>
      <c r="K557">
        <v>625</v>
      </c>
      <c r="L557">
        <v>384</v>
      </c>
      <c r="P557">
        <v>181</v>
      </c>
      <c r="Q557">
        <v>237</v>
      </c>
      <c r="R557">
        <v>764</v>
      </c>
      <c r="U557">
        <v>2120</v>
      </c>
      <c r="V557">
        <v>179</v>
      </c>
      <c r="Z557">
        <v>111</v>
      </c>
      <c r="AA557">
        <v>661</v>
      </c>
      <c r="AB557" t="s">
        <v>1580</v>
      </c>
    </row>
    <row r="558" spans="1:28" x14ac:dyDescent="0.3">
      <c r="A558">
        <v>78142</v>
      </c>
      <c r="B558" t="s">
        <v>1255</v>
      </c>
      <c r="C558">
        <v>0</v>
      </c>
      <c r="D558">
        <v>1610612752</v>
      </c>
      <c r="E558" t="s">
        <v>1248</v>
      </c>
      <c r="F558">
        <v>310</v>
      </c>
      <c r="G558">
        <v>78</v>
      </c>
      <c r="I558">
        <v>22880</v>
      </c>
      <c r="J558">
        <v>354</v>
      </c>
      <c r="K558">
        <v>894</v>
      </c>
      <c r="L558">
        <v>396</v>
      </c>
      <c r="P558">
        <v>208</v>
      </c>
      <c r="Q558">
        <v>302</v>
      </c>
      <c r="R558">
        <v>689</v>
      </c>
      <c r="U558">
        <v>1910</v>
      </c>
      <c r="V558">
        <v>259</v>
      </c>
      <c r="Z558">
        <v>171</v>
      </c>
      <c r="AA558">
        <v>916</v>
      </c>
      <c r="AB558" t="s">
        <v>1580</v>
      </c>
    </row>
    <row r="559" spans="1:28" x14ac:dyDescent="0.3">
      <c r="A559">
        <v>202068</v>
      </c>
      <c r="B559" t="s">
        <v>1305</v>
      </c>
      <c r="C559">
        <v>0</v>
      </c>
      <c r="D559">
        <v>1610612752</v>
      </c>
      <c r="E559" t="s">
        <v>1248</v>
      </c>
      <c r="F559">
        <v>240</v>
      </c>
      <c r="G559">
        <v>17</v>
      </c>
      <c r="H559">
        <v>0</v>
      </c>
      <c r="I559">
        <v>1080</v>
      </c>
      <c r="J559">
        <v>16</v>
      </c>
      <c r="K559">
        <v>41</v>
      </c>
      <c r="L559">
        <v>39</v>
      </c>
      <c r="M559">
        <v>90</v>
      </c>
      <c r="N559">
        <v>260</v>
      </c>
      <c r="O559">
        <v>346</v>
      </c>
      <c r="P559">
        <v>3</v>
      </c>
      <c r="Q559">
        <v>5</v>
      </c>
      <c r="R559">
        <v>6</v>
      </c>
      <c r="S559">
        <v>50</v>
      </c>
      <c r="T559">
        <v>140</v>
      </c>
      <c r="U559">
        <v>190</v>
      </c>
      <c r="V559">
        <v>0</v>
      </c>
      <c r="W559">
        <v>10</v>
      </c>
      <c r="X559">
        <v>20</v>
      </c>
      <c r="Y559">
        <v>60</v>
      </c>
      <c r="Z559">
        <v>14</v>
      </c>
      <c r="AA559">
        <v>44</v>
      </c>
      <c r="AB559" t="s">
        <v>1581</v>
      </c>
    </row>
    <row r="560" spans="1:28" x14ac:dyDescent="0.3">
      <c r="A560">
        <v>1629607</v>
      </c>
      <c r="B560" t="s">
        <v>1289</v>
      </c>
      <c r="C560">
        <v>0</v>
      </c>
      <c r="D560">
        <v>1610612752</v>
      </c>
      <c r="E560" t="s">
        <v>1248</v>
      </c>
      <c r="F560">
        <v>230</v>
      </c>
      <c r="G560">
        <v>8</v>
      </c>
      <c r="H560">
        <v>0</v>
      </c>
      <c r="I560">
        <v>160</v>
      </c>
      <c r="J560">
        <v>0</v>
      </c>
      <c r="K560">
        <v>4</v>
      </c>
      <c r="L560">
        <v>0</v>
      </c>
      <c r="M560">
        <v>0</v>
      </c>
      <c r="N560">
        <v>10</v>
      </c>
      <c r="O560">
        <v>0</v>
      </c>
      <c r="P560">
        <v>3</v>
      </c>
      <c r="Q560">
        <v>4</v>
      </c>
      <c r="R560">
        <v>75</v>
      </c>
      <c r="S560">
        <v>0</v>
      </c>
      <c r="T560">
        <v>20</v>
      </c>
      <c r="U560">
        <v>20</v>
      </c>
      <c r="V560">
        <v>1</v>
      </c>
      <c r="W560">
        <v>0</v>
      </c>
      <c r="X560">
        <v>0</v>
      </c>
      <c r="Y560">
        <v>30</v>
      </c>
      <c r="Z560">
        <v>1</v>
      </c>
      <c r="AA560">
        <v>3</v>
      </c>
      <c r="AB560" t="s">
        <v>1582</v>
      </c>
    </row>
    <row r="561" spans="1:28" x14ac:dyDescent="0.3">
      <c r="A561">
        <v>1628422</v>
      </c>
      <c r="B561" t="s">
        <v>1259</v>
      </c>
      <c r="C561">
        <v>0</v>
      </c>
      <c r="D561">
        <v>1610612752</v>
      </c>
      <c r="E561" t="s">
        <v>1248</v>
      </c>
      <c r="F561">
        <v>240</v>
      </c>
      <c r="G561">
        <v>44</v>
      </c>
      <c r="H561">
        <v>20</v>
      </c>
      <c r="I561">
        <v>4740</v>
      </c>
      <c r="J561">
        <v>72</v>
      </c>
      <c r="K561">
        <v>161</v>
      </c>
      <c r="L561">
        <v>447</v>
      </c>
      <c r="M561">
        <v>220</v>
      </c>
      <c r="N561">
        <v>680</v>
      </c>
      <c r="O561">
        <v>324</v>
      </c>
      <c r="P561">
        <v>16</v>
      </c>
      <c r="Q561">
        <v>23</v>
      </c>
      <c r="R561">
        <v>696</v>
      </c>
      <c r="S561">
        <v>90</v>
      </c>
      <c r="T561">
        <v>750</v>
      </c>
      <c r="U561">
        <v>840</v>
      </c>
      <c r="V561">
        <v>31</v>
      </c>
      <c r="W561">
        <v>120</v>
      </c>
      <c r="X561">
        <v>20</v>
      </c>
      <c r="Y561">
        <v>170</v>
      </c>
      <c r="Z561">
        <v>34</v>
      </c>
      <c r="AA561">
        <v>182</v>
      </c>
      <c r="AB561" t="s">
        <v>1583</v>
      </c>
    </row>
    <row r="562" spans="1:28" x14ac:dyDescent="0.3">
      <c r="A562">
        <v>1628422</v>
      </c>
      <c r="B562" t="s">
        <v>1287</v>
      </c>
      <c r="C562">
        <v>0</v>
      </c>
      <c r="D562">
        <v>1610612752</v>
      </c>
      <c r="E562" t="s">
        <v>1248</v>
      </c>
      <c r="F562">
        <v>250</v>
      </c>
      <c r="G562">
        <v>73</v>
      </c>
      <c r="H562">
        <v>400</v>
      </c>
      <c r="I562">
        <v>20040</v>
      </c>
      <c r="J562">
        <v>290</v>
      </c>
      <c r="K562">
        <v>698</v>
      </c>
      <c r="L562">
        <v>415</v>
      </c>
      <c r="M562">
        <v>1260</v>
      </c>
      <c r="N562">
        <v>3420</v>
      </c>
      <c r="O562">
        <v>368</v>
      </c>
      <c r="P562">
        <v>73</v>
      </c>
      <c r="Q562">
        <v>98</v>
      </c>
      <c r="R562">
        <v>745</v>
      </c>
      <c r="S562">
        <v>340</v>
      </c>
      <c r="T562">
        <v>2280</v>
      </c>
      <c r="U562">
        <v>2620</v>
      </c>
      <c r="V562">
        <v>135</v>
      </c>
      <c r="W562">
        <v>580</v>
      </c>
      <c r="X562">
        <v>100</v>
      </c>
      <c r="Y562">
        <v>710</v>
      </c>
      <c r="Z562">
        <v>135</v>
      </c>
      <c r="AA562">
        <v>779</v>
      </c>
      <c r="AB562" t="s">
        <v>1583</v>
      </c>
    </row>
    <row r="563" spans="1:28" x14ac:dyDescent="0.3">
      <c r="A563">
        <v>1628422</v>
      </c>
      <c r="B563" t="s">
        <v>1288</v>
      </c>
      <c r="C563">
        <v>0</v>
      </c>
      <c r="D563">
        <v>1610612752</v>
      </c>
      <c r="E563" t="s">
        <v>1248</v>
      </c>
      <c r="F563">
        <v>260</v>
      </c>
      <c r="G563">
        <v>48</v>
      </c>
      <c r="H563">
        <v>0</v>
      </c>
      <c r="I563">
        <v>8360</v>
      </c>
      <c r="J563">
        <v>120</v>
      </c>
      <c r="K563">
        <v>290</v>
      </c>
      <c r="L563">
        <v>414</v>
      </c>
      <c r="M563">
        <v>590</v>
      </c>
      <c r="N563">
        <v>1630</v>
      </c>
      <c r="O563">
        <v>362</v>
      </c>
      <c r="P563">
        <v>22</v>
      </c>
      <c r="Q563">
        <v>33</v>
      </c>
      <c r="R563">
        <v>667</v>
      </c>
      <c r="S563">
        <v>100</v>
      </c>
      <c r="T563">
        <v>810</v>
      </c>
      <c r="U563">
        <v>910</v>
      </c>
      <c r="V563">
        <v>57</v>
      </c>
      <c r="W563">
        <v>230</v>
      </c>
      <c r="X563">
        <v>40</v>
      </c>
      <c r="Y563">
        <v>210</v>
      </c>
      <c r="Z563">
        <v>44</v>
      </c>
      <c r="AA563">
        <v>321</v>
      </c>
      <c r="AB563" t="s">
        <v>1583</v>
      </c>
    </row>
    <row r="564" spans="1:28" x14ac:dyDescent="0.3">
      <c r="A564">
        <v>1628422</v>
      </c>
      <c r="B564" t="s">
        <v>1308</v>
      </c>
      <c r="C564">
        <v>0</v>
      </c>
      <c r="D564">
        <v>1610612752</v>
      </c>
      <c r="E564" t="s">
        <v>1248</v>
      </c>
      <c r="F564">
        <v>280</v>
      </c>
      <c r="G564">
        <v>2</v>
      </c>
      <c r="H564">
        <v>0</v>
      </c>
      <c r="I564">
        <v>210</v>
      </c>
      <c r="J564">
        <v>2</v>
      </c>
      <c r="K564">
        <v>4</v>
      </c>
      <c r="L564">
        <v>5</v>
      </c>
      <c r="M564">
        <v>0</v>
      </c>
      <c r="N564">
        <v>10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20</v>
      </c>
      <c r="U564">
        <v>20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4</v>
      </c>
      <c r="AB564" t="s">
        <v>1583</v>
      </c>
    </row>
    <row r="565" spans="1:28" x14ac:dyDescent="0.3">
      <c r="A565">
        <v>1594</v>
      </c>
      <c r="B565" t="s">
        <v>1429</v>
      </c>
      <c r="C565">
        <v>0</v>
      </c>
      <c r="D565">
        <v>1610612752</v>
      </c>
      <c r="E565" t="s">
        <v>1248</v>
      </c>
      <c r="F565">
        <v>270</v>
      </c>
      <c r="G565">
        <v>17</v>
      </c>
      <c r="H565">
        <v>0</v>
      </c>
      <c r="I565">
        <v>950</v>
      </c>
      <c r="J565">
        <v>6</v>
      </c>
      <c r="K565">
        <v>21</v>
      </c>
      <c r="L565">
        <v>286</v>
      </c>
      <c r="M565">
        <v>0</v>
      </c>
      <c r="N565">
        <v>50</v>
      </c>
      <c r="O565">
        <v>0</v>
      </c>
      <c r="P565">
        <v>5</v>
      </c>
      <c r="Q565">
        <v>18</v>
      </c>
      <c r="R565">
        <v>278</v>
      </c>
      <c r="S565">
        <v>30</v>
      </c>
      <c r="T565">
        <v>70</v>
      </c>
      <c r="U565">
        <v>100</v>
      </c>
      <c r="V565">
        <v>19</v>
      </c>
      <c r="W565">
        <v>90</v>
      </c>
      <c r="X565">
        <v>0</v>
      </c>
      <c r="Y565">
        <v>120</v>
      </c>
      <c r="Z565">
        <v>8</v>
      </c>
      <c r="AA565">
        <v>17</v>
      </c>
      <c r="AB565" t="s">
        <v>1584</v>
      </c>
    </row>
    <row r="566" spans="1:28" x14ac:dyDescent="0.3">
      <c r="A566">
        <v>1594</v>
      </c>
      <c r="B566" t="s">
        <v>1464</v>
      </c>
      <c r="C566">
        <v>0</v>
      </c>
      <c r="D566">
        <v>1610612752</v>
      </c>
      <c r="E566" t="s">
        <v>1248</v>
      </c>
      <c r="F566">
        <v>280</v>
      </c>
      <c r="G566">
        <v>37</v>
      </c>
      <c r="H566">
        <v>0</v>
      </c>
      <c r="I566">
        <v>2890</v>
      </c>
      <c r="J566">
        <v>29</v>
      </c>
      <c r="K566">
        <v>70</v>
      </c>
      <c r="L566">
        <v>414</v>
      </c>
      <c r="M566">
        <v>20</v>
      </c>
      <c r="N566">
        <v>130</v>
      </c>
      <c r="O566">
        <v>154</v>
      </c>
      <c r="P566">
        <v>11</v>
      </c>
      <c r="Q566">
        <v>18</v>
      </c>
      <c r="R566">
        <v>611</v>
      </c>
      <c r="S566">
        <v>30</v>
      </c>
      <c r="T566">
        <v>240</v>
      </c>
      <c r="U566">
        <v>270</v>
      </c>
      <c r="V566">
        <v>49</v>
      </c>
      <c r="W566">
        <v>90</v>
      </c>
      <c r="X566">
        <v>10</v>
      </c>
      <c r="Y566">
        <v>310</v>
      </c>
      <c r="Z566">
        <v>35</v>
      </c>
      <c r="AA566">
        <v>71</v>
      </c>
      <c r="AB566" t="s">
        <v>1584</v>
      </c>
    </row>
    <row r="567" spans="1:28" x14ac:dyDescent="0.3">
      <c r="A567">
        <v>1594</v>
      </c>
      <c r="B567" t="s">
        <v>1465</v>
      </c>
      <c r="C567">
        <v>0</v>
      </c>
      <c r="D567">
        <v>1610612752</v>
      </c>
      <c r="E567" t="s">
        <v>1248</v>
      </c>
      <c r="F567">
        <v>290</v>
      </c>
      <c r="G567">
        <v>15</v>
      </c>
      <c r="H567">
        <v>0</v>
      </c>
      <c r="I567">
        <v>660</v>
      </c>
      <c r="J567">
        <v>8</v>
      </c>
      <c r="K567">
        <v>19</v>
      </c>
      <c r="L567">
        <v>421</v>
      </c>
      <c r="M567">
        <v>0</v>
      </c>
      <c r="N567">
        <v>30</v>
      </c>
      <c r="O567">
        <v>0</v>
      </c>
      <c r="P567">
        <v>4</v>
      </c>
      <c r="Q567">
        <v>6</v>
      </c>
      <c r="R567">
        <v>667</v>
      </c>
      <c r="S567">
        <v>30</v>
      </c>
      <c r="T567">
        <v>90</v>
      </c>
      <c r="U567">
        <v>120</v>
      </c>
      <c r="V567">
        <v>7</v>
      </c>
      <c r="W567">
        <v>10</v>
      </c>
      <c r="X567">
        <v>0</v>
      </c>
      <c r="Y567">
        <v>80</v>
      </c>
      <c r="Z567">
        <v>5</v>
      </c>
      <c r="AA567">
        <v>20</v>
      </c>
      <c r="AB567" t="s">
        <v>1584</v>
      </c>
    </row>
    <row r="568" spans="1:28" x14ac:dyDescent="0.3">
      <c r="A568">
        <v>1628443</v>
      </c>
      <c r="B568" t="s">
        <v>1287</v>
      </c>
      <c r="C568">
        <v>0</v>
      </c>
      <c r="D568">
        <v>1610612752</v>
      </c>
      <c r="E568" t="s">
        <v>1248</v>
      </c>
      <c r="F568">
        <v>260</v>
      </c>
      <c r="G568">
        <v>19</v>
      </c>
      <c r="H568">
        <v>10</v>
      </c>
      <c r="I568">
        <v>4160</v>
      </c>
      <c r="J568">
        <v>65</v>
      </c>
      <c r="K568">
        <v>141</v>
      </c>
      <c r="L568">
        <v>461</v>
      </c>
      <c r="M568">
        <v>170</v>
      </c>
      <c r="N568">
        <v>360</v>
      </c>
      <c r="O568">
        <v>472</v>
      </c>
      <c r="P568">
        <v>42</v>
      </c>
      <c r="Q568">
        <v>54</v>
      </c>
      <c r="R568">
        <v>778</v>
      </c>
      <c r="S568">
        <v>80</v>
      </c>
      <c r="T568">
        <v>430</v>
      </c>
      <c r="U568">
        <v>510</v>
      </c>
      <c r="V568">
        <v>76</v>
      </c>
      <c r="W568">
        <v>160</v>
      </c>
      <c r="X568">
        <v>40</v>
      </c>
      <c r="Y568">
        <v>260</v>
      </c>
      <c r="Z568">
        <v>46</v>
      </c>
      <c r="AA568">
        <v>189</v>
      </c>
      <c r="AB568" t="s">
        <v>1585</v>
      </c>
    </row>
    <row r="569" spans="1:28" x14ac:dyDescent="0.3">
      <c r="A569">
        <v>1628443</v>
      </c>
      <c r="B569" t="s">
        <v>1288</v>
      </c>
      <c r="C569">
        <v>0</v>
      </c>
      <c r="D569">
        <v>1610612752</v>
      </c>
      <c r="E569" t="s">
        <v>1248</v>
      </c>
      <c r="F569">
        <v>270</v>
      </c>
      <c r="G569">
        <v>10</v>
      </c>
      <c r="H569">
        <v>0</v>
      </c>
      <c r="I569">
        <v>1170</v>
      </c>
      <c r="J569">
        <v>19</v>
      </c>
      <c r="K569">
        <v>44</v>
      </c>
      <c r="L569">
        <v>432</v>
      </c>
      <c r="M569">
        <v>50</v>
      </c>
      <c r="N569">
        <v>160</v>
      </c>
      <c r="O569">
        <v>313</v>
      </c>
      <c r="P569">
        <v>7</v>
      </c>
      <c r="Q569">
        <v>11</v>
      </c>
      <c r="R569">
        <v>636</v>
      </c>
      <c r="S569">
        <v>20</v>
      </c>
      <c r="T569">
        <v>70</v>
      </c>
      <c r="U569">
        <v>90</v>
      </c>
      <c r="V569">
        <v>21</v>
      </c>
      <c r="W569">
        <v>50</v>
      </c>
      <c r="X569">
        <v>20</v>
      </c>
      <c r="Y569">
        <v>80</v>
      </c>
      <c r="Z569">
        <v>7</v>
      </c>
      <c r="AA569">
        <v>50</v>
      </c>
      <c r="AB569" t="s">
        <v>1585</v>
      </c>
    </row>
    <row r="570" spans="1:28" x14ac:dyDescent="0.3">
      <c r="A570">
        <v>1626184</v>
      </c>
      <c r="B570" t="s">
        <v>1281</v>
      </c>
      <c r="C570">
        <v>0</v>
      </c>
      <c r="D570">
        <v>1610612752</v>
      </c>
      <c r="E570" t="s">
        <v>1248</v>
      </c>
      <c r="F570">
        <v>240</v>
      </c>
      <c r="G570">
        <v>18</v>
      </c>
      <c r="H570">
        <v>0</v>
      </c>
      <c r="I570">
        <v>2250</v>
      </c>
      <c r="J570">
        <v>28</v>
      </c>
      <c r="K570">
        <v>72</v>
      </c>
      <c r="L570">
        <v>389</v>
      </c>
      <c r="M570">
        <v>100</v>
      </c>
      <c r="N570">
        <v>320</v>
      </c>
      <c r="O570">
        <v>313</v>
      </c>
      <c r="P570">
        <v>29</v>
      </c>
      <c r="Q570">
        <v>31</v>
      </c>
      <c r="R570">
        <v>935</v>
      </c>
      <c r="S570">
        <v>60</v>
      </c>
      <c r="T570">
        <v>210</v>
      </c>
      <c r="U570">
        <v>270</v>
      </c>
      <c r="V570">
        <v>28</v>
      </c>
      <c r="W570">
        <v>60</v>
      </c>
      <c r="X570">
        <v>10</v>
      </c>
      <c r="Y570">
        <v>160</v>
      </c>
      <c r="Z570">
        <v>28</v>
      </c>
      <c r="AA570">
        <v>95</v>
      </c>
      <c r="AB570" t="s">
        <v>1586</v>
      </c>
    </row>
    <row r="571" spans="1:28" x14ac:dyDescent="0.3">
      <c r="A571">
        <v>78138</v>
      </c>
      <c r="B571" t="s">
        <v>1261</v>
      </c>
      <c r="C571">
        <v>0</v>
      </c>
      <c r="D571">
        <v>1610612752</v>
      </c>
      <c r="E571" t="s">
        <v>1248</v>
      </c>
      <c r="F571">
        <v>220</v>
      </c>
      <c r="G571">
        <v>27</v>
      </c>
      <c r="I571">
        <v>1850</v>
      </c>
      <c r="J571">
        <v>26</v>
      </c>
      <c r="K571">
        <v>80</v>
      </c>
      <c r="L571">
        <v>325</v>
      </c>
      <c r="P571">
        <v>19</v>
      </c>
      <c r="Q571">
        <v>30</v>
      </c>
      <c r="R571">
        <v>633</v>
      </c>
      <c r="S571">
        <v>170</v>
      </c>
      <c r="T571">
        <v>240</v>
      </c>
      <c r="U571">
        <v>410</v>
      </c>
      <c r="V571">
        <v>8</v>
      </c>
      <c r="W571">
        <v>80</v>
      </c>
      <c r="X571">
        <v>30</v>
      </c>
      <c r="Z571">
        <v>31</v>
      </c>
      <c r="AA571">
        <v>71</v>
      </c>
      <c r="AB571" t="s">
        <v>1587</v>
      </c>
    </row>
    <row r="572" spans="1:28" x14ac:dyDescent="0.3">
      <c r="A572">
        <v>1627851</v>
      </c>
      <c r="B572" t="s">
        <v>1281</v>
      </c>
      <c r="C572">
        <v>0</v>
      </c>
      <c r="D572">
        <v>1610612752</v>
      </c>
      <c r="E572" t="s">
        <v>1248</v>
      </c>
      <c r="F572">
        <v>270</v>
      </c>
      <c r="G572">
        <v>68</v>
      </c>
      <c r="H572">
        <v>50</v>
      </c>
      <c r="I572">
        <v>10160</v>
      </c>
      <c r="J572">
        <v>158</v>
      </c>
      <c r="K572">
        <v>369</v>
      </c>
      <c r="L572">
        <v>428</v>
      </c>
      <c r="M572">
        <v>540</v>
      </c>
      <c r="N572">
        <v>1680</v>
      </c>
      <c r="O572">
        <v>321</v>
      </c>
      <c r="P572">
        <v>55</v>
      </c>
      <c r="Q572">
        <v>68</v>
      </c>
      <c r="R572">
        <v>809</v>
      </c>
      <c r="S572">
        <v>470</v>
      </c>
      <c r="T572">
        <v>790</v>
      </c>
      <c r="U572">
        <v>1260</v>
      </c>
      <c r="V572">
        <v>69</v>
      </c>
      <c r="W572">
        <v>290</v>
      </c>
      <c r="X572">
        <v>110</v>
      </c>
      <c r="Y572">
        <v>510</v>
      </c>
      <c r="Z572">
        <v>79</v>
      </c>
      <c r="AA572">
        <v>425</v>
      </c>
      <c r="AB572" t="s">
        <v>1588</v>
      </c>
    </row>
    <row r="573" spans="1:28" x14ac:dyDescent="0.3">
      <c r="A573">
        <v>1627851</v>
      </c>
      <c r="B573" t="s">
        <v>1259</v>
      </c>
      <c r="C573">
        <v>0</v>
      </c>
      <c r="D573">
        <v>1610612752</v>
      </c>
      <c r="E573" t="s">
        <v>1248</v>
      </c>
      <c r="F573">
        <v>280</v>
      </c>
      <c r="G573">
        <v>1</v>
      </c>
      <c r="H573">
        <v>0</v>
      </c>
      <c r="I573">
        <v>20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1588</v>
      </c>
    </row>
    <row r="574" spans="1:28" x14ac:dyDescent="0.3">
      <c r="A574">
        <v>157</v>
      </c>
      <c r="B574" t="s">
        <v>1274</v>
      </c>
      <c r="C574">
        <v>0</v>
      </c>
      <c r="D574">
        <v>1610612752</v>
      </c>
      <c r="E574" t="s">
        <v>1248</v>
      </c>
      <c r="F574">
        <v>320</v>
      </c>
      <c r="G574">
        <v>54</v>
      </c>
      <c r="H574">
        <v>270</v>
      </c>
      <c r="I574">
        <v>13110</v>
      </c>
      <c r="J574">
        <v>173</v>
      </c>
      <c r="K574">
        <v>402</v>
      </c>
      <c r="L574">
        <v>43</v>
      </c>
      <c r="M574">
        <v>360</v>
      </c>
      <c r="N574">
        <v>980</v>
      </c>
      <c r="O574">
        <v>367</v>
      </c>
      <c r="P574">
        <v>84</v>
      </c>
      <c r="Q574">
        <v>113</v>
      </c>
      <c r="R574">
        <v>743</v>
      </c>
      <c r="S574">
        <v>100</v>
      </c>
      <c r="T574">
        <v>760</v>
      </c>
      <c r="U574">
        <v>860</v>
      </c>
      <c r="V574">
        <v>236</v>
      </c>
      <c r="W574">
        <v>800</v>
      </c>
      <c r="X574">
        <v>40</v>
      </c>
      <c r="Y574">
        <v>810</v>
      </c>
      <c r="Z574">
        <v>117</v>
      </c>
      <c r="AA574">
        <v>466</v>
      </c>
      <c r="AB574" t="s">
        <v>1589</v>
      </c>
    </row>
    <row r="575" spans="1:28" x14ac:dyDescent="0.3">
      <c r="A575">
        <v>157</v>
      </c>
      <c r="B575" t="s">
        <v>1275</v>
      </c>
      <c r="C575">
        <v>0</v>
      </c>
      <c r="D575">
        <v>1610612752</v>
      </c>
      <c r="E575" t="s">
        <v>1248</v>
      </c>
      <c r="F575">
        <v>330</v>
      </c>
      <c r="G575">
        <v>80</v>
      </c>
      <c r="H575">
        <v>800</v>
      </c>
      <c r="I575">
        <v>27160</v>
      </c>
      <c r="J575">
        <v>337</v>
      </c>
      <c r="K575">
        <v>756</v>
      </c>
      <c r="L575">
        <v>446</v>
      </c>
      <c r="M575">
        <v>1060</v>
      </c>
      <c r="N575">
        <v>2920</v>
      </c>
      <c r="O575">
        <v>363</v>
      </c>
      <c r="P575">
        <v>139</v>
      </c>
      <c r="Q575">
        <v>192</v>
      </c>
      <c r="R575">
        <v>724</v>
      </c>
      <c r="S575">
        <v>310</v>
      </c>
      <c r="T575">
        <v>1630</v>
      </c>
      <c r="U575">
        <v>1940</v>
      </c>
      <c r="V575">
        <v>458</v>
      </c>
      <c r="W575">
        <v>790</v>
      </c>
      <c r="X575">
        <v>100</v>
      </c>
      <c r="Y575">
        <v>1510</v>
      </c>
      <c r="Z575">
        <v>219</v>
      </c>
      <c r="AA575">
        <v>919</v>
      </c>
      <c r="AB575" t="s">
        <v>1589</v>
      </c>
    </row>
    <row r="576" spans="1:28" x14ac:dyDescent="0.3">
      <c r="A576">
        <v>157</v>
      </c>
      <c r="B576" t="s">
        <v>1276</v>
      </c>
      <c r="C576">
        <v>0</v>
      </c>
      <c r="D576">
        <v>1610612752</v>
      </c>
      <c r="E576" t="s">
        <v>1248</v>
      </c>
      <c r="F576">
        <v>340</v>
      </c>
      <c r="G576">
        <v>82</v>
      </c>
      <c r="H576">
        <v>820</v>
      </c>
      <c r="I576">
        <v>28930</v>
      </c>
      <c r="J576">
        <v>436</v>
      </c>
      <c r="K576">
        <v>939</v>
      </c>
      <c r="L576">
        <v>464</v>
      </c>
      <c r="M576">
        <v>1210</v>
      </c>
      <c r="N576">
        <v>3250</v>
      </c>
      <c r="O576">
        <v>372</v>
      </c>
      <c r="P576">
        <v>156</v>
      </c>
      <c r="Q576">
        <v>206</v>
      </c>
      <c r="R576">
        <v>757</v>
      </c>
      <c r="S576">
        <v>320</v>
      </c>
      <c r="T576">
        <v>1700</v>
      </c>
      <c r="U576">
        <v>2020</v>
      </c>
      <c r="V576">
        <v>352</v>
      </c>
      <c r="W576">
        <v>1310</v>
      </c>
      <c r="X576">
        <v>50</v>
      </c>
      <c r="Y576">
        <v>1780</v>
      </c>
      <c r="Z576">
        <v>201</v>
      </c>
      <c r="AA576">
        <v>1149</v>
      </c>
      <c r="AB576" t="s">
        <v>1589</v>
      </c>
    </row>
    <row r="577" spans="1:28" x14ac:dyDescent="0.3">
      <c r="A577">
        <v>76585</v>
      </c>
      <c r="B577" t="s">
        <v>1266</v>
      </c>
      <c r="C577">
        <v>0</v>
      </c>
      <c r="D577">
        <v>1610612752</v>
      </c>
      <c r="E577" t="s">
        <v>1248</v>
      </c>
      <c r="F577">
        <v>230</v>
      </c>
      <c r="G577">
        <v>45</v>
      </c>
      <c r="J577">
        <v>90</v>
      </c>
      <c r="K577">
        <v>275</v>
      </c>
      <c r="L577">
        <v>327</v>
      </c>
      <c r="P577">
        <v>73</v>
      </c>
      <c r="Q577">
        <v>106</v>
      </c>
      <c r="R577">
        <v>689</v>
      </c>
      <c r="V577">
        <v>38</v>
      </c>
      <c r="Z577">
        <v>107</v>
      </c>
      <c r="AA577">
        <v>253</v>
      </c>
      <c r="AB577" t="s">
        <v>1590</v>
      </c>
    </row>
    <row r="578" spans="1:28" x14ac:dyDescent="0.3">
      <c r="A578">
        <v>1628973</v>
      </c>
      <c r="B578" t="s">
        <v>1327</v>
      </c>
      <c r="C578">
        <v>0</v>
      </c>
      <c r="D578">
        <v>1610612752</v>
      </c>
      <c r="E578" t="s">
        <v>1248</v>
      </c>
      <c r="F578">
        <v>260</v>
      </c>
      <c r="G578">
        <v>68</v>
      </c>
      <c r="H578">
        <v>680</v>
      </c>
      <c r="I578">
        <v>23790</v>
      </c>
      <c r="J578">
        <v>587</v>
      </c>
      <c r="K578">
        <v>1195</v>
      </c>
      <c r="L578">
        <v>491</v>
      </c>
      <c r="M578">
        <v>1340</v>
      </c>
      <c r="N578">
        <v>3220</v>
      </c>
      <c r="O578">
        <v>416</v>
      </c>
      <c r="P578">
        <v>325</v>
      </c>
      <c r="Q578">
        <v>392</v>
      </c>
      <c r="R578">
        <v>829</v>
      </c>
      <c r="S578">
        <v>400</v>
      </c>
      <c r="T578">
        <v>2010</v>
      </c>
      <c r="U578">
        <v>2410</v>
      </c>
      <c r="V578">
        <v>421</v>
      </c>
      <c r="W578">
        <v>610</v>
      </c>
      <c r="X578">
        <v>150</v>
      </c>
      <c r="Y578">
        <v>1420</v>
      </c>
      <c r="Z578">
        <v>152</v>
      </c>
      <c r="AA578">
        <v>1633</v>
      </c>
      <c r="AB578" t="s">
        <v>1591</v>
      </c>
    </row>
    <row r="579" spans="1:28" x14ac:dyDescent="0.3">
      <c r="A579">
        <v>1628973</v>
      </c>
      <c r="B579" t="s">
        <v>1369</v>
      </c>
      <c r="C579">
        <v>0</v>
      </c>
      <c r="D579">
        <v>1610612752</v>
      </c>
      <c r="E579" t="s">
        <v>1248</v>
      </c>
      <c r="F579">
        <v>270</v>
      </c>
      <c r="G579">
        <v>77</v>
      </c>
      <c r="H579">
        <v>770</v>
      </c>
      <c r="I579">
        <v>27260</v>
      </c>
      <c r="J579">
        <v>790</v>
      </c>
      <c r="K579">
        <v>1648</v>
      </c>
      <c r="L579">
        <v>479</v>
      </c>
      <c r="M579">
        <v>2110</v>
      </c>
      <c r="N579">
        <v>5260</v>
      </c>
      <c r="O579">
        <v>401</v>
      </c>
      <c r="P579">
        <v>421</v>
      </c>
      <c r="Q579">
        <v>497</v>
      </c>
      <c r="R579">
        <v>847</v>
      </c>
      <c r="S579">
        <v>430</v>
      </c>
      <c r="T579">
        <v>2350</v>
      </c>
      <c r="U579">
        <v>2780</v>
      </c>
      <c r="V579">
        <v>519</v>
      </c>
      <c r="W579">
        <v>700</v>
      </c>
      <c r="X579">
        <v>130</v>
      </c>
      <c r="Y579">
        <v>1860</v>
      </c>
      <c r="Z579">
        <v>144</v>
      </c>
      <c r="AA579">
        <v>2212</v>
      </c>
      <c r="AB579" t="s">
        <v>1591</v>
      </c>
    </row>
    <row r="580" spans="1:28" x14ac:dyDescent="0.3">
      <c r="A580">
        <v>2068</v>
      </c>
      <c r="B580" t="s">
        <v>1465</v>
      </c>
      <c r="C580">
        <v>0</v>
      </c>
      <c r="D580">
        <v>1610612752</v>
      </c>
      <c r="E580" t="s">
        <v>1248</v>
      </c>
      <c r="F580">
        <v>230</v>
      </c>
      <c r="G580">
        <v>26</v>
      </c>
      <c r="H580">
        <v>0</v>
      </c>
      <c r="I580">
        <v>1680</v>
      </c>
      <c r="J580">
        <v>17</v>
      </c>
      <c r="K580">
        <v>54</v>
      </c>
      <c r="L580">
        <v>315</v>
      </c>
      <c r="M580">
        <v>30</v>
      </c>
      <c r="N580">
        <v>110</v>
      </c>
      <c r="O580">
        <v>273</v>
      </c>
      <c r="P580">
        <v>22</v>
      </c>
      <c r="Q580">
        <v>27</v>
      </c>
      <c r="R580">
        <v>815</v>
      </c>
      <c r="S580">
        <v>80</v>
      </c>
      <c r="T580">
        <v>170</v>
      </c>
      <c r="U580">
        <v>250</v>
      </c>
      <c r="V580">
        <v>5</v>
      </c>
      <c r="W580">
        <v>40</v>
      </c>
      <c r="X580">
        <v>20</v>
      </c>
      <c r="Y580">
        <v>170</v>
      </c>
      <c r="Z580">
        <v>12</v>
      </c>
      <c r="AA580">
        <v>59</v>
      </c>
      <c r="AB580" t="s">
        <v>1592</v>
      </c>
    </row>
    <row r="581" spans="1:28" x14ac:dyDescent="0.3">
      <c r="A581">
        <v>2068</v>
      </c>
      <c r="B581" t="s">
        <v>1330</v>
      </c>
      <c r="C581">
        <v>0</v>
      </c>
      <c r="D581">
        <v>1610612752</v>
      </c>
      <c r="E581" t="s">
        <v>1248</v>
      </c>
      <c r="F581">
        <v>240</v>
      </c>
      <c r="G581">
        <v>23</v>
      </c>
      <c r="H581">
        <v>0</v>
      </c>
      <c r="I581">
        <v>1780</v>
      </c>
      <c r="J581">
        <v>28</v>
      </c>
      <c r="K581">
        <v>84</v>
      </c>
      <c r="L581">
        <v>333</v>
      </c>
      <c r="M581">
        <v>60</v>
      </c>
      <c r="N581">
        <v>260</v>
      </c>
      <c r="O581">
        <v>231</v>
      </c>
      <c r="P581">
        <v>31</v>
      </c>
      <c r="Q581">
        <v>41</v>
      </c>
      <c r="R581">
        <v>756</v>
      </c>
      <c r="S581">
        <v>20</v>
      </c>
      <c r="T581">
        <v>140</v>
      </c>
      <c r="U581">
        <v>160</v>
      </c>
      <c r="V581">
        <v>5</v>
      </c>
      <c r="W581">
        <v>60</v>
      </c>
      <c r="X581">
        <v>0</v>
      </c>
      <c r="Y581">
        <v>110</v>
      </c>
      <c r="Z581">
        <v>7</v>
      </c>
      <c r="AA581">
        <v>93</v>
      </c>
      <c r="AB581" t="s">
        <v>1592</v>
      </c>
    </row>
    <row r="582" spans="1:28" x14ac:dyDescent="0.3">
      <c r="A582">
        <v>2068</v>
      </c>
      <c r="B582" t="s">
        <v>1325</v>
      </c>
      <c r="C582">
        <v>0</v>
      </c>
      <c r="D582">
        <v>1610612752</v>
      </c>
      <c r="E582" t="s">
        <v>1248</v>
      </c>
      <c r="F582">
        <v>250</v>
      </c>
      <c r="G582">
        <v>12</v>
      </c>
      <c r="H582">
        <v>0</v>
      </c>
      <c r="I582">
        <v>990</v>
      </c>
      <c r="J582">
        <v>14</v>
      </c>
      <c r="K582">
        <v>38</v>
      </c>
      <c r="L582">
        <v>368</v>
      </c>
      <c r="M582">
        <v>20</v>
      </c>
      <c r="N582">
        <v>70</v>
      </c>
      <c r="O582">
        <v>286</v>
      </c>
      <c r="P582">
        <v>13</v>
      </c>
      <c r="Q582">
        <v>15</v>
      </c>
      <c r="R582">
        <v>867</v>
      </c>
      <c r="S582">
        <v>10</v>
      </c>
      <c r="T582">
        <v>30</v>
      </c>
      <c r="U582">
        <v>40</v>
      </c>
      <c r="V582">
        <v>3</v>
      </c>
      <c r="W582">
        <v>20</v>
      </c>
      <c r="X582">
        <v>0</v>
      </c>
      <c r="Y582">
        <v>70</v>
      </c>
      <c r="Z582">
        <v>9</v>
      </c>
      <c r="AA582">
        <v>43</v>
      </c>
      <c r="AB582" t="s">
        <v>1592</v>
      </c>
    </row>
    <row r="583" spans="1:28" x14ac:dyDescent="0.3">
      <c r="A583">
        <v>77875</v>
      </c>
      <c r="B583" t="s">
        <v>1358</v>
      </c>
      <c r="C583">
        <v>0</v>
      </c>
      <c r="D583">
        <v>1610612752</v>
      </c>
      <c r="E583" t="s">
        <v>1248</v>
      </c>
      <c r="F583">
        <v>260</v>
      </c>
      <c r="G583">
        <v>17</v>
      </c>
      <c r="I583">
        <v>1330</v>
      </c>
      <c r="J583">
        <v>13</v>
      </c>
      <c r="K583">
        <v>36</v>
      </c>
      <c r="L583">
        <v>361</v>
      </c>
      <c r="P583">
        <v>7</v>
      </c>
      <c r="Q583">
        <v>9</v>
      </c>
      <c r="R583">
        <v>778</v>
      </c>
      <c r="S583">
        <v>130</v>
      </c>
      <c r="T583">
        <v>250</v>
      </c>
      <c r="U583">
        <v>380</v>
      </c>
      <c r="V583">
        <v>2</v>
      </c>
      <c r="W583">
        <v>30</v>
      </c>
      <c r="X583">
        <v>10</v>
      </c>
      <c r="Z583">
        <v>17</v>
      </c>
      <c r="AA583">
        <v>33</v>
      </c>
      <c r="AB583" t="s">
        <v>1593</v>
      </c>
    </row>
    <row r="584" spans="1:28" x14ac:dyDescent="0.3">
      <c r="A584">
        <v>77322</v>
      </c>
      <c r="B584" t="s">
        <v>1297</v>
      </c>
      <c r="C584">
        <v>0</v>
      </c>
      <c r="D584">
        <v>1610612752</v>
      </c>
      <c r="E584" t="s">
        <v>1248</v>
      </c>
      <c r="F584">
        <v>260</v>
      </c>
      <c r="G584">
        <v>44</v>
      </c>
      <c r="J584">
        <v>89</v>
      </c>
      <c r="K584">
        <v>273</v>
      </c>
      <c r="L584">
        <v>326</v>
      </c>
      <c r="P584">
        <v>50</v>
      </c>
      <c r="Q584">
        <v>84</v>
      </c>
      <c r="R584">
        <v>595</v>
      </c>
      <c r="V584">
        <v>27</v>
      </c>
      <c r="Z584">
        <v>117</v>
      </c>
      <c r="AA584">
        <v>228</v>
      </c>
      <c r="AB584" t="s">
        <v>1594</v>
      </c>
    </row>
    <row r="585" spans="1:28" x14ac:dyDescent="0.3">
      <c r="A585">
        <v>77322</v>
      </c>
      <c r="B585" t="s">
        <v>1299</v>
      </c>
      <c r="C585">
        <v>0</v>
      </c>
      <c r="D585">
        <v>1610612752</v>
      </c>
      <c r="E585" t="s">
        <v>1248</v>
      </c>
      <c r="F585">
        <v>270</v>
      </c>
      <c r="G585">
        <v>8</v>
      </c>
      <c r="J585">
        <v>10</v>
      </c>
      <c r="K585">
        <v>36</v>
      </c>
      <c r="L585">
        <v>278</v>
      </c>
      <c r="P585">
        <v>5</v>
      </c>
      <c r="Q585">
        <v>9</v>
      </c>
      <c r="R585">
        <v>556</v>
      </c>
      <c r="V585">
        <v>11</v>
      </c>
      <c r="Z585">
        <v>16</v>
      </c>
      <c r="AA585">
        <v>25</v>
      </c>
      <c r="AB585" t="s">
        <v>1594</v>
      </c>
    </row>
    <row r="586" spans="1:28" x14ac:dyDescent="0.3">
      <c r="A586">
        <v>76950</v>
      </c>
      <c r="B586" t="s">
        <v>1257</v>
      </c>
      <c r="C586">
        <v>0</v>
      </c>
      <c r="D586">
        <v>1610612752</v>
      </c>
      <c r="E586" t="s">
        <v>1248</v>
      </c>
      <c r="F586">
        <v>240</v>
      </c>
      <c r="G586">
        <v>5</v>
      </c>
      <c r="I586">
        <v>590</v>
      </c>
      <c r="J586">
        <v>13</v>
      </c>
      <c r="K586">
        <v>30</v>
      </c>
      <c r="L586">
        <v>433</v>
      </c>
      <c r="P586">
        <v>3</v>
      </c>
      <c r="Q586">
        <v>8</v>
      </c>
      <c r="R586">
        <v>375</v>
      </c>
      <c r="U586">
        <v>60</v>
      </c>
      <c r="V586">
        <v>6</v>
      </c>
      <c r="Z586">
        <v>4</v>
      </c>
      <c r="AA586">
        <v>29</v>
      </c>
      <c r="AB586" t="s">
        <v>1595</v>
      </c>
    </row>
    <row r="587" spans="1:28" x14ac:dyDescent="0.3">
      <c r="A587">
        <v>76586</v>
      </c>
      <c r="B587" t="s">
        <v>1253</v>
      </c>
      <c r="C587">
        <v>0</v>
      </c>
      <c r="D587">
        <v>1610612752</v>
      </c>
      <c r="E587" t="s">
        <v>1248</v>
      </c>
      <c r="F587">
        <v>230</v>
      </c>
      <c r="G587">
        <v>44</v>
      </c>
      <c r="H587">
        <v>0</v>
      </c>
      <c r="I587">
        <v>3640</v>
      </c>
      <c r="J587">
        <v>44</v>
      </c>
      <c r="K587">
        <v>109</v>
      </c>
      <c r="L587">
        <v>404</v>
      </c>
      <c r="M587">
        <v>0</v>
      </c>
      <c r="N587">
        <v>70</v>
      </c>
      <c r="O587">
        <v>0</v>
      </c>
      <c r="P587">
        <v>17</v>
      </c>
      <c r="Q587">
        <v>21</v>
      </c>
      <c r="R587">
        <v>81</v>
      </c>
      <c r="S587">
        <v>50</v>
      </c>
      <c r="T587">
        <v>200</v>
      </c>
      <c r="U587">
        <v>250</v>
      </c>
      <c r="V587">
        <v>87</v>
      </c>
      <c r="W587">
        <v>160</v>
      </c>
      <c r="X587">
        <v>10</v>
      </c>
      <c r="Y587">
        <v>420</v>
      </c>
      <c r="Z587">
        <v>33</v>
      </c>
      <c r="AA587">
        <v>105</v>
      </c>
      <c r="AB587" t="s">
        <v>1596</v>
      </c>
    </row>
    <row r="588" spans="1:28" x14ac:dyDescent="0.3">
      <c r="A588">
        <v>1629718</v>
      </c>
      <c r="B588" t="s">
        <v>1369</v>
      </c>
      <c r="C588">
        <v>0</v>
      </c>
      <c r="D588">
        <v>1610612752</v>
      </c>
      <c r="E588" t="s">
        <v>1248</v>
      </c>
      <c r="F588">
        <v>270</v>
      </c>
      <c r="G588">
        <v>8</v>
      </c>
      <c r="H588">
        <v>0</v>
      </c>
      <c r="I588">
        <v>370</v>
      </c>
      <c r="J588">
        <v>2</v>
      </c>
      <c r="K588">
        <v>10</v>
      </c>
      <c r="L588">
        <v>2</v>
      </c>
      <c r="M588">
        <v>20</v>
      </c>
      <c r="N588">
        <v>70</v>
      </c>
      <c r="O588">
        <v>286</v>
      </c>
      <c r="P588">
        <v>0</v>
      </c>
      <c r="Q588">
        <v>0</v>
      </c>
      <c r="R588">
        <v>0</v>
      </c>
      <c r="S588">
        <v>10</v>
      </c>
      <c r="T588">
        <v>10</v>
      </c>
      <c r="U588">
        <v>20</v>
      </c>
      <c r="V588">
        <v>0</v>
      </c>
      <c r="W588">
        <v>0</v>
      </c>
      <c r="X588">
        <v>20</v>
      </c>
      <c r="Y588">
        <v>20</v>
      </c>
      <c r="Z588">
        <v>5</v>
      </c>
      <c r="AA588">
        <v>6</v>
      </c>
      <c r="AB588" t="s">
        <v>1597</v>
      </c>
    </row>
    <row r="589" spans="1:28" x14ac:dyDescent="0.3">
      <c r="A589">
        <v>77792</v>
      </c>
      <c r="B589" t="s">
        <v>1321</v>
      </c>
      <c r="C589">
        <v>0</v>
      </c>
      <c r="D589">
        <v>1610612752</v>
      </c>
      <c r="E589" t="s">
        <v>1248</v>
      </c>
      <c r="F589">
        <v>270</v>
      </c>
      <c r="G589">
        <v>74</v>
      </c>
      <c r="I589">
        <v>14820</v>
      </c>
      <c r="J589">
        <v>246</v>
      </c>
      <c r="K589">
        <v>574</v>
      </c>
      <c r="L589">
        <v>429</v>
      </c>
      <c r="P589">
        <v>119</v>
      </c>
      <c r="Q589">
        <v>174</v>
      </c>
      <c r="R589">
        <v>684</v>
      </c>
      <c r="U589">
        <v>3890</v>
      </c>
      <c r="V589">
        <v>70</v>
      </c>
      <c r="Z589">
        <v>224</v>
      </c>
      <c r="AA589">
        <v>611</v>
      </c>
      <c r="AB589" t="s">
        <v>1598</v>
      </c>
    </row>
    <row r="590" spans="1:28" x14ac:dyDescent="0.3">
      <c r="A590">
        <v>77792</v>
      </c>
      <c r="B590" t="s">
        <v>1322</v>
      </c>
      <c r="C590">
        <v>0</v>
      </c>
      <c r="D590">
        <v>1610612752</v>
      </c>
      <c r="E590" t="s">
        <v>1248</v>
      </c>
      <c r="F590">
        <v>280</v>
      </c>
      <c r="G590">
        <v>55</v>
      </c>
      <c r="I590">
        <v>6880</v>
      </c>
      <c r="J590">
        <v>125</v>
      </c>
      <c r="K590">
        <v>310</v>
      </c>
      <c r="L590">
        <v>403</v>
      </c>
      <c r="P590">
        <v>44</v>
      </c>
      <c r="Q590">
        <v>65</v>
      </c>
      <c r="R590">
        <v>677</v>
      </c>
      <c r="U590">
        <v>1790</v>
      </c>
      <c r="V590">
        <v>30</v>
      </c>
      <c r="Z590">
        <v>128</v>
      </c>
      <c r="AA590">
        <v>294</v>
      </c>
      <c r="AB590" t="s">
        <v>1598</v>
      </c>
    </row>
    <row r="591" spans="1:28" x14ac:dyDescent="0.3">
      <c r="A591">
        <v>77993</v>
      </c>
      <c r="B591" t="s">
        <v>1468</v>
      </c>
      <c r="C591">
        <v>0</v>
      </c>
      <c r="D591">
        <v>1610612752</v>
      </c>
      <c r="E591" t="s">
        <v>1248</v>
      </c>
      <c r="F591">
        <v>310</v>
      </c>
      <c r="G591">
        <v>81</v>
      </c>
      <c r="H591">
        <v>760</v>
      </c>
      <c r="I591">
        <v>24260</v>
      </c>
      <c r="J591">
        <v>326</v>
      </c>
      <c r="K591">
        <v>706</v>
      </c>
      <c r="L591">
        <v>462</v>
      </c>
      <c r="M591">
        <v>0</v>
      </c>
      <c r="N591">
        <v>0</v>
      </c>
      <c r="O591">
        <v>0</v>
      </c>
      <c r="P591">
        <v>118</v>
      </c>
      <c r="Q591">
        <v>201</v>
      </c>
      <c r="R591">
        <v>587</v>
      </c>
      <c r="S591">
        <v>1990</v>
      </c>
      <c r="T591">
        <v>4580</v>
      </c>
      <c r="U591">
        <v>6570</v>
      </c>
      <c r="V591">
        <v>145</v>
      </c>
      <c r="W591">
        <v>570</v>
      </c>
      <c r="X591">
        <v>240</v>
      </c>
      <c r="Y591">
        <v>1900</v>
      </c>
      <c r="Z591">
        <v>241</v>
      </c>
      <c r="AA591">
        <v>770</v>
      </c>
      <c r="AB591" t="s">
        <v>1599</v>
      </c>
    </row>
    <row r="592" spans="1:28" x14ac:dyDescent="0.3">
      <c r="A592">
        <v>77993</v>
      </c>
      <c r="B592" t="s">
        <v>1469</v>
      </c>
      <c r="C592">
        <v>0</v>
      </c>
      <c r="D592">
        <v>1610612752</v>
      </c>
      <c r="E592" t="s">
        <v>1248</v>
      </c>
      <c r="F592">
        <v>320</v>
      </c>
      <c r="G592">
        <v>65</v>
      </c>
      <c r="H592">
        <v>630</v>
      </c>
      <c r="I592">
        <v>21350</v>
      </c>
      <c r="J592">
        <v>284</v>
      </c>
      <c r="K592">
        <v>581</v>
      </c>
      <c r="L592">
        <v>489</v>
      </c>
      <c r="M592">
        <v>0</v>
      </c>
      <c r="N592">
        <v>0</v>
      </c>
      <c r="O592">
        <v>0</v>
      </c>
      <c r="P592">
        <v>133</v>
      </c>
      <c r="Q592">
        <v>206</v>
      </c>
      <c r="R592">
        <v>646</v>
      </c>
      <c r="S592">
        <v>1710</v>
      </c>
      <c r="T592">
        <v>3740</v>
      </c>
      <c r="U592">
        <v>5450</v>
      </c>
      <c r="V592">
        <v>94</v>
      </c>
      <c r="W592">
        <v>430</v>
      </c>
      <c r="X592">
        <v>270</v>
      </c>
      <c r="Y592">
        <v>1600</v>
      </c>
      <c r="Z592">
        <v>217</v>
      </c>
      <c r="AA592">
        <v>701</v>
      </c>
      <c r="AB592" t="s">
        <v>1599</v>
      </c>
    </row>
    <row r="593" spans="1:28" x14ac:dyDescent="0.3">
      <c r="A593">
        <v>77993</v>
      </c>
      <c r="B593" t="s">
        <v>1406</v>
      </c>
      <c r="C593">
        <v>0</v>
      </c>
      <c r="D593">
        <v>1610612752</v>
      </c>
      <c r="E593" t="s">
        <v>1248</v>
      </c>
      <c r="F593">
        <v>330</v>
      </c>
      <c r="G593">
        <v>2</v>
      </c>
      <c r="H593">
        <v>10</v>
      </c>
      <c r="I593">
        <v>350</v>
      </c>
      <c r="J593">
        <v>2</v>
      </c>
      <c r="K593">
        <v>5</v>
      </c>
      <c r="L593">
        <v>4</v>
      </c>
      <c r="M593">
        <v>0</v>
      </c>
      <c r="N593">
        <v>0</v>
      </c>
      <c r="P593">
        <v>0</v>
      </c>
      <c r="Q593">
        <v>2</v>
      </c>
      <c r="R593">
        <v>0</v>
      </c>
      <c r="S593">
        <v>60</v>
      </c>
      <c r="T593">
        <v>30</v>
      </c>
      <c r="U593">
        <v>90</v>
      </c>
      <c r="V593">
        <v>3</v>
      </c>
      <c r="W593">
        <v>20</v>
      </c>
      <c r="X593">
        <v>30</v>
      </c>
      <c r="Y593">
        <v>50</v>
      </c>
      <c r="Z593">
        <v>3</v>
      </c>
      <c r="AA593">
        <v>4</v>
      </c>
      <c r="AB593" t="s">
        <v>1599</v>
      </c>
    </row>
    <row r="594" spans="1:28" x14ac:dyDescent="0.3">
      <c r="A594">
        <v>84</v>
      </c>
      <c r="B594" t="s">
        <v>1429</v>
      </c>
      <c r="C594">
        <v>0</v>
      </c>
      <c r="D594">
        <v>1610612752</v>
      </c>
      <c r="E594" t="s">
        <v>1248</v>
      </c>
      <c r="F594">
        <v>280</v>
      </c>
      <c r="G594">
        <v>37</v>
      </c>
      <c r="H594">
        <v>40</v>
      </c>
      <c r="I594">
        <v>12330</v>
      </c>
      <c r="J594">
        <v>215</v>
      </c>
      <c r="K594">
        <v>518</v>
      </c>
      <c r="L594">
        <v>415</v>
      </c>
      <c r="M594">
        <v>210</v>
      </c>
      <c r="N594">
        <v>770</v>
      </c>
      <c r="O594">
        <v>273</v>
      </c>
      <c r="P594">
        <v>155</v>
      </c>
      <c r="Q594">
        <v>191</v>
      </c>
      <c r="R594">
        <v>812</v>
      </c>
      <c r="S594">
        <v>410</v>
      </c>
      <c r="T594">
        <v>1150</v>
      </c>
      <c r="U594">
        <v>1560</v>
      </c>
      <c r="V594">
        <v>91</v>
      </c>
      <c r="W594">
        <v>460</v>
      </c>
      <c r="X594">
        <v>20</v>
      </c>
      <c r="Y594">
        <v>790</v>
      </c>
      <c r="Z594">
        <v>65</v>
      </c>
      <c r="AA594">
        <v>606</v>
      </c>
      <c r="AB594" t="s">
        <v>1600</v>
      </c>
    </row>
    <row r="595" spans="1:28" x14ac:dyDescent="0.3">
      <c r="A595">
        <v>84</v>
      </c>
      <c r="B595" t="s">
        <v>1464</v>
      </c>
      <c r="C595">
        <v>0</v>
      </c>
      <c r="D595">
        <v>1610612752</v>
      </c>
      <c r="E595" t="s">
        <v>1248</v>
      </c>
      <c r="F595">
        <v>290</v>
      </c>
      <c r="G595">
        <v>82</v>
      </c>
      <c r="H595">
        <v>820</v>
      </c>
      <c r="I595">
        <v>32760</v>
      </c>
      <c r="J595">
        <v>568</v>
      </c>
      <c r="K595">
        <v>1305</v>
      </c>
      <c r="L595">
        <v>435</v>
      </c>
      <c r="M595">
        <v>440</v>
      </c>
      <c r="N595">
        <v>1270</v>
      </c>
      <c r="O595">
        <v>346</v>
      </c>
      <c r="P595">
        <v>344</v>
      </c>
      <c r="Q595">
        <v>397</v>
      </c>
      <c r="R595">
        <v>866</v>
      </c>
      <c r="S595">
        <v>490</v>
      </c>
      <c r="T595">
        <v>3000</v>
      </c>
      <c r="U595">
        <v>3490</v>
      </c>
      <c r="V595">
        <v>332</v>
      </c>
      <c r="W595">
        <v>1090</v>
      </c>
      <c r="X595">
        <v>220</v>
      </c>
      <c r="Y595">
        <v>2260</v>
      </c>
      <c r="Z595">
        <v>184</v>
      </c>
      <c r="AA595">
        <v>1524</v>
      </c>
      <c r="AB595" t="s">
        <v>1600</v>
      </c>
    </row>
    <row r="596" spans="1:28" x14ac:dyDescent="0.3">
      <c r="A596">
        <v>84</v>
      </c>
      <c r="B596" t="s">
        <v>1465</v>
      </c>
      <c r="C596">
        <v>0</v>
      </c>
      <c r="D596">
        <v>1610612752</v>
      </c>
      <c r="E596" t="s">
        <v>1248</v>
      </c>
      <c r="F596">
        <v>300</v>
      </c>
      <c r="G596">
        <v>77</v>
      </c>
      <c r="H596">
        <v>770</v>
      </c>
      <c r="I596">
        <v>30130</v>
      </c>
      <c r="J596">
        <v>524</v>
      </c>
      <c r="K596">
        <v>1219</v>
      </c>
      <c r="L596">
        <v>43</v>
      </c>
      <c r="M596">
        <v>410</v>
      </c>
      <c r="N596">
        <v>1350</v>
      </c>
      <c r="O596">
        <v>304</v>
      </c>
      <c r="P596">
        <v>275</v>
      </c>
      <c r="Q596">
        <v>351</v>
      </c>
      <c r="R596">
        <v>783</v>
      </c>
      <c r="S596">
        <v>490</v>
      </c>
      <c r="T596">
        <v>2980</v>
      </c>
      <c r="U596">
        <v>3470</v>
      </c>
      <c r="V596">
        <v>269</v>
      </c>
      <c r="W596">
        <v>1060</v>
      </c>
      <c r="X596">
        <v>280</v>
      </c>
      <c r="Y596">
        <v>2180</v>
      </c>
      <c r="Z596">
        <v>159</v>
      </c>
      <c r="AA596">
        <v>1364</v>
      </c>
      <c r="AB596" t="s">
        <v>1600</v>
      </c>
    </row>
    <row r="597" spans="1:28" x14ac:dyDescent="0.3">
      <c r="A597">
        <v>84</v>
      </c>
      <c r="B597" t="s">
        <v>1330</v>
      </c>
      <c r="C597">
        <v>0</v>
      </c>
      <c r="D597">
        <v>1610612752</v>
      </c>
      <c r="E597" t="s">
        <v>1248</v>
      </c>
      <c r="F597">
        <v>310</v>
      </c>
      <c r="G597">
        <v>81</v>
      </c>
      <c r="H597">
        <v>810</v>
      </c>
      <c r="I597">
        <v>33280</v>
      </c>
      <c r="J597">
        <v>573</v>
      </c>
      <c r="K597">
        <v>1419</v>
      </c>
      <c r="L597">
        <v>404</v>
      </c>
      <c r="M597">
        <v>1450</v>
      </c>
      <c r="N597">
        <v>4030</v>
      </c>
      <c r="O597">
        <v>36</v>
      </c>
      <c r="P597">
        <v>284</v>
      </c>
      <c r="Q597">
        <v>346</v>
      </c>
      <c r="R597">
        <v>821</v>
      </c>
      <c r="S597">
        <v>590</v>
      </c>
      <c r="T597">
        <v>2390</v>
      </c>
      <c r="U597">
        <v>2980</v>
      </c>
      <c r="V597">
        <v>313</v>
      </c>
      <c r="W597">
        <v>940</v>
      </c>
      <c r="X597">
        <v>140</v>
      </c>
      <c r="Y597">
        <v>2230</v>
      </c>
      <c r="Z597">
        <v>161</v>
      </c>
      <c r="AA597">
        <v>1575</v>
      </c>
      <c r="AB597" t="s">
        <v>1600</v>
      </c>
    </row>
    <row r="598" spans="1:28" x14ac:dyDescent="0.3">
      <c r="A598">
        <v>84</v>
      </c>
      <c r="B598" t="s">
        <v>1325</v>
      </c>
      <c r="C598">
        <v>0</v>
      </c>
      <c r="D598">
        <v>1610612752</v>
      </c>
      <c r="E598" t="s">
        <v>1248</v>
      </c>
      <c r="F598">
        <v>320</v>
      </c>
      <c r="G598">
        <v>74</v>
      </c>
      <c r="H598">
        <v>730</v>
      </c>
      <c r="I598">
        <v>28580</v>
      </c>
      <c r="J598">
        <v>454</v>
      </c>
      <c r="K598">
        <v>1127</v>
      </c>
      <c r="L598">
        <v>403</v>
      </c>
      <c r="M598">
        <v>1340</v>
      </c>
      <c r="N598">
        <v>3600</v>
      </c>
      <c r="O598">
        <v>372</v>
      </c>
      <c r="P598">
        <v>173</v>
      </c>
      <c r="Q598">
        <v>218</v>
      </c>
      <c r="R598">
        <v>794</v>
      </c>
      <c r="S598">
        <v>450</v>
      </c>
      <c r="T598">
        <v>2400</v>
      </c>
      <c r="U598">
        <v>2850</v>
      </c>
      <c r="V598">
        <v>332</v>
      </c>
      <c r="W598">
        <v>1020</v>
      </c>
      <c r="X598">
        <v>220</v>
      </c>
      <c r="Y598">
        <v>1720</v>
      </c>
      <c r="Z598">
        <v>134</v>
      </c>
      <c r="AA598">
        <v>1215</v>
      </c>
      <c r="AB598" t="s">
        <v>1600</v>
      </c>
    </row>
    <row r="599" spans="1:28" x14ac:dyDescent="0.3">
      <c r="A599">
        <v>200769</v>
      </c>
      <c r="B599" t="s">
        <v>1337</v>
      </c>
      <c r="C599">
        <v>0</v>
      </c>
      <c r="D599">
        <v>1610612752</v>
      </c>
      <c r="E599" t="s">
        <v>1248</v>
      </c>
      <c r="F599">
        <v>280</v>
      </c>
      <c r="G599">
        <v>19</v>
      </c>
      <c r="H599">
        <v>0</v>
      </c>
      <c r="I599">
        <v>1480</v>
      </c>
      <c r="J599">
        <v>16</v>
      </c>
      <c r="K599">
        <v>38</v>
      </c>
      <c r="L599">
        <v>421</v>
      </c>
      <c r="M599">
        <v>0</v>
      </c>
      <c r="N599">
        <v>0</v>
      </c>
      <c r="O599">
        <v>0</v>
      </c>
      <c r="P599">
        <v>8</v>
      </c>
      <c r="Q599">
        <v>12</v>
      </c>
      <c r="R599">
        <v>667</v>
      </c>
      <c r="S599">
        <v>60</v>
      </c>
      <c r="T599">
        <v>90</v>
      </c>
      <c r="U599">
        <v>150</v>
      </c>
      <c r="V599">
        <v>4</v>
      </c>
      <c r="W599">
        <v>120</v>
      </c>
      <c r="X599">
        <v>0</v>
      </c>
      <c r="Y599">
        <v>100</v>
      </c>
      <c r="Z599">
        <v>12</v>
      </c>
      <c r="AA599">
        <v>40</v>
      </c>
      <c r="AB599" t="s">
        <v>1601</v>
      </c>
    </row>
    <row r="600" spans="1:28" x14ac:dyDescent="0.3">
      <c r="A600">
        <v>77307</v>
      </c>
      <c r="B600" t="s">
        <v>1258</v>
      </c>
      <c r="C600">
        <v>0</v>
      </c>
      <c r="D600">
        <v>1610612752</v>
      </c>
      <c r="E600" t="s">
        <v>1248</v>
      </c>
      <c r="F600">
        <v>220</v>
      </c>
      <c r="G600">
        <v>19</v>
      </c>
      <c r="I600">
        <v>2310</v>
      </c>
      <c r="J600">
        <v>27</v>
      </c>
      <c r="K600">
        <v>86</v>
      </c>
      <c r="L600">
        <v>314</v>
      </c>
      <c r="P600">
        <v>30</v>
      </c>
      <c r="Q600">
        <v>40</v>
      </c>
      <c r="R600">
        <v>75</v>
      </c>
      <c r="U600">
        <v>410</v>
      </c>
      <c r="V600">
        <v>15</v>
      </c>
      <c r="Z600">
        <v>31</v>
      </c>
      <c r="AA600">
        <v>84</v>
      </c>
      <c r="AB600" t="s">
        <v>1602</v>
      </c>
    </row>
    <row r="601" spans="1:28" x14ac:dyDescent="0.3">
      <c r="A601">
        <v>203090</v>
      </c>
      <c r="B601" t="s">
        <v>1288</v>
      </c>
      <c r="C601">
        <v>0</v>
      </c>
      <c r="D601">
        <v>1610612752</v>
      </c>
      <c r="E601" t="s">
        <v>1248</v>
      </c>
      <c r="F601">
        <v>270</v>
      </c>
      <c r="G601">
        <v>12</v>
      </c>
      <c r="H601">
        <v>100</v>
      </c>
      <c r="I601">
        <v>2860</v>
      </c>
      <c r="J601">
        <v>30</v>
      </c>
      <c r="K601">
        <v>66</v>
      </c>
      <c r="L601">
        <v>455</v>
      </c>
      <c r="M601">
        <v>70</v>
      </c>
      <c r="N601">
        <v>250</v>
      </c>
      <c r="O601">
        <v>28</v>
      </c>
      <c r="P601">
        <v>15</v>
      </c>
      <c r="Q601">
        <v>24</v>
      </c>
      <c r="R601">
        <v>625</v>
      </c>
      <c r="S601">
        <v>80</v>
      </c>
      <c r="T601">
        <v>320</v>
      </c>
      <c r="U601">
        <v>400</v>
      </c>
      <c r="V601">
        <v>20</v>
      </c>
      <c r="W601">
        <v>90</v>
      </c>
      <c r="X601">
        <v>30</v>
      </c>
      <c r="Y601">
        <v>70</v>
      </c>
      <c r="Z601">
        <v>28</v>
      </c>
      <c r="AA601">
        <v>82</v>
      </c>
      <c r="AB601" t="s">
        <v>1603</v>
      </c>
    </row>
    <row r="602" spans="1:28" x14ac:dyDescent="0.3">
      <c r="A602">
        <v>76583</v>
      </c>
      <c r="B602" t="s">
        <v>1272</v>
      </c>
      <c r="C602">
        <v>0</v>
      </c>
      <c r="D602">
        <v>1610612752</v>
      </c>
      <c r="E602" t="s">
        <v>1248</v>
      </c>
      <c r="F602">
        <v>340</v>
      </c>
      <c r="G602">
        <v>14</v>
      </c>
      <c r="H602">
        <v>0</v>
      </c>
      <c r="I602">
        <v>810</v>
      </c>
      <c r="J602">
        <v>5</v>
      </c>
      <c r="K602">
        <v>18</v>
      </c>
      <c r="L602">
        <v>278</v>
      </c>
      <c r="M602">
        <v>0</v>
      </c>
      <c r="N602">
        <v>0</v>
      </c>
      <c r="O602">
        <v>0</v>
      </c>
      <c r="P602">
        <v>2</v>
      </c>
      <c r="Q602">
        <v>2</v>
      </c>
      <c r="R602">
        <v>10</v>
      </c>
      <c r="S602">
        <v>20</v>
      </c>
      <c r="T602">
        <v>170</v>
      </c>
      <c r="U602">
        <v>190</v>
      </c>
      <c r="V602">
        <v>2</v>
      </c>
      <c r="W602">
        <v>0</v>
      </c>
      <c r="X602">
        <v>50</v>
      </c>
      <c r="Y602">
        <v>70</v>
      </c>
      <c r="Z602">
        <v>17</v>
      </c>
      <c r="AA602">
        <v>12</v>
      </c>
      <c r="AB602" t="s">
        <v>1604</v>
      </c>
    </row>
    <row r="603" spans="1:28" x14ac:dyDescent="0.3">
      <c r="A603">
        <v>201974</v>
      </c>
      <c r="B603" t="s">
        <v>1312</v>
      </c>
      <c r="C603">
        <v>0</v>
      </c>
      <c r="D603">
        <v>1610612752</v>
      </c>
      <c r="E603" t="s">
        <v>1248</v>
      </c>
      <c r="F603">
        <v>230</v>
      </c>
      <c r="G603">
        <v>8</v>
      </c>
      <c r="H603">
        <v>0</v>
      </c>
      <c r="I603">
        <v>880</v>
      </c>
      <c r="J603">
        <v>12</v>
      </c>
      <c r="K603">
        <v>18</v>
      </c>
      <c r="L603">
        <v>667</v>
      </c>
      <c r="M603">
        <v>30</v>
      </c>
      <c r="N603">
        <v>40</v>
      </c>
      <c r="O603">
        <v>75</v>
      </c>
      <c r="P603">
        <v>7</v>
      </c>
      <c r="Q603">
        <v>13</v>
      </c>
      <c r="R603">
        <v>538</v>
      </c>
      <c r="S603">
        <v>90</v>
      </c>
      <c r="T603">
        <v>60</v>
      </c>
      <c r="U603">
        <v>150</v>
      </c>
      <c r="V603">
        <v>4</v>
      </c>
      <c r="W603">
        <v>40</v>
      </c>
      <c r="X603">
        <v>20</v>
      </c>
      <c r="Y603">
        <v>70</v>
      </c>
      <c r="Z603">
        <v>11</v>
      </c>
      <c r="AA603">
        <v>34</v>
      </c>
      <c r="AB603" t="s">
        <v>1605</v>
      </c>
    </row>
    <row r="604" spans="1:28" x14ac:dyDescent="0.3">
      <c r="A604">
        <v>1628436</v>
      </c>
      <c r="B604" t="s">
        <v>1259</v>
      </c>
      <c r="C604">
        <v>0</v>
      </c>
      <c r="D604">
        <v>1610612752</v>
      </c>
      <c r="E604" t="s">
        <v>1248</v>
      </c>
      <c r="F604">
        <v>220</v>
      </c>
      <c r="G604">
        <v>20</v>
      </c>
      <c r="H604">
        <v>10</v>
      </c>
      <c r="I604">
        <v>3260</v>
      </c>
      <c r="J604">
        <v>49</v>
      </c>
      <c r="K604">
        <v>125</v>
      </c>
      <c r="L604">
        <v>392</v>
      </c>
      <c r="M604">
        <v>280</v>
      </c>
      <c r="N604">
        <v>790</v>
      </c>
      <c r="O604">
        <v>354</v>
      </c>
      <c r="P604">
        <v>8</v>
      </c>
      <c r="Q604">
        <v>11</v>
      </c>
      <c r="R604">
        <v>727</v>
      </c>
      <c r="S604">
        <v>110</v>
      </c>
      <c r="T604">
        <v>530</v>
      </c>
      <c r="U604">
        <v>640</v>
      </c>
      <c r="V604">
        <v>26</v>
      </c>
      <c r="W604">
        <v>60</v>
      </c>
      <c r="X604">
        <v>160</v>
      </c>
      <c r="Y604">
        <v>120</v>
      </c>
      <c r="Z604">
        <v>28</v>
      </c>
      <c r="AA604">
        <v>134</v>
      </c>
      <c r="AB604" t="s">
        <v>1606</v>
      </c>
    </row>
    <row r="605" spans="1:28" x14ac:dyDescent="0.3">
      <c r="A605">
        <v>1628436</v>
      </c>
      <c r="B605" t="s">
        <v>1287</v>
      </c>
      <c r="C605">
        <v>0</v>
      </c>
      <c r="D605">
        <v>1610612752</v>
      </c>
      <c r="E605" t="s">
        <v>1248</v>
      </c>
      <c r="F605">
        <v>230</v>
      </c>
      <c r="G605">
        <v>46</v>
      </c>
      <c r="H605">
        <v>180</v>
      </c>
      <c r="I605">
        <v>7840</v>
      </c>
      <c r="J605">
        <v>107</v>
      </c>
      <c r="K605">
        <v>283</v>
      </c>
      <c r="L605">
        <v>378</v>
      </c>
      <c r="M605">
        <v>700</v>
      </c>
      <c r="N605">
        <v>1930</v>
      </c>
      <c r="O605">
        <v>363</v>
      </c>
      <c r="P605">
        <v>38</v>
      </c>
      <c r="Q605">
        <v>46</v>
      </c>
      <c r="R605">
        <v>826</v>
      </c>
      <c r="S605">
        <v>280</v>
      </c>
      <c r="T605">
        <v>1070</v>
      </c>
      <c r="U605">
        <v>1350</v>
      </c>
      <c r="V605">
        <v>54</v>
      </c>
      <c r="W605">
        <v>270</v>
      </c>
      <c r="X605">
        <v>420</v>
      </c>
      <c r="Y605">
        <v>250</v>
      </c>
      <c r="Z605">
        <v>41</v>
      </c>
      <c r="AA605">
        <v>322</v>
      </c>
      <c r="AB605" t="s">
        <v>1606</v>
      </c>
    </row>
    <row r="606" spans="1:28" x14ac:dyDescent="0.3">
      <c r="A606">
        <v>203501</v>
      </c>
      <c r="B606" t="s">
        <v>1337</v>
      </c>
      <c r="C606">
        <v>0</v>
      </c>
      <c r="D606">
        <v>1610612752</v>
      </c>
      <c r="E606" t="s">
        <v>1248</v>
      </c>
      <c r="F606">
        <v>220</v>
      </c>
      <c r="G606">
        <v>81</v>
      </c>
      <c r="H606">
        <v>10</v>
      </c>
      <c r="I606">
        <v>18750</v>
      </c>
      <c r="J606">
        <v>294</v>
      </c>
      <c r="K606">
        <v>687</v>
      </c>
      <c r="L606">
        <v>428</v>
      </c>
      <c r="M606">
        <v>1300</v>
      </c>
      <c r="N606">
        <v>3580</v>
      </c>
      <c r="O606">
        <v>363</v>
      </c>
      <c r="P606">
        <v>106</v>
      </c>
      <c r="Q606">
        <v>128</v>
      </c>
      <c r="R606">
        <v>828</v>
      </c>
      <c r="S606">
        <v>190</v>
      </c>
      <c r="T606">
        <v>1020</v>
      </c>
      <c r="U606">
        <v>1210</v>
      </c>
      <c r="V606">
        <v>66</v>
      </c>
      <c r="W606">
        <v>440</v>
      </c>
      <c r="X606">
        <v>70</v>
      </c>
      <c r="Y606">
        <v>470</v>
      </c>
      <c r="Z606">
        <v>144</v>
      </c>
      <c r="AA606">
        <v>824</v>
      </c>
      <c r="AB606" t="s">
        <v>1607</v>
      </c>
    </row>
    <row r="607" spans="1:28" x14ac:dyDescent="0.3">
      <c r="A607">
        <v>203501</v>
      </c>
      <c r="B607" t="s">
        <v>1343</v>
      </c>
      <c r="C607">
        <v>0</v>
      </c>
      <c r="D607">
        <v>1610612752</v>
      </c>
      <c r="E607" t="s">
        <v>1248</v>
      </c>
      <c r="F607">
        <v>230</v>
      </c>
      <c r="G607">
        <v>70</v>
      </c>
      <c r="H607">
        <v>300</v>
      </c>
      <c r="I607">
        <v>16810</v>
      </c>
      <c r="J607">
        <v>279</v>
      </c>
      <c r="K607">
        <v>717</v>
      </c>
      <c r="L607">
        <v>389</v>
      </c>
      <c r="M607">
        <v>1210</v>
      </c>
      <c r="N607">
        <v>3540</v>
      </c>
      <c r="O607">
        <v>342</v>
      </c>
      <c r="P607">
        <v>125</v>
      </c>
      <c r="Q607">
        <v>156</v>
      </c>
      <c r="R607">
        <v>801</v>
      </c>
      <c r="S607">
        <v>120</v>
      </c>
      <c r="T607">
        <v>1440</v>
      </c>
      <c r="U607">
        <v>1560</v>
      </c>
      <c r="V607">
        <v>127</v>
      </c>
      <c r="W607">
        <v>200</v>
      </c>
      <c r="X607">
        <v>140</v>
      </c>
      <c r="Y607">
        <v>820</v>
      </c>
      <c r="Z607">
        <v>119</v>
      </c>
      <c r="AA607">
        <v>804</v>
      </c>
      <c r="AB607" t="s">
        <v>1607</v>
      </c>
    </row>
    <row r="608" spans="1:28" x14ac:dyDescent="0.3">
      <c r="A608">
        <v>203501</v>
      </c>
      <c r="B608" t="s">
        <v>1259</v>
      </c>
      <c r="C608">
        <v>0</v>
      </c>
      <c r="D608">
        <v>1610612752</v>
      </c>
      <c r="E608" t="s">
        <v>1248</v>
      </c>
      <c r="F608">
        <v>260</v>
      </c>
      <c r="G608">
        <v>57</v>
      </c>
      <c r="H608">
        <v>540</v>
      </c>
      <c r="I608">
        <v>18850</v>
      </c>
      <c r="J608">
        <v>360</v>
      </c>
      <c r="K608">
        <v>856</v>
      </c>
      <c r="L608">
        <v>421</v>
      </c>
      <c r="M608">
        <v>1300</v>
      </c>
      <c r="N608">
        <v>4100</v>
      </c>
      <c r="O608">
        <v>317</v>
      </c>
      <c r="P608">
        <v>146</v>
      </c>
      <c r="Q608">
        <v>179</v>
      </c>
      <c r="R608">
        <v>816</v>
      </c>
      <c r="S608">
        <v>320</v>
      </c>
      <c r="T608">
        <v>1920</v>
      </c>
      <c r="U608">
        <v>2240</v>
      </c>
      <c r="V608">
        <v>155</v>
      </c>
      <c r="W608">
        <v>620</v>
      </c>
      <c r="X608">
        <v>100</v>
      </c>
      <c r="Y608">
        <v>920</v>
      </c>
      <c r="Z608">
        <v>123</v>
      </c>
      <c r="AA608">
        <v>996</v>
      </c>
      <c r="AB608" t="s">
        <v>1607</v>
      </c>
    </row>
    <row r="609" spans="1:28" x14ac:dyDescent="0.3">
      <c r="A609">
        <v>203501</v>
      </c>
      <c r="B609" t="s">
        <v>1287</v>
      </c>
      <c r="C609">
        <v>0</v>
      </c>
      <c r="D609">
        <v>1610612752</v>
      </c>
      <c r="E609" t="s">
        <v>1248</v>
      </c>
      <c r="F609">
        <v>270</v>
      </c>
      <c r="G609">
        <v>46</v>
      </c>
      <c r="H609">
        <v>460</v>
      </c>
      <c r="I609">
        <v>14990</v>
      </c>
      <c r="J609">
        <v>282</v>
      </c>
      <c r="K609">
        <v>726</v>
      </c>
      <c r="L609">
        <v>388</v>
      </c>
      <c r="M609">
        <v>1170</v>
      </c>
      <c r="N609">
        <v>3370</v>
      </c>
      <c r="O609">
        <v>347</v>
      </c>
      <c r="P609">
        <v>199</v>
      </c>
      <c r="Q609">
        <v>233</v>
      </c>
      <c r="R609">
        <v>854</v>
      </c>
      <c r="S609">
        <v>260</v>
      </c>
      <c r="T609">
        <v>1350</v>
      </c>
      <c r="U609">
        <v>1610</v>
      </c>
      <c r="V609">
        <v>122</v>
      </c>
      <c r="W609">
        <v>420</v>
      </c>
      <c r="X609">
        <v>60</v>
      </c>
      <c r="Y609">
        <v>810</v>
      </c>
      <c r="Z609">
        <v>106</v>
      </c>
      <c r="AA609">
        <v>880</v>
      </c>
      <c r="AB609" t="s">
        <v>1607</v>
      </c>
    </row>
    <row r="610" spans="1:28" x14ac:dyDescent="0.3">
      <c r="A610">
        <v>1720</v>
      </c>
      <c r="B610" t="s">
        <v>1325</v>
      </c>
      <c r="C610">
        <v>0</v>
      </c>
      <c r="D610">
        <v>1610612752</v>
      </c>
      <c r="E610" t="s">
        <v>1248</v>
      </c>
      <c r="F610">
        <v>260</v>
      </c>
      <c r="G610">
        <v>75</v>
      </c>
      <c r="H610">
        <v>0</v>
      </c>
      <c r="I610">
        <v>10400</v>
      </c>
      <c r="J610">
        <v>146</v>
      </c>
      <c r="K610">
        <v>343</v>
      </c>
      <c r="L610">
        <v>426</v>
      </c>
      <c r="M610">
        <v>0</v>
      </c>
      <c r="N610">
        <v>0</v>
      </c>
      <c r="O610">
        <v>0</v>
      </c>
      <c r="P610">
        <v>36</v>
      </c>
      <c r="Q610">
        <v>46</v>
      </c>
      <c r="R610">
        <v>783</v>
      </c>
      <c r="S610">
        <v>650</v>
      </c>
      <c r="T610">
        <v>1540</v>
      </c>
      <c r="U610">
        <v>2190</v>
      </c>
      <c r="V610">
        <v>42</v>
      </c>
      <c r="W610">
        <v>160</v>
      </c>
      <c r="X610">
        <v>160</v>
      </c>
      <c r="Y610">
        <v>490</v>
      </c>
      <c r="Z610">
        <v>150</v>
      </c>
      <c r="AA610">
        <v>328</v>
      </c>
      <c r="AB610" t="s">
        <v>1608</v>
      </c>
    </row>
    <row r="611" spans="1:28" x14ac:dyDescent="0.3">
      <c r="A611">
        <v>1720</v>
      </c>
      <c r="B611" t="s">
        <v>1293</v>
      </c>
      <c r="C611">
        <v>0</v>
      </c>
      <c r="D611">
        <v>1610612752</v>
      </c>
      <c r="E611" t="s">
        <v>1248</v>
      </c>
      <c r="F611">
        <v>270</v>
      </c>
      <c r="G611">
        <v>46</v>
      </c>
      <c r="H611">
        <v>0</v>
      </c>
      <c r="I611">
        <v>6810</v>
      </c>
      <c r="J611">
        <v>100</v>
      </c>
      <c r="K611">
        <v>225</v>
      </c>
      <c r="L611">
        <v>444</v>
      </c>
      <c r="M611">
        <v>0</v>
      </c>
      <c r="N611">
        <v>0</v>
      </c>
      <c r="O611">
        <v>0</v>
      </c>
      <c r="P611">
        <v>31</v>
      </c>
      <c r="Q611">
        <v>36</v>
      </c>
      <c r="R611">
        <v>861</v>
      </c>
      <c r="S611">
        <v>600</v>
      </c>
      <c r="T611">
        <v>1290</v>
      </c>
      <c r="U611">
        <v>1890</v>
      </c>
      <c r="V611">
        <v>30</v>
      </c>
      <c r="W611">
        <v>170</v>
      </c>
      <c r="X611">
        <v>300</v>
      </c>
      <c r="Y611">
        <v>370</v>
      </c>
      <c r="Z611">
        <v>84</v>
      </c>
      <c r="AA611">
        <v>231</v>
      </c>
      <c r="AB611" t="s">
        <v>1608</v>
      </c>
    </row>
    <row r="612" spans="1:28" x14ac:dyDescent="0.3">
      <c r="A612">
        <v>418</v>
      </c>
      <c r="B612" t="s">
        <v>1277</v>
      </c>
      <c r="C612">
        <v>0</v>
      </c>
      <c r="D612">
        <v>1610612752</v>
      </c>
      <c r="E612" t="s">
        <v>1248</v>
      </c>
      <c r="F612">
        <v>310</v>
      </c>
      <c r="G612">
        <v>38</v>
      </c>
      <c r="H612">
        <v>0</v>
      </c>
      <c r="I612">
        <v>2470</v>
      </c>
      <c r="J612">
        <v>19</v>
      </c>
      <c r="K612">
        <v>39</v>
      </c>
      <c r="L612">
        <v>487</v>
      </c>
      <c r="M612">
        <v>50</v>
      </c>
      <c r="N612">
        <v>120</v>
      </c>
      <c r="O612">
        <v>417</v>
      </c>
      <c r="P612">
        <v>14</v>
      </c>
      <c r="Q612">
        <v>15</v>
      </c>
      <c r="R612">
        <v>933</v>
      </c>
      <c r="S612">
        <v>60</v>
      </c>
      <c r="T612">
        <v>120</v>
      </c>
      <c r="U612">
        <v>180</v>
      </c>
      <c r="V612">
        <v>29</v>
      </c>
      <c r="W612">
        <v>210</v>
      </c>
      <c r="X612">
        <v>0</v>
      </c>
      <c r="Y612">
        <v>170</v>
      </c>
      <c r="Z612">
        <v>35</v>
      </c>
      <c r="AA612">
        <v>57</v>
      </c>
      <c r="AB612" t="s">
        <v>1609</v>
      </c>
    </row>
    <row r="613" spans="1:28" x14ac:dyDescent="0.3">
      <c r="A613">
        <v>78260</v>
      </c>
      <c r="B613" t="s">
        <v>1255</v>
      </c>
      <c r="C613">
        <v>0</v>
      </c>
      <c r="D613">
        <v>1610612752</v>
      </c>
      <c r="E613" t="s">
        <v>1248</v>
      </c>
      <c r="F613">
        <v>240</v>
      </c>
      <c r="G613">
        <v>25</v>
      </c>
      <c r="I613">
        <v>2090</v>
      </c>
      <c r="J613">
        <v>37</v>
      </c>
      <c r="K613">
        <v>110</v>
      </c>
      <c r="L613">
        <v>336</v>
      </c>
      <c r="P613">
        <v>3</v>
      </c>
      <c r="Q613">
        <v>10</v>
      </c>
      <c r="R613">
        <v>3</v>
      </c>
      <c r="U613">
        <v>390</v>
      </c>
      <c r="V613">
        <v>18</v>
      </c>
      <c r="Z613">
        <v>23</v>
      </c>
      <c r="AA613">
        <v>77</v>
      </c>
      <c r="AB613" t="s">
        <v>1610</v>
      </c>
    </row>
    <row r="614" spans="1:28" x14ac:dyDescent="0.3">
      <c r="A614">
        <v>77297</v>
      </c>
      <c r="B614" t="s">
        <v>1258</v>
      </c>
      <c r="C614">
        <v>0</v>
      </c>
      <c r="D614">
        <v>1610612752</v>
      </c>
      <c r="E614" t="s">
        <v>1248</v>
      </c>
      <c r="F614">
        <v>240</v>
      </c>
      <c r="G614">
        <v>80</v>
      </c>
      <c r="I614">
        <v>23780</v>
      </c>
      <c r="J614">
        <v>381</v>
      </c>
      <c r="K614">
        <v>1020</v>
      </c>
      <c r="L614">
        <v>374</v>
      </c>
      <c r="P614">
        <v>212</v>
      </c>
      <c r="Q614">
        <v>254</v>
      </c>
      <c r="R614">
        <v>835</v>
      </c>
      <c r="U614">
        <v>1950</v>
      </c>
      <c r="V614">
        <v>265</v>
      </c>
      <c r="Z614">
        <v>246</v>
      </c>
      <c r="AA614">
        <v>974</v>
      </c>
      <c r="AB614" t="s">
        <v>1611</v>
      </c>
    </row>
    <row r="615" spans="1:28" x14ac:dyDescent="0.3">
      <c r="A615">
        <v>77297</v>
      </c>
      <c r="B615" t="s">
        <v>1412</v>
      </c>
      <c r="C615">
        <v>0</v>
      </c>
      <c r="D615">
        <v>1610612752</v>
      </c>
      <c r="E615" t="s">
        <v>1248</v>
      </c>
      <c r="F615">
        <v>250</v>
      </c>
      <c r="G615">
        <v>80</v>
      </c>
      <c r="I615">
        <v>26120</v>
      </c>
      <c r="J615">
        <v>436</v>
      </c>
      <c r="K615">
        <v>1116</v>
      </c>
      <c r="L615">
        <v>391</v>
      </c>
      <c r="P615">
        <v>241</v>
      </c>
      <c r="Q615">
        <v>280</v>
      </c>
      <c r="R615">
        <v>861</v>
      </c>
      <c r="U615">
        <v>2810</v>
      </c>
      <c r="V615">
        <v>425</v>
      </c>
      <c r="Z615">
        <v>278</v>
      </c>
      <c r="AA615">
        <v>1113</v>
      </c>
      <c r="AB615" t="s">
        <v>1611</v>
      </c>
    </row>
    <row r="616" spans="1:28" x14ac:dyDescent="0.3">
      <c r="A616">
        <v>77297</v>
      </c>
      <c r="B616" t="s">
        <v>1360</v>
      </c>
      <c r="C616">
        <v>0</v>
      </c>
      <c r="D616">
        <v>1610612752</v>
      </c>
      <c r="E616" t="s">
        <v>1248</v>
      </c>
      <c r="F616">
        <v>260</v>
      </c>
      <c r="G616">
        <v>65</v>
      </c>
      <c r="I616">
        <v>22820</v>
      </c>
      <c r="J616">
        <v>402</v>
      </c>
      <c r="K616">
        <v>995</v>
      </c>
      <c r="L616">
        <v>404</v>
      </c>
      <c r="P616">
        <v>217</v>
      </c>
      <c r="Q616">
        <v>253</v>
      </c>
      <c r="R616">
        <v>858</v>
      </c>
      <c r="U616">
        <v>1830</v>
      </c>
      <c r="V616">
        <v>401</v>
      </c>
      <c r="Z616">
        <v>213</v>
      </c>
      <c r="AA616">
        <v>1021</v>
      </c>
      <c r="AB616" t="s">
        <v>1611</v>
      </c>
    </row>
    <row r="617" spans="1:28" x14ac:dyDescent="0.3">
      <c r="A617">
        <v>77297</v>
      </c>
      <c r="B617" t="s">
        <v>1414</v>
      </c>
      <c r="C617">
        <v>0</v>
      </c>
      <c r="D617">
        <v>1610612752</v>
      </c>
      <c r="E617" t="s">
        <v>1248</v>
      </c>
      <c r="F617">
        <v>270</v>
      </c>
      <c r="G617">
        <v>78</v>
      </c>
      <c r="I617">
        <v>16600</v>
      </c>
      <c r="J617">
        <v>233</v>
      </c>
      <c r="K617">
        <v>631</v>
      </c>
      <c r="L617">
        <v>369</v>
      </c>
      <c r="P617">
        <v>132</v>
      </c>
      <c r="Q617">
        <v>161</v>
      </c>
      <c r="R617">
        <v>82</v>
      </c>
      <c r="U617">
        <v>1680</v>
      </c>
      <c r="V617">
        <v>246</v>
      </c>
      <c r="Z617">
        <v>170</v>
      </c>
      <c r="AA617">
        <v>598</v>
      </c>
      <c r="AB617" t="s">
        <v>1611</v>
      </c>
    </row>
    <row r="618" spans="1:28" x14ac:dyDescent="0.3">
      <c r="A618">
        <v>77297</v>
      </c>
      <c r="B618" t="s">
        <v>1415</v>
      </c>
      <c r="C618">
        <v>0</v>
      </c>
      <c r="D618">
        <v>1610612752</v>
      </c>
      <c r="E618" t="s">
        <v>1248</v>
      </c>
      <c r="F618">
        <v>280</v>
      </c>
      <c r="G618">
        <v>32</v>
      </c>
      <c r="I618">
        <v>8360</v>
      </c>
      <c r="J618">
        <v>107</v>
      </c>
      <c r="K618">
        <v>309</v>
      </c>
      <c r="L618">
        <v>346</v>
      </c>
      <c r="P618">
        <v>73</v>
      </c>
      <c r="Q618">
        <v>86</v>
      </c>
      <c r="R618">
        <v>849</v>
      </c>
      <c r="U618">
        <v>950</v>
      </c>
      <c r="V618">
        <v>137</v>
      </c>
      <c r="Z618">
        <v>96</v>
      </c>
      <c r="AA618">
        <v>287</v>
      </c>
      <c r="AB618" t="s">
        <v>1611</v>
      </c>
    </row>
    <row r="619" spans="1:28" x14ac:dyDescent="0.3">
      <c r="A619">
        <v>358</v>
      </c>
      <c r="B619" t="s">
        <v>1293</v>
      </c>
      <c r="C619">
        <v>0</v>
      </c>
      <c r="D619">
        <v>1610612752</v>
      </c>
      <c r="E619" t="s">
        <v>1248</v>
      </c>
      <c r="F619">
        <v>320</v>
      </c>
      <c r="G619">
        <v>42</v>
      </c>
      <c r="H619">
        <v>40</v>
      </c>
      <c r="I619">
        <v>12190</v>
      </c>
      <c r="J619">
        <v>159</v>
      </c>
      <c r="K619">
        <v>408</v>
      </c>
      <c r="L619">
        <v>39</v>
      </c>
      <c r="M619">
        <v>160</v>
      </c>
      <c r="N619">
        <v>440</v>
      </c>
      <c r="O619">
        <v>364</v>
      </c>
      <c r="P619">
        <v>69</v>
      </c>
      <c r="Q619">
        <v>89</v>
      </c>
      <c r="R619">
        <v>775</v>
      </c>
      <c r="S619">
        <v>420</v>
      </c>
      <c r="T619">
        <v>1470</v>
      </c>
      <c r="U619">
        <v>1890</v>
      </c>
      <c r="V619">
        <v>79</v>
      </c>
      <c r="W619">
        <v>420</v>
      </c>
      <c r="X619">
        <v>120</v>
      </c>
      <c r="Y619">
        <v>650</v>
      </c>
      <c r="Z619">
        <v>81</v>
      </c>
      <c r="AA619">
        <v>403</v>
      </c>
      <c r="AB619" t="s">
        <v>1612</v>
      </c>
    </row>
    <row r="620" spans="1:28" x14ac:dyDescent="0.3">
      <c r="A620">
        <v>358</v>
      </c>
      <c r="B620" t="s">
        <v>1295</v>
      </c>
      <c r="C620">
        <v>0</v>
      </c>
      <c r="D620">
        <v>1610612752</v>
      </c>
      <c r="E620" t="s">
        <v>1248</v>
      </c>
      <c r="F620">
        <v>330</v>
      </c>
      <c r="G620">
        <v>37</v>
      </c>
      <c r="H620">
        <v>0</v>
      </c>
      <c r="I620">
        <v>8950</v>
      </c>
      <c r="J620">
        <v>110</v>
      </c>
      <c r="K620">
        <v>260</v>
      </c>
      <c r="L620">
        <v>423</v>
      </c>
      <c r="M620">
        <v>150</v>
      </c>
      <c r="N620">
        <v>500</v>
      </c>
      <c r="O620">
        <v>3</v>
      </c>
      <c r="P620">
        <v>34</v>
      </c>
      <c r="Q620">
        <v>46</v>
      </c>
      <c r="R620">
        <v>739</v>
      </c>
      <c r="S620">
        <v>190</v>
      </c>
      <c r="T620">
        <v>700</v>
      </c>
      <c r="U620">
        <v>890</v>
      </c>
      <c r="V620">
        <v>74</v>
      </c>
      <c r="W620">
        <v>280</v>
      </c>
      <c r="X620">
        <v>30</v>
      </c>
      <c r="Y620">
        <v>500</v>
      </c>
      <c r="Z620">
        <v>79</v>
      </c>
      <c r="AA620">
        <v>269</v>
      </c>
      <c r="AB620" t="s">
        <v>1612</v>
      </c>
    </row>
    <row r="621" spans="1:28" x14ac:dyDescent="0.3">
      <c r="A621">
        <v>358</v>
      </c>
      <c r="B621" t="s">
        <v>1300</v>
      </c>
      <c r="C621">
        <v>0</v>
      </c>
      <c r="D621">
        <v>1610612752</v>
      </c>
      <c r="E621" t="s">
        <v>1248</v>
      </c>
      <c r="F621">
        <v>340</v>
      </c>
      <c r="G621">
        <v>4</v>
      </c>
      <c r="H621">
        <v>0</v>
      </c>
      <c r="I621">
        <v>720</v>
      </c>
      <c r="J621">
        <v>4</v>
      </c>
      <c r="K621">
        <v>14</v>
      </c>
      <c r="L621">
        <v>286</v>
      </c>
      <c r="M621">
        <v>0</v>
      </c>
      <c r="N621">
        <v>10</v>
      </c>
      <c r="O621">
        <v>0</v>
      </c>
      <c r="P621">
        <v>2</v>
      </c>
      <c r="Q621">
        <v>2</v>
      </c>
      <c r="R621">
        <v>10</v>
      </c>
      <c r="S621">
        <v>0</v>
      </c>
      <c r="T621">
        <v>100</v>
      </c>
      <c r="U621">
        <v>100</v>
      </c>
      <c r="V621">
        <v>8</v>
      </c>
      <c r="W621">
        <v>20</v>
      </c>
      <c r="X621">
        <v>0</v>
      </c>
      <c r="Y621">
        <v>60</v>
      </c>
      <c r="Z621">
        <v>7</v>
      </c>
      <c r="AA621">
        <v>10</v>
      </c>
      <c r="AB621" t="s">
        <v>1612</v>
      </c>
    </row>
    <row r="622" spans="1:28" x14ac:dyDescent="0.3">
      <c r="A622">
        <v>1629603</v>
      </c>
      <c r="B622" t="s">
        <v>1369</v>
      </c>
      <c r="C622">
        <v>0</v>
      </c>
      <c r="D622">
        <v>1610612752</v>
      </c>
      <c r="E622" t="s">
        <v>1248</v>
      </c>
      <c r="F622">
        <v>270</v>
      </c>
      <c r="G622">
        <v>3</v>
      </c>
      <c r="H622">
        <v>0</v>
      </c>
      <c r="I622">
        <v>80</v>
      </c>
      <c r="J622">
        <v>0</v>
      </c>
      <c r="K622">
        <v>1</v>
      </c>
      <c r="L622">
        <v>0</v>
      </c>
      <c r="M622">
        <v>0</v>
      </c>
      <c r="N622">
        <v>10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10</v>
      </c>
      <c r="U622">
        <v>10</v>
      </c>
      <c r="V622">
        <v>0</v>
      </c>
      <c r="W622">
        <v>10</v>
      </c>
      <c r="X622">
        <v>0</v>
      </c>
      <c r="Y622">
        <v>10</v>
      </c>
      <c r="Z622">
        <v>1</v>
      </c>
      <c r="AA622">
        <v>0</v>
      </c>
      <c r="AB622" t="s">
        <v>1613</v>
      </c>
    </row>
    <row r="623" spans="1:28" x14ac:dyDescent="0.3">
      <c r="A623">
        <v>76255</v>
      </c>
      <c r="B623" t="s">
        <v>1339</v>
      </c>
      <c r="C623">
        <v>0</v>
      </c>
      <c r="D623">
        <v>1610612752</v>
      </c>
      <c r="E623" t="s">
        <v>1248</v>
      </c>
      <c r="F623">
        <v>230</v>
      </c>
      <c r="G623">
        <v>12</v>
      </c>
      <c r="J623">
        <v>14</v>
      </c>
      <c r="K623">
        <v>49</v>
      </c>
      <c r="L623">
        <v>286</v>
      </c>
      <c r="P623">
        <v>6</v>
      </c>
      <c r="Q623">
        <v>7</v>
      </c>
      <c r="R623">
        <v>857</v>
      </c>
      <c r="V623">
        <v>1</v>
      </c>
      <c r="Z623">
        <v>16</v>
      </c>
      <c r="AA623">
        <v>34</v>
      </c>
      <c r="AB623" t="s">
        <v>1614</v>
      </c>
    </row>
    <row r="624" spans="1:28" x14ac:dyDescent="0.3">
      <c r="A624">
        <v>76219</v>
      </c>
      <c r="B624" t="s">
        <v>1414</v>
      </c>
      <c r="C624">
        <v>0</v>
      </c>
      <c r="D624">
        <v>1610612752</v>
      </c>
      <c r="E624" t="s">
        <v>1248</v>
      </c>
      <c r="F624">
        <v>250</v>
      </c>
      <c r="G624">
        <v>42</v>
      </c>
      <c r="I624">
        <v>2720</v>
      </c>
      <c r="J624">
        <v>52</v>
      </c>
      <c r="K624">
        <v>134</v>
      </c>
      <c r="L624">
        <v>388</v>
      </c>
      <c r="P624">
        <v>10</v>
      </c>
      <c r="Q624">
        <v>15</v>
      </c>
      <c r="R624">
        <v>667</v>
      </c>
      <c r="U624">
        <v>1130</v>
      </c>
      <c r="V624">
        <v>20</v>
      </c>
      <c r="Z624">
        <v>69</v>
      </c>
      <c r="AA624">
        <v>114</v>
      </c>
      <c r="AB624" t="s">
        <v>1615</v>
      </c>
    </row>
    <row r="625" spans="1:28" x14ac:dyDescent="0.3">
      <c r="A625">
        <v>76219</v>
      </c>
      <c r="B625" t="s">
        <v>1415</v>
      </c>
      <c r="C625">
        <v>0</v>
      </c>
      <c r="D625">
        <v>1610612752</v>
      </c>
      <c r="E625" t="s">
        <v>1248</v>
      </c>
      <c r="F625">
        <v>260</v>
      </c>
      <c r="G625">
        <v>67</v>
      </c>
      <c r="I625">
        <v>6070</v>
      </c>
      <c r="J625">
        <v>82</v>
      </c>
      <c r="K625">
        <v>226</v>
      </c>
      <c r="L625">
        <v>363</v>
      </c>
      <c r="P625">
        <v>29</v>
      </c>
      <c r="Q625">
        <v>61</v>
      </c>
      <c r="R625">
        <v>475</v>
      </c>
      <c r="U625">
        <v>2200</v>
      </c>
      <c r="V625">
        <v>53</v>
      </c>
      <c r="Z625">
        <v>142</v>
      </c>
      <c r="AA625">
        <v>193</v>
      </c>
      <c r="AB625" t="s">
        <v>1615</v>
      </c>
    </row>
    <row r="626" spans="1:28" x14ac:dyDescent="0.3">
      <c r="A626">
        <v>76219</v>
      </c>
      <c r="B626" t="s">
        <v>1416</v>
      </c>
      <c r="C626">
        <v>0</v>
      </c>
      <c r="D626">
        <v>1610612752</v>
      </c>
      <c r="E626" t="s">
        <v>1248</v>
      </c>
      <c r="F626">
        <v>270</v>
      </c>
      <c r="G626">
        <v>81</v>
      </c>
      <c r="I626">
        <v>7440</v>
      </c>
      <c r="J626">
        <v>98</v>
      </c>
      <c r="K626">
        <v>235</v>
      </c>
      <c r="L626">
        <v>417</v>
      </c>
      <c r="P626">
        <v>41</v>
      </c>
      <c r="Q626">
        <v>79</v>
      </c>
      <c r="R626">
        <v>519</v>
      </c>
      <c r="U626">
        <v>2570</v>
      </c>
      <c r="V626">
        <v>46</v>
      </c>
      <c r="Z626">
        <v>189</v>
      </c>
      <c r="AA626">
        <v>237</v>
      </c>
      <c r="AB626" t="s">
        <v>1615</v>
      </c>
    </row>
    <row r="627" spans="1:28" x14ac:dyDescent="0.3">
      <c r="A627">
        <v>1628995</v>
      </c>
      <c r="B627" t="s">
        <v>1287</v>
      </c>
      <c r="C627">
        <v>0</v>
      </c>
      <c r="D627">
        <v>1610612752</v>
      </c>
      <c r="E627" t="s">
        <v>1248</v>
      </c>
      <c r="F627">
        <v>190</v>
      </c>
      <c r="G627">
        <v>75</v>
      </c>
      <c r="H627">
        <v>570</v>
      </c>
      <c r="I627">
        <v>21580</v>
      </c>
      <c r="J627">
        <v>338</v>
      </c>
      <c r="K627">
        <v>914</v>
      </c>
      <c r="L627">
        <v>37</v>
      </c>
      <c r="M627">
        <v>1250</v>
      </c>
      <c r="N627">
        <v>3640</v>
      </c>
      <c r="O627">
        <v>343</v>
      </c>
      <c r="P627">
        <v>162</v>
      </c>
      <c r="Q627">
        <v>226</v>
      </c>
      <c r="R627">
        <v>717</v>
      </c>
      <c r="S627">
        <v>610</v>
      </c>
      <c r="T627">
        <v>2740</v>
      </c>
      <c r="U627">
        <v>3350</v>
      </c>
      <c r="V627">
        <v>82</v>
      </c>
      <c r="W627">
        <v>430</v>
      </c>
      <c r="X627">
        <v>240</v>
      </c>
      <c r="Y627">
        <v>1140</v>
      </c>
      <c r="Z627">
        <v>175</v>
      </c>
      <c r="AA627">
        <v>963</v>
      </c>
      <c r="AB627" t="s">
        <v>1616</v>
      </c>
    </row>
    <row r="628" spans="1:28" x14ac:dyDescent="0.3">
      <c r="A628">
        <v>1628995</v>
      </c>
      <c r="B628" t="s">
        <v>1288</v>
      </c>
      <c r="C628">
        <v>0</v>
      </c>
      <c r="D628">
        <v>1610612752</v>
      </c>
      <c r="E628" t="s">
        <v>1248</v>
      </c>
      <c r="F628">
        <v>200</v>
      </c>
      <c r="G628">
        <v>65</v>
      </c>
      <c r="H628">
        <v>40</v>
      </c>
      <c r="I628">
        <v>11660</v>
      </c>
      <c r="J628">
        <v>144</v>
      </c>
      <c r="K628">
        <v>401</v>
      </c>
      <c r="L628">
        <v>359</v>
      </c>
      <c r="M628">
        <v>650</v>
      </c>
      <c r="N628">
        <v>1990</v>
      </c>
      <c r="O628">
        <v>327</v>
      </c>
      <c r="P628">
        <v>66</v>
      </c>
      <c r="Q628">
        <v>101</v>
      </c>
      <c r="R628">
        <v>653</v>
      </c>
      <c r="S628">
        <v>280</v>
      </c>
      <c r="T628">
        <v>1560</v>
      </c>
      <c r="U628">
        <v>1840</v>
      </c>
      <c r="V628">
        <v>61</v>
      </c>
      <c r="W628">
        <v>230</v>
      </c>
      <c r="X628">
        <v>280</v>
      </c>
      <c r="Y628">
        <v>450</v>
      </c>
      <c r="Z628">
        <v>106</v>
      </c>
      <c r="AA628">
        <v>419</v>
      </c>
      <c r="AB628" t="s">
        <v>1616</v>
      </c>
    </row>
    <row r="629" spans="1:28" x14ac:dyDescent="0.3">
      <c r="A629">
        <v>1628995</v>
      </c>
      <c r="B629" t="s">
        <v>1289</v>
      </c>
      <c r="C629">
        <v>0</v>
      </c>
      <c r="D629">
        <v>1610612752</v>
      </c>
      <c r="E629" t="s">
        <v>1248</v>
      </c>
      <c r="F629">
        <v>210</v>
      </c>
      <c r="G629">
        <v>42</v>
      </c>
      <c r="H629">
        <v>0</v>
      </c>
      <c r="I629">
        <v>4640</v>
      </c>
      <c r="J629">
        <v>56</v>
      </c>
      <c r="K629">
        <v>143</v>
      </c>
      <c r="L629">
        <v>392</v>
      </c>
      <c r="M629">
        <v>350</v>
      </c>
      <c r="N629">
        <v>890</v>
      </c>
      <c r="O629">
        <v>393</v>
      </c>
      <c r="P629">
        <v>16</v>
      </c>
      <c r="Q629">
        <v>20</v>
      </c>
      <c r="R629">
        <v>8</v>
      </c>
      <c r="S629">
        <v>100</v>
      </c>
      <c r="T629">
        <v>510</v>
      </c>
      <c r="U629">
        <v>610</v>
      </c>
      <c r="V629">
        <v>19</v>
      </c>
      <c r="W629">
        <v>120</v>
      </c>
      <c r="X629">
        <v>60</v>
      </c>
      <c r="Y629">
        <v>170</v>
      </c>
      <c r="Z629">
        <v>37</v>
      </c>
      <c r="AA629">
        <v>163</v>
      </c>
      <c r="AB629" t="s">
        <v>1616</v>
      </c>
    </row>
    <row r="630" spans="1:28" x14ac:dyDescent="0.3">
      <c r="A630">
        <v>1628995</v>
      </c>
      <c r="B630" t="s">
        <v>1308</v>
      </c>
      <c r="C630">
        <v>0</v>
      </c>
      <c r="D630">
        <v>1610612752</v>
      </c>
      <c r="E630" t="s">
        <v>1248</v>
      </c>
      <c r="F630">
        <v>220</v>
      </c>
      <c r="G630">
        <v>13</v>
      </c>
      <c r="H630">
        <v>0</v>
      </c>
      <c r="I630">
        <v>1110</v>
      </c>
      <c r="J630">
        <v>15</v>
      </c>
      <c r="K630">
        <v>40</v>
      </c>
      <c r="L630">
        <v>375</v>
      </c>
      <c r="M630">
        <v>100</v>
      </c>
      <c r="N630">
        <v>280</v>
      </c>
      <c r="O630">
        <v>357</v>
      </c>
      <c r="P630">
        <v>7</v>
      </c>
      <c r="Q630">
        <v>10</v>
      </c>
      <c r="R630">
        <v>7</v>
      </c>
      <c r="S630">
        <v>80</v>
      </c>
      <c r="T630">
        <v>140</v>
      </c>
      <c r="U630">
        <v>220</v>
      </c>
      <c r="V630">
        <v>3</v>
      </c>
      <c r="W630">
        <v>20</v>
      </c>
      <c r="X630">
        <v>10</v>
      </c>
      <c r="Y630">
        <v>50</v>
      </c>
      <c r="Z630">
        <v>5</v>
      </c>
      <c r="AA630">
        <v>47</v>
      </c>
      <c r="AB630" t="s">
        <v>1616</v>
      </c>
    </row>
    <row r="631" spans="1:28" x14ac:dyDescent="0.3">
      <c r="A631">
        <v>1629788</v>
      </c>
      <c r="B631" t="s">
        <v>1308</v>
      </c>
      <c r="C631">
        <v>0</v>
      </c>
      <c r="D631">
        <v>1610612752</v>
      </c>
      <c r="E631" t="s">
        <v>1248</v>
      </c>
      <c r="F631">
        <v>250</v>
      </c>
      <c r="G631">
        <v>1</v>
      </c>
      <c r="H631">
        <v>0</v>
      </c>
      <c r="I631">
        <v>20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1617</v>
      </c>
    </row>
    <row r="632" spans="1:28" x14ac:dyDescent="0.3">
      <c r="A632">
        <v>1628978</v>
      </c>
      <c r="B632" t="s">
        <v>1369</v>
      </c>
      <c r="C632">
        <v>0</v>
      </c>
      <c r="D632">
        <v>1610612752</v>
      </c>
      <c r="E632" t="s">
        <v>1248</v>
      </c>
      <c r="F632">
        <v>270</v>
      </c>
      <c r="G632">
        <v>81</v>
      </c>
      <c r="H632">
        <v>630</v>
      </c>
      <c r="I632">
        <v>23600</v>
      </c>
      <c r="J632">
        <v>445</v>
      </c>
      <c r="K632">
        <v>1004</v>
      </c>
      <c r="L632">
        <v>443</v>
      </c>
      <c r="M632">
        <v>2830</v>
      </c>
      <c r="N632">
        <v>7050</v>
      </c>
      <c r="O632">
        <v>401</v>
      </c>
      <c r="P632">
        <v>86</v>
      </c>
      <c r="Q632">
        <v>114</v>
      </c>
      <c r="R632">
        <v>754</v>
      </c>
      <c r="S632">
        <v>630</v>
      </c>
      <c r="T632">
        <v>2340</v>
      </c>
      <c r="U632">
        <v>2970</v>
      </c>
      <c r="V632">
        <v>216</v>
      </c>
      <c r="W632">
        <v>1070</v>
      </c>
      <c r="X632">
        <v>360</v>
      </c>
      <c r="Y632">
        <v>1130</v>
      </c>
      <c r="Z632">
        <v>166</v>
      </c>
      <c r="AA632">
        <v>1259</v>
      </c>
      <c r="AB632" t="s">
        <v>1618</v>
      </c>
    </row>
    <row r="633" spans="1:28" x14ac:dyDescent="0.3">
      <c r="A633">
        <v>77291</v>
      </c>
      <c r="B633" t="s">
        <v>1339</v>
      </c>
      <c r="C633">
        <v>0</v>
      </c>
      <c r="D633">
        <v>1610612752</v>
      </c>
      <c r="E633" t="s">
        <v>1248</v>
      </c>
      <c r="F633">
        <v>250</v>
      </c>
      <c r="G633">
        <v>22</v>
      </c>
      <c r="J633">
        <v>62</v>
      </c>
      <c r="K633">
        <v>219</v>
      </c>
      <c r="L633">
        <v>283</v>
      </c>
      <c r="P633">
        <v>47</v>
      </c>
      <c r="Q633">
        <v>72</v>
      </c>
      <c r="R633">
        <v>653</v>
      </c>
      <c r="V633">
        <v>21</v>
      </c>
      <c r="Z633">
        <v>64</v>
      </c>
      <c r="AA633">
        <v>171</v>
      </c>
      <c r="AB633" t="s">
        <v>1619</v>
      </c>
    </row>
    <row r="634" spans="1:28" x14ac:dyDescent="0.3">
      <c r="A634">
        <v>77291</v>
      </c>
      <c r="B634" t="s">
        <v>1297</v>
      </c>
      <c r="C634">
        <v>0</v>
      </c>
      <c r="D634">
        <v>1610612752</v>
      </c>
      <c r="E634" t="s">
        <v>1248</v>
      </c>
      <c r="F634">
        <v>260</v>
      </c>
      <c r="G634">
        <v>48</v>
      </c>
      <c r="J634">
        <v>99</v>
      </c>
      <c r="K634">
        <v>369</v>
      </c>
      <c r="L634">
        <v>268</v>
      </c>
      <c r="P634">
        <v>61</v>
      </c>
      <c r="Q634">
        <v>120</v>
      </c>
      <c r="R634">
        <v>508</v>
      </c>
      <c r="V634">
        <v>50</v>
      </c>
      <c r="Z634">
        <v>171</v>
      </c>
      <c r="AA634">
        <v>259</v>
      </c>
      <c r="AB634" t="s">
        <v>1619</v>
      </c>
    </row>
    <row r="635" spans="1:28" x14ac:dyDescent="0.3">
      <c r="A635">
        <v>77291</v>
      </c>
      <c r="B635" t="s">
        <v>1299</v>
      </c>
      <c r="C635">
        <v>0</v>
      </c>
      <c r="D635">
        <v>1610612752</v>
      </c>
      <c r="E635" t="s">
        <v>1248</v>
      </c>
      <c r="F635">
        <v>270</v>
      </c>
      <c r="G635">
        <v>60</v>
      </c>
      <c r="J635">
        <v>156</v>
      </c>
      <c r="K635">
        <v>457</v>
      </c>
      <c r="L635">
        <v>341</v>
      </c>
      <c r="P635">
        <v>131</v>
      </c>
      <c r="Q635">
        <v>183</v>
      </c>
      <c r="R635">
        <v>716</v>
      </c>
      <c r="V635">
        <v>135</v>
      </c>
      <c r="Z635">
        <v>258</v>
      </c>
      <c r="AA635">
        <v>443</v>
      </c>
      <c r="AB635" t="s">
        <v>1619</v>
      </c>
    </row>
    <row r="636" spans="1:28" x14ac:dyDescent="0.3">
      <c r="A636">
        <v>200758</v>
      </c>
      <c r="B636" t="s">
        <v>1292</v>
      </c>
      <c r="C636">
        <v>0</v>
      </c>
      <c r="D636">
        <v>1610612752</v>
      </c>
      <c r="E636" t="s">
        <v>1248</v>
      </c>
      <c r="F636">
        <v>280</v>
      </c>
      <c r="G636">
        <v>46</v>
      </c>
      <c r="H636">
        <v>340</v>
      </c>
      <c r="I636">
        <v>7110</v>
      </c>
      <c r="J636">
        <v>64</v>
      </c>
      <c r="K636">
        <v>175</v>
      </c>
      <c r="L636">
        <v>366</v>
      </c>
      <c r="M636">
        <v>220</v>
      </c>
      <c r="N636">
        <v>710</v>
      </c>
      <c r="O636">
        <v>31</v>
      </c>
      <c r="P636">
        <v>16</v>
      </c>
      <c r="Q636">
        <v>39</v>
      </c>
      <c r="R636">
        <v>41</v>
      </c>
      <c r="S636">
        <v>290</v>
      </c>
      <c r="T636">
        <v>710</v>
      </c>
      <c r="U636">
        <v>1000</v>
      </c>
      <c r="V636">
        <v>40</v>
      </c>
      <c r="W636">
        <v>340</v>
      </c>
      <c r="X636">
        <v>60</v>
      </c>
      <c r="Y636">
        <v>140</v>
      </c>
      <c r="Z636">
        <v>27</v>
      </c>
      <c r="AA636">
        <v>166</v>
      </c>
      <c r="AB636" t="s">
        <v>1620</v>
      </c>
    </row>
    <row r="637" spans="1:28" x14ac:dyDescent="0.3">
      <c r="A637">
        <v>76902</v>
      </c>
      <c r="B637" t="s">
        <v>1318</v>
      </c>
      <c r="C637">
        <v>0</v>
      </c>
      <c r="D637">
        <v>1610612752</v>
      </c>
      <c r="E637" t="s">
        <v>1248</v>
      </c>
      <c r="F637">
        <v>250</v>
      </c>
      <c r="G637">
        <v>72</v>
      </c>
      <c r="I637">
        <v>17930</v>
      </c>
      <c r="J637">
        <v>257</v>
      </c>
      <c r="K637">
        <v>699</v>
      </c>
      <c r="L637">
        <v>368</v>
      </c>
      <c r="P637">
        <v>181</v>
      </c>
      <c r="Q637">
        <v>292</v>
      </c>
      <c r="R637">
        <v>62</v>
      </c>
      <c r="U637">
        <v>3340</v>
      </c>
      <c r="V637">
        <v>182</v>
      </c>
      <c r="Z637">
        <v>186</v>
      </c>
      <c r="AA637">
        <v>695</v>
      </c>
      <c r="AB637" t="s">
        <v>1621</v>
      </c>
    </row>
    <row r="638" spans="1:28" x14ac:dyDescent="0.3">
      <c r="A638">
        <v>76902</v>
      </c>
      <c r="B638" t="s">
        <v>1320</v>
      </c>
      <c r="C638">
        <v>0</v>
      </c>
      <c r="D638">
        <v>1610612752</v>
      </c>
      <c r="E638" t="s">
        <v>1248</v>
      </c>
      <c r="F638">
        <v>260</v>
      </c>
      <c r="G638">
        <v>63</v>
      </c>
      <c r="I638">
        <v>23680</v>
      </c>
      <c r="J638">
        <v>344</v>
      </c>
      <c r="K638">
        <v>973</v>
      </c>
      <c r="L638">
        <v>354</v>
      </c>
      <c r="P638">
        <v>353</v>
      </c>
      <c r="Q638">
        <v>511</v>
      </c>
      <c r="R638">
        <v>691</v>
      </c>
      <c r="U638">
        <v>4890</v>
      </c>
      <c r="V638">
        <v>317</v>
      </c>
      <c r="Z638">
        <v>202</v>
      </c>
      <c r="AA638">
        <v>1041</v>
      </c>
      <c r="AB638" t="s">
        <v>1621</v>
      </c>
    </row>
    <row r="639" spans="1:28" x14ac:dyDescent="0.3">
      <c r="A639">
        <v>76902</v>
      </c>
      <c r="B639" t="s">
        <v>1250</v>
      </c>
      <c r="C639">
        <v>0</v>
      </c>
      <c r="D639">
        <v>1610612752</v>
      </c>
      <c r="E639" t="s">
        <v>1248</v>
      </c>
      <c r="F639">
        <v>270</v>
      </c>
      <c r="G639">
        <v>71</v>
      </c>
      <c r="I639">
        <v>25580</v>
      </c>
      <c r="J639">
        <v>443</v>
      </c>
      <c r="K639">
        <v>1046</v>
      </c>
      <c r="L639">
        <v>424</v>
      </c>
      <c r="P639">
        <v>405</v>
      </c>
      <c r="Q639">
        <v>505</v>
      </c>
      <c r="R639">
        <v>802</v>
      </c>
      <c r="U639">
        <v>5180</v>
      </c>
      <c r="V639">
        <v>364</v>
      </c>
      <c r="Z639">
        <v>255</v>
      </c>
      <c r="AA639">
        <v>1291</v>
      </c>
      <c r="AB639" t="s">
        <v>1621</v>
      </c>
    </row>
    <row r="640" spans="1:28" x14ac:dyDescent="0.3">
      <c r="A640">
        <v>76902</v>
      </c>
      <c r="B640" t="s">
        <v>1321</v>
      </c>
      <c r="C640">
        <v>0</v>
      </c>
      <c r="D640">
        <v>1610612752</v>
      </c>
      <c r="E640" t="s">
        <v>1248</v>
      </c>
      <c r="F640">
        <v>280</v>
      </c>
      <c r="G640">
        <v>74</v>
      </c>
      <c r="I640">
        <v>24290</v>
      </c>
      <c r="J640">
        <v>579</v>
      </c>
      <c r="K640">
        <v>1379</v>
      </c>
      <c r="L640">
        <v>42</v>
      </c>
      <c r="P640">
        <v>457</v>
      </c>
      <c r="Q640">
        <v>591</v>
      </c>
      <c r="R640">
        <v>773</v>
      </c>
      <c r="U640">
        <v>5050</v>
      </c>
      <c r="V640">
        <v>468</v>
      </c>
      <c r="Z640">
        <v>242</v>
      </c>
      <c r="AA640">
        <v>1615</v>
      </c>
      <c r="AB640" t="s">
        <v>1621</v>
      </c>
    </row>
    <row r="641" spans="1:28" x14ac:dyDescent="0.3">
      <c r="A641">
        <v>76902</v>
      </c>
      <c r="B641" t="s">
        <v>1322</v>
      </c>
      <c r="C641">
        <v>0</v>
      </c>
      <c r="D641">
        <v>1610612752</v>
      </c>
      <c r="E641" t="s">
        <v>1248</v>
      </c>
      <c r="F641">
        <v>290</v>
      </c>
      <c r="G641">
        <v>79</v>
      </c>
      <c r="I641">
        <v>30230</v>
      </c>
      <c r="J641">
        <v>612</v>
      </c>
      <c r="K641">
        <v>1545</v>
      </c>
      <c r="L641">
        <v>396</v>
      </c>
      <c r="P641">
        <v>496</v>
      </c>
      <c r="Q641">
        <v>626</v>
      </c>
      <c r="R641">
        <v>792</v>
      </c>
      <c r="U641">
        <v>6280</v>
      </c>
      <c r="V641">
        <v>503</v>
      </c>
      <c r="Z641">
        <v>310</v>
      </c>
      <c r="AA641">
        <v>1720</v>
      </c>
      <c r="AB641" t="s">
        <v>1621</v>
      </c>
    </row>
    <row r="642" spans="1:28" x14ac:dyDescent="0.3">
      <c r="A642">
        <v>76902</v>
      </c>
      <c r="B642" t="s">
        <v>1323</v>
      </c>
      <c r="C642">
        <v>0</v>
      </c>
      <c r="D642">
        <v>1610612752</v>
      </c>
      <c r="E642" t="s">
        <v>1248</v>
      </c>
      <c r="F642">
        <v>300</v>
      </c>
      <c r="G642">
        <v>78</v>
      </c>
      <c r="I642">
        <v>33480</v>
      </c>
      <c r="J642">
        <v>839</v>
      </c>
      <c r="K642">
        <v>1897</v>
      </c>
      <c r="L642">
        <v>442</v>
      </c>
      <c r="P642">
        <v>625</v>
      </c>
      <c r="Q642">
        <v>762</v>
      </c>
      <c r="R642">
        <v>82</v>
      </c>
      <c r="U642">
        <v>5010</v>
      </c>
      <c r="V642">
        <v>539</v>
      </c>
      <c r="Z642">
        <v>299</v>
      </c>
      <c r="AA642">
        <v>2303</v>
      </c>
      <c r="AB642" t="s">
        <v>1621</v>
      </c>
    </row>
    <row r="643" spans="1:28" x14ac:dyDescent="0.3">
      <c r="A643">
        <v>76902</v>
      </c>
      <c r="B643" t="s">
        <v>1255</v>
      </c>
      <c r="C643">
        <v>0</v>
      </c>
      <c r="D643">
        <v>1610612752</v>
      </c>
      <c r="E643" t="s">
        <v>1248</v>
      </c>
      <c r="F643">
        <v>310</v>
      </c>
      <c r="G643">
        <v>79</v>
      </c>
      <c r="I643">
        <v>27120</v>
      </c>
      <c r="J643">
        <v>596</v>
      </c>
      <c r="K643">
        <v>1380</v>
      </c>
      <c r="L643">
        <v>432</v>
      </c>
      <c r="P643">
        <v>509</v>
      </c>
      <c r="Q643">
        <v>600</v>
      </c>
      <c r="R643">
        <v>848</v>
      </c>
      <c r="U643">
        <v>3310</v>
      </c>
      <c r="V643">
        <v>348</v>
      </c>
      <c r="Z643">
        <v>228</v>
      </c>
      <c r="AA643">
        <v>1701</v>
      </c>
      <c r="AB643" t="s">
        <v>1621</v>
      </c>
    </row>
    <row r="644" spans="1:28" x14ac:dyDescent="0.3">
      <c r="A644">
        <v>76560</v>
      </c>
      <c r="B644" t="s">
        <v>1360</v>
      </c>
      <c r="C644">
        <v>0</v>
      </c>
      <c r="D644">
        <v>1610612752</v>
      </c>
      <c r="E644" t="s">
        <v>1248</v>
      </c>
      <c r="F644">
        <v>220</v>
      </c>
      <c r="G644">
        <v>19</v>
      </c>
      <c r="I644">
        <v>930</v>
      </c>
      <c r="J644">
        <v>6</v>
      </c>
      <c r="K644">
        <v>36</v>
      </c>
      <c r="L644">
        <v>167</v>
      </c>
      <c r="P644">
        <v>9</v>
      </c>
      <c r="Q644">
        <v>20</v>
      </c>
      <c r="R644">
        <v>45</v>
      </c>
      <c r="U644">
        <v>210</v>
      </c>
      <c r="V644">
        <v>15</v>
      </c>
      <c r="Z644">
        <v>17</v>
      </c>
      <c r="AA644">
        <v>21</v>
      </c>
      <c r="AB644" t="s">
        <v>1622</v>
      </c>
    </row>
    <row r="645" spans="1:28" x14ac:dyDescent="0.3">
      <c r="A645">
        <v>76018</v>
      </c>
      <c r="B645" t="s">
        <v>1360</v>
      </c>
      <c r="C645">
        <v>0</v>
      </c>
      <c r="D645">
        <v>1610612752</v>
      </c>
      <c r="E645" t="s">
        <v>1248</v>
      </c>
      <c r="F645">
        <v>220</v>
      </c>
      <c r="G645">
        <v>50</v>
      </c>
      <c r="I645">
        <v>4530</v>
      </c>
      <c r="J645">
        <v>83</v>
      </c>
      <c r="K645">
        <v>230</v>
      </c>
      <c r="L645">
        <v>361</v>
      </c>
      <c r="P645">
        <v>26</v>
      </c>
      <c r="Q645">
        <v>37</v>
      </c>
      <c r="R645">
        <v>703</v>
      </c>
      <c r="U645">
        <v>1200</v>
      </c>
      <c r="V645">
        <v>25</v>
      </c>
      <c r="Z645">
        <v>82</v>
      </c>
      <c r="AA645">
        <v>192</v>
      </c>
      <c r="AB645" t="s">
        <v>1623</v>
      </c>
    </row>
    <row r="646" spans="1:28" x14ac:dyDescent="0.3">
      <c r="A646">
        <v>2249</v>
      </c>
      <c r="B646" t="s">
        <v>1295</v>
      </c>
      <c r="C646">
        <v>0</v>
      </c>
      <c r="D646">
        <v>1610612752</v>
      </c>
      <c r="E646" t="s">
        <v>1248</v>
      </c>
      <c r="F646">
        <v>240</v>
      </c>
      <c r="G646">
        <v>18</v>
      </c>
      <c r="H646">
        <v>0</v>
      </c>
      <c r="I646">
        <v>1840</v>
      </c>
      <c r="J646">
        <v>11</v>
      </c>
      <c r="K646">
        <v>37</v>
      </c>
      <c r="L646">
        <v>297</v>
      </c>
      <c r="M646">
        <v>30</v>
      </c>
      <c r="N646">
        <v>150</v>
      </c>
      <c r="O646">
        <v>2</v>
      </c>
      <c r="P646">
        <v>6</v>
      </c>
      <c r="Q646">
        <v>13</v>
      </c>
      <c r="R646">
        <v>462</v>
      </c>
      <c r="S646">
        <v>60</v>
      </c>
      <c r="T646">
        <v>160</v>
      </c>
      <c r="U646">
        <v>220</v>
      </c>
      <c r="V646">
        <v>12</v>
      </c>
      <c r="W646">
        <v>80</v>
      </c>
      <c r="X646">
        <v>10</v>
      </c>
      <c r="Y646">
        <v>130</v>
      </c>
      <c r="Z646">
        <v>11</v>
      </c>
      <c r="AA646">
        <v>31</v>
      </c>
      <c r="AB646" t="s">
        <v>1624</v>
      </c>
    </row>
    <row r="647" spans="1:28" x14ac:dyDescent="0.3">
      <c r="A647">
        <v>969</v>
      </c>
      <c r="B647" t="s">
        <v>1465</v>
      </c>
      <c r="C647">
        <v>0</v>
      </c>
      <c r="D647">
        <v>1610612752</v>
      </c>
      <c r="E647" t="s">
        <v>1248</v>
      </c>
      <c r="F647">
        <v>260</v>
      </c>
      <c r="G647">
        <v>45</v>
      </c>
      <c r="H647">
        <v>0</v>
      </c>
      <c r="I647">
        <v>2550</v>
      </c>
      <c r="J647">
        <v>10</v>
      </c>
      <c r="K647">
        <v>53</v>
      </c>
      <c r="L647">
        <v>189</v>
      </c>
      <c r="M647">
        <v>0</v>
      </c>
      <c r="N647">
        <v>10</v>
      </c>
      <c r="O647">
        <v>0</v>
      </c>
      <c r="P647">
        <v>9</v>
      </c>
      <c r="Q647">
        <v>18</v>
      </c>
      <c r="R647">
        <v>5</v>
      </c>
      <c r="S647">
        <v>190</v>
      </c>
      <c r="T647">
        <v>340</v>
      </c>
      <c r="U647">
        <v>530</v>
      </c>
      <c r="V647">
        <v>5</v>
      </c>
      <c r="W647">
        <v>50</v>
      </c>
      <c r="X647">
        <v>110</v>
      </c>
      <c r="Y647">
        <v>100</v>
      </c>
      <c r="Z647">
        <v>47</v>
      </c>
      <c r="AA647">
        <v>29</v>
      </c>
      <c r="AB647" t="s">
        <v>1625</v>
      </c>
    </row>
    <row r="648" spans="1:28" x14ac:dyDescent="0.3">
      <c r="A648">
        <v>969</v>
      </c>
      <c r="B648" t="s">
        <v>1330</v>
      </c>
      <c r="C648">
        <v>0</v>
      </c>
      <c r="D648">
        <v>1610612752</v>
      </c>
      <c r="E648" t="s">
        <v>1248</v>
      </c>
      <c r="F648">
        <v>270</v>
      </c>
      <c r="G648">
        <v>49</v>
      </c>
      <c r="H648">
        <v>0</v>
      </c>
      <c r="I648">
        <v>4300</v>
      </c>
      <c r="J648">
        <v>41</v>
      </c>
      <c r="K648">
        <v>113</v>
      </c>
      <c r="L648">
        <v>363</v>
      </c>
      <c r="M648">
        <v>0</v>
      </c>
      <c r="N648">
        <v>0</v>
      </c>
      <c r="O648">
        <v>0</v>
      </c>
      <c r="P648">
        <v>16</v>
      </c>
      <c r="Q648">
        <v>21</v>
      </c>
      <c r="R648">
        <v>762</v>
      </c>
      <c r="S648">
        <v>480</v>
      </c>
      <c r="T648">
        <v>560</v>
      </c>
      <c r="U648">
        <v>1040</v>
      </c>
      <c r="V648">
        <v>8</v>
      </c>
      <c r="W648">
        <v>110</v>
      </c>
      <c r="X648">
        <v>100</v>
      </c>
      <c r="Y648">
        <v>270</v>
      </c>
      <c r="Z648">
        <v>95</v>
      </c>
      <c r="AA648">
        <v>98</v>
      </c>
      <c r="AB648" t="s">
        <v>1625</v>
      </c>
    </row>
    <row r="649" spans="1:28" x14ac:dyDescent="0.3">
      <c r="A649">
        <v>969</v>
      </c>
      <c r="B649" t="s">
        <v>1325</v>
      </c>
      <c r="C649">
        <v>0</v>
      </c>
      <c r="D649">
        <v>1610612752</v>
      </c>
      <c r="E649" t="s">
        <v>1248</v>
      </c>
      <c r="F649">
        <v>280</v>
      </c>
      <c r="G649">
        <v>32</v>
      </c>
      <c r="H649">
        <v>0</v>
      </c>
      <c r="I649">
        <v>2870</v>
      </c>
      <c r="J649">
        <v>25</v>
      </c>
      <c r="K649">
        <v>65</v>
      </c>
      <c r="L649">
        <v>385</v>
      </c>
      <c r="M649">
        <v>0</v>
      </c>
      <c r="N649">
        <v>10</v>
      </c>
      <c r="O649">
        <v>0</v>
      </c>
      <c r="P649">
        <v>10</v>
      </c>
      <c r="Q649">
        <v>13</v>
      </c>
      <c r="R649">
        <v>769</v>
      </c>
      <c r="S649">
        <v>180</v>
      </c>
      <c r="T649">
        <v>440</v>
      </c>
      <c r="U649">
        <v>620</v>
      </c>
      <c r="V649">
        <v>14</v>
      </c>
      <c r="W649">
        <v>80</v>
      </c>
      <c r="X649">
        <v>90</v>
      </c>
      <c r="Y649">
        <v>100</v>
      </c>
      <c r="Z649">
        <v>44</v>
      </c>
      <c r="AA649">
        <v>60</v>
      </c>
      <c r="AB649" t="s">
        <v>1625</v>
      </c>
    </row>
    <row r="650" spans="1:28" x14ac:dyDescent="0.3">
      <c r="A650">
        <v>76899</v>
      </c>
      <c r="B650" t="s">
        <v>1468</v>
      </c>
      <c r="C650">
        <v>0</v>
      </c>
      <c r="D650">
        <v>1610612752</v>
      </c>
      <c r="E650" t="s">
        <v>1248</v>
      </c>
      <c r="F650">
        <v>280</v>
      </c>
      <c r="G650">
        <v>77</v>
      </c>
      <c r="H650">
        <v>0</v>
      </c>
      <c r="I650">
        <v>14220</v>
      </c>
      <c r="J650">
        <v>167</v>
      </c>
      <c r="K650">
        <v>377</v>
      </c>
      <c r="L650">
        <v>443</v>
      </c>
      <c r="M650">
        <v>0</v>
      </c>
      <c r="N650">
        <v>40</v>
      </c>
      <c r="O650">
        <v>0</v>
      </c>
      <c r="P650">
        <v>81</v>
      </c>
      <c r="Q650">
        <v>98</v>
      </c>
      <c r="R650">
        <v>827</v>
      </c>
      <c r="S650">
        <v>420</v>
      </c>
      <c r="T650">
        <v>1210</v>
      </c>
      <c r="U650">
        <v>1630</v>
      </c>
      <c r="V650">
        <v>136</v>
      </c>
      <c r="W650">
        <v>400</v>
      </c>
      <c r="X650">
        <v>100</v>
      </c>
      <c r="Y650">
        <v>840</v>
      </c>
      <c r="Z650">
        <v>172</v>
      </c>
      <c r="AA650">
        <v>415</v>
      </c>
      <c r="AB650" t="s">
        <v>1626</v>
      </c>
    </row>
    <row r="651" spans="1:28" x14ac:dyDescent="0.3">
      <c r="A651">
        <v>76899</v>
      </c>
      <c r="B651" t="s">
        <v>1469</v>
      </c>
      <c r="C651">
        <v>0</v>
      </c>
      <c r="D651">
        <v>1610612752</v>
      </c>
      <c r="E651" t="s">
        <v>1248</v>
      </c>
      <c r="F651">
        <v>290</v>
      </c>
      <c r="G651">
        <v>76</v>
      </c>
      <c r="H651">
        <v>60</v>
      </c>
      <c r="I651">
        <v>11190</v>
      </c>
      <c r="J651">
        <v>166</v>
      </c>
      <c r="K651">
        <v>362</v>
      </c>
      <c r="L651">
        <v>459</v>
      </c>
      <c r="M651">
        <v>20</v>
      </c>
      <c r="N651">
        <v>90</v>
      </c>
      <c r="O651">
        <v>222</v>
      </c>
      <c r="P651">
        <v>64</v>
      </c>
      <c r="Q651">
        <v>83</v>
      </c>
      <c r="R651">
        <v>771</v>
      </c>
      <c r="S651">
        <v>240</v>
      </c>
      <c r="T651">
        <v>970</v>
      </c>
      <c r="U651">
        <v>1210</v>
      </c>
      <c r="V651">
        <v>108</v>
      </c>
      <c r="W651">
        <v>430</v>
      </c>
      <c r="X651">
        <v>70</v>
      </c>
      <c r="Y651">
        <v>710</v>
      </c>
      <c r="Z651">
        <v>151</v>
      </c>
      <c r="AA651">
        <v>398</v>
      </c>
      <c r="AB651" t="s">
        <v>1626</v>
      </c>
    </row>
    <row r="652" spans="1:28" x14ac:dyDescent="0.3">
      <c r="A652">
        <v>76899</v>
      </c>
      <c r="B652" t="s">
        <v>1406</v>
      </c>
      <c r="C652">
        <v>0</v>
      </c>
      <c r="D652">
        <v>1610612752</v>
      </c>
      <c r="E652" t="s">
        <v>1248</v>
      </c>
      <c r="F652">
        <v>300</v>
      </c>
      <c r="G652">
        <v>69</v>
      </c>
      <c r="H652">
        <v>0</v>
      </c>
      <c r="I652">
        <v>10610</v>
      </c>
      <c r="J652">
        <v>188</v>
      </c>
      <c r="K652">
        <v>384</v>
      </c>
      <c r="L652">
        <v>49</v>
      </c>
      <c r="M652">
        <v>20</v>
      </c>
      <c r="N652">
        <v>80</v>
      </c>
      <c r="O652">
        <v>25</v>
      </c>
      <c r="P652">
        <v>77</v>
      </c>
      <c r="Q652">
        <v>104</v>
      </c>
      <c r="R652">
        <v>74</v>
      </c>
      <c r="S652">
        <v>410</v>
      </c>
      <c r="T652">
        <v>1100</v>
      </c>
      <c r="U652">
        <v>1510</v>
      </c>
      <c r="V652">
        <v>105</v>
      </c>
      <c r="W652">
        <v>500</v>
      </c>
      <c r="X652">
        <v>70</v>
      </c>
      <c r="Y652">
        <v>400</v>
      </c>
      <c r="Z652">
        <v>129</v>
      </c>
      <c r="AA652">
        <v>455</v>
      </c>
      <c r="AB652" t="s">
        <v>1626</v>
      </c>
    </row>
    <row r="653" spans="1:28" x14ac:dyDescent="0.3">
      <c r="A653">
        <v>76899</v>
      </c>
      <c r="B653" t="s">
        <v>1392</v>
      </c>
      <c r="C653">
        <v>0</v>
      </c>
      <c r="D653">
        <v>1610612752</v>
      </c>
      <c r="E653" t="s">
        <v>1248</v>
      </c>
      <c r="F653">
        <v>310</v>
      </c>
      <c r="G653">
        <v>76</v>
      </c>
      <c r="H653">
        <v>0</v>
      </c>
      <c r="I653">
        <v>14020</v>
      </c>
      <c r="J653">
        <v>148</v>
      </c>
      <c r="K653">
        <v>355</v>
      </c>
      <c r="L653">
        <v>417</v>
      </c>
      <c r="M653">
        <v>260</v>
      </c>
      <c r="N653">
        <v>610</v>
      </c>
      <c r="O653">
        <v>426</v>
      </c>
      <c r="P653">
        <v>90</v>
      </c>
      <c r="Q653">
        <v>108</v>
      </c>
      <c r="R653">
        <v>833</v>
      </c>
      <c r="S653">
        <v>420</v>
      </c>
      <c r="T653">
        <v>1640</v>
      </c>
      <c r="U653">
        <v>2060</v>
      </c>
      <c r="V653">
        <v>119</v>
      </c>
      <c r="W653">
        <v>390</v>
      </c>
      <c r="X653">
        <v>130</v>
      </c>
      <c r="Y653">
        <v>500</v>
      </c>
      <c r="Z653">
        <v>192</v>
      </c>
      <c r="AA653">
        <v>412</v>
      </c>
      <c r="AB653" t="s">
        <v>1626</v>
      </c>
    </row>
    <row r="654" spans="1:28" x14ac:dyDescent="0.3">
      <c r="A654">
        <v>76553</v>
      </c>
      <c r="B654" t="s">
        <v>1359</v>
      </c>
      <c r="C654">
        <v>0</v>
      </c>
      <c r="D654">
        <v>1610612752</v>
      </c>
      <c r="E654" t="s">
        <v>1248</v>
      </c>
      <c r="F654">
        <v>230</v>
      </c>
      <c r="G654">
        <v>82</v>
      </c>
      <c r="I654">
        <v>18720</v>
      </c>
      <c r="J654">
        <v>230</v>
      </c>
      <c r="K654">
        <v>528</v>
      </c>
      <c r="L654">
        <v>436</v>
      </c>
      <c r="M654">
        <v>0</v>
      </c>
      <c r="N654">
        <v>0</v>
      </c>
      <c r="P654">
        <v>110</v>
      </c>
      <c r="Q654">
        <v>183</v>
      </c>
      <c r="R654">
        <v>601</v>
      </c>
      <c r="S654">
        <v>1950</v>
      </c>
      <c r="T654">
        <v>2880</v>
      </c>
      <c r="U654">
        <v>4830</v>
      </c>
      <c r="V654">
        <v>64</v>
      </c>
      <c r="W654">
        <v>560</v>
      </c>
      <c r="X654">
        <v>300</v>
      </c>
      <c r="Y654">
        <v>1680</v>
      </c>
      <c r="Z654">
        <v>306</v>
      </c>
      <c r="AA654">
        <v>570</v>
      </c>
      <c r="AB654" t="s">
        <v>1627</v>
      </c>
    </row>
    <row r="655" spans="1:28" x14ac:dyDescent="0.3">
      <c r="A655">
        <v>76553</v>
      </c>
      <c r="B655" t="s">
        <v>1282</v>
      </c>
      <c r="C655">
        <v>0</v>
      </c>
      <c r="D655">
        <v>1610612752</v>
      </c>
      <c r="E655" t="s">
        <v>1248</v>
      </c>
      <c r="F655">
        <v>240</v>
      </c>
      <c r="G655">
        <v>76</v>
      </c>
      <c r="I655">
        <v>9640</v>
      </c>
      <c r="J655">
        <v>128</v>
      </c>
      <c r="K655">
        <v>254</v>
      </c>
      <c r="L655">
        <v>504</v>
      </c>
      <c r="M655">
        <v>0</v>
      </c>
      <c r="N655">
        <v>20</v>
      </c>
      <c r="O655">
        <v>0</v>
      </c>
      <c r="P655">
        <v>58</v>
      </c>
      <c r="Q655">
        <v>92</v>
      </c>
      <c r="R655">
        <v>63</v>
      </c>
      <c r="S655">
        <v>1140</v>
      </c>
      <c r="T655">
        <v>1290</v>
      </c>
      <c r="U655">
        <v>2430</v>
      </c>
      <c r="V655">
        <v>28</v>
      </c>
      <c r="W655">
        <v>120</v>
      </c>
      <c r="X655">
        <v>130</v>
      </c>
      <c r="Y655">
        <v>580</v>
      </c>
      <c r="Z655">
        <v>153</v>
      </c>
      <c r="AA655">
        <v>314</v>
      </c>
      <c r="AB655" t="s">
        <v>1627</v>
      </c>
    </row>
    <row r="656" spans="1:28" x14ac:dyDescent="0.3">
      <c r="A656">
        <v>76553</v>
      </c>
      <c r="B656" t="s">
        <v>1284</v>
      </c>
      <c r="C656">
        <v>0</v>
      </c>
      <c r="D656">
        <v>1610612752</v>
      </c>
      <c r="E656" t="s">
        <v>1248</v>
      </c>
      <c r="F656">
        <v>250</v>
      </c>
      <c r="G656">
        <v>48</v>
      </c>
      <c r="H656">
        <v>0</v>
      </c>
      <c r="I656">
        <v>3560</v>
      </c>
      <c r="J656">
        <v>39</v>
      </c>
      <c r="K656">
        <v>83</v>
      </c>
      <c r="L656">
        <v>47</v>
      </c>
      <c r="M656">
        <v>0</v>
      </c>
      <c r="N656">
        <v>10</v>
      </c>
      <c r="O656">
        <v>0</v>
      </c>
      <c r="P656">
        <v>14</v>
      </c>
      <c r="Q656">
        <v>39</v>
      </c>
      <c r="R656">
        <v>359</v>
      </c>
      <c r="S656">
        <v>290</v>
      </c>
      <c r="T656">
        <v>500</v>
      </c>
      <c r="U656">
        <v>790</v>
      </c>
      <c r="V656">
        <v>14</v>
      </c>
      <c r="W656">
        <v>40</v>
      </c>
      <c r="X656">
        <v>60</v>
      </c>
      <c r="Y656">
        <v>260</v>
      </c>
      <c r="Z656">
        <v>65</v>
      </c>
      <c r="AA656">
        <v>92</v>
      </c>
      <c r="AB656" t="s">
        <v>1627</v>
      </c>
    </row>
    <row r="657" spans="1:28" x14ac:dyDescent="0.3">
      <c r="A657">
        <v>77929</v>
      </c>
      <c r="B657" t="s">
        <v>1258</v>
      </c>
      <c r="C657">
        <v>0</v>
      </c>
      <c r="D657">
        <v>1610612752</v>
      </c>
      <c r="E657" t="s">
        <v>1248</v>
      </c>
      <c r="F657">
        <v>230</v>
      </c>
      <c r="G657">
        <v>80</v>
      </c>
      <c r="I657">
        <v>30420</v>
      </c>
      <c r="J657">
        <v>629</v>
      </c>
      <c r="K657">
        <v>1457</v>
      </c>
      <c r="L657">
        <v>432</v>
      </c>
      <c r="P657">
        <v>302</v>
      </c>
      <c r="Q657">
        <v>407</v>
      </c>
      <c r="R657">
        <v>742</v>
      </c>
      <c r="U657">
        <v>11750</v>
      </c>
      <c r="V657">
        <v>133</v>
      </c>
      <c r="Z657">
        <v>339</v>
      </c>
      <c r="AA657">
        <v>1560</v>
      </c>
      <c r="AB657" t="s">
        <v>1628</v>
      </c>
    </row>
    <row r="658" spans="1:28" x14ac:dyDescent="0.3">
      <c r="A658">
        <v>77929</v>
      </c>
      <c r="B658" t="s">
        <v>1412</v>
      </c>
      <c r="C658">
        <v>0</v>
      </c>
      <c r="D658">
        <v>1610612752</v>
      </c>
      <c r="E658" t="s">
        <v>1248</v>
      </c>
      <c r="F658">
        <v>240</v>
      </c>
      <c r="G658">
        <v>76</v>
      </c>
      <c r="I658">
        <v>25370</v>
      </c>
      <c r="J658">
        <v>438</v>
      </c>
      <c r="K658">
        <v>1009</v>
      </c>
      <c r="L658">
        <v>434</v>
      </c>
      <c r="P658">
        <v>302</v>
      </c>
      <c r="Q658">
        <v>399</v>
      </c>
      <c r="R658">
        <v>757</v>
      </c>
      <c r="U658">
        <v>8830</v>
      </c>
      <c r="V658">
        <v>91</v>
      </c>
      <c r="Z658">
        <v>323</v>
      </c>
      <c r="AA658">
        <v>1178</v>
      </c>
      <c r="AB658" t="s">
        <v>1628</v>
      </c>
    </row>
    <row r="659" spans="1:28" x14ac:dyDescent="0.3">
      <c r="A659">
        <v>77929</v>
      </c>
      <c r="B659" t="s">
        <v>1360</v>
      </c>
      <c r="C659">
        <v>0</v>
      </c>
      <c r="D659">
        <v>1610612752</v>
      </c>
      <c r="E659" t="s">
        <v>1248</v>
      </c>
      <c r="F659">
        <v>250</v>
      </c>
      <c r="G659">
        <v>78</v>
      </c>
      <c r="I659">
        <v>28240</v>
      </c>
      <c r="J659">
        <v>635</v>
      </c>
      <c r="K659">
        <v>1298</v>
      </c>
      <c r="L659">
        <v>489</v>
      </c>
      <c r="P659">
        <v>358</v>
      </c>
      <c r="Q659">
        <v>487</v>
      </c>
      <c r="R659">
        <v>735</v>
      </c>
      <c r="U659">
        <v>11360</v>
      </c>
      <c r="V659">
        <v>126</v>
      </c>
      <c r="Z659">
        <v>293</v>
      </c>
      <c r="AA659">
        <v>1628</v>
      </c>
      <c r="AB659" t="s">
        <v>1628</v>
      </c>
    </row>
    <row r="660" spans="1:28" x14ac:dyDescent="0.3">
      <c r="A660">
        <v>77929</v>
      </c>
      <c r="B660" t="s">
        <v>1414</v>
      </c>
      <c r="C660">
        <v>0</v>
      </c>
      <c r="D660">
        <v>1610612752</v>
      </c>
      <c r="E660" t="s">
        <v>1248</v>
      </c>
      <c r="F660">
        <v>260</v>
      </c>
      <c r="G660">
        <v>81</v>
      </c>
      <c r="I660">
        <v>28790</v>
      </c>
      <c r="J660">
        <v>659</v>
      </c>
      <c r="K660">
        <v>1346</v>
      </c>
      <c r="L660">
        <v>49</v>
      </c>
      <c r="P660">
        <v>367</v>
      </c>
      <c r="Q660">
        <v>509</v>
      </c>
      <c r="R660">
        <v>721</v>
      </c>
      <c r="U660">
        <v>10730</v>
      </c>
      <c r="V660">
        <v>159</v>
      </c>
      <c r="Z660">
        <v>343</v>
      </c>
      <c r="AA660">
        <v>1685</v>
      </c>
      <c r="AB660" t="s">
        <v>1628</v>
      </c>
    </row>
    <row r="661" spans="1:28" x14ac:dyDescent="0.3">
      <c r="A661">
        <v>77929</v>
      </c>
      <c r="B661" t="s">
        <v>1415</v>
      </c>
      <c r="C661">
        <v>0</v>
      </c>
      <c r="D661">
        <v>1610612752</v>
      </c>
      <c r="E661" t="s">
        <v>1248</v>
      </c>
      <c r="F661">
        <v>270</v>
      </c>
      <c r="G661">
        <v>82</v>
      </c>
      <c r="I661">
        <v>31080</v>
      </c>
      <c r="J661">
        <v>704</v>
      </c>
      <c r="K661">
        <v>1351</v>
      </c>
      <c r="L661">
        <v>521</v>
      </c>
      <c r="P661">
        <v>325</v>
      </c>
      <c r="Q661">
        <v>435</v>
      </c>
      <c r="R661">
        <v>747</v>
      </c>
      <c r="U661">
        <v>11910</v>
      </c>
      <c r="V661">
        <v>190</v>
      </c>
      <c r="Z661">
        <v>314</v>
      </c>
      <c r="AA661">
        <v>1733</v>
      </c>
      <c r="AB661" t="s">
        <v>1628</v>
      </c>
    </row>
    <row r="662" spans="1:28" x14ac:dyDescent="0.3">
      <c r="A662">
        <v>77929</v>
      </c>
      <c r="B662" t="s">
        <v>1416</v>
      </c>
      <c r="C662">
        <v>0</v>
      </c>
      <c r="D662">
        <v>1610612752</v>
      </c>
      <c r="E662" t="s">
        <v>1248</v>
      </c>
      <c r="F662">
        <v>280</v>
      </c>
      <c r="G662">
        <v>81</v>
      </c>
      <c r="I662">
        <v>30890</v>
      </c>
      <c r="J662">
        <v>702</v>
      </c>
      <c r="K662">
        <v>1385</v>
      </c>
      <c r="L662">
        <v>507</v>
      </c>
      <c r="P662">
        <v>351</v>
      </c>
      <c r="Q662">
        <v>464</v>
      </c>
      <c r="R662">
        <v>756</v>
      </c>
      <c r="U662">
        <v>11260</v>
      </c>
      <c r="V662">
        <v>161</v>
      </c>
      <c r="Z662">
        <v>287</v>
      </c>
      <c r="AA662">
        <v>1755</v>
      </c>
      <c r="AB662" t="s">
        <v>1628</v>
      </c>
    </row>
    <row r="663" spans="1:28" x14ac:dyDescent="0.3">
      <c r="A663">
        <v>77929</v>
      </c>
      <c r="B663" t="s">
        <v>1417</v>
      </c>
      <c r="C663">
        <v>0</v>
      </c>
      <c r="D663">
        <v>1610612752</v>
      </c>
      <c r="E663" t="s">
        <v>1248</v>
      </c>
      <c r="F663">
        <v>290</v>
      </c>
      <c r="G663">
        <v>73</v>
      </c>
      <c r="I663">
        <v>28550</v>
      </c>
      <c r="J663">
        <v>614</v>
      </c>
      <c r="K663">
        <v>1330</v>
      </c>
      <c r="L663">
        <v>462</v>
      </c>
      <c r="P663">
        <v>299</v>
      </c>
      <c r="Q663">
        <v>381</v>
      </c>
      <c r="R663">
        <v>785</v>
      </c>
      <c r="U663">
        <v>10030</v>
      </c>
      <c r="V663">
        <v>148</v>
      </c>
      <c r="Z663">
        <v>228</v>
      </c>
      <c r="AA663">
        <v>1527</v>
      </c>
      <c r="AB663" t="s">
        <v>1628</v>
      </c>
    </row>
    <row r="664" spans="1:28" x14ac:dyDescent="0.3">
      <c r="A664">
        <v>77929</v>
      </c>
      <c r="B664" t="s">
        <v>1354</v>
      </c>
      <c r="C664">
        <v>0</v>
      </c>
      <c r="D664">
        <v>1610612752</v>
      </c>
      <c r="E664" t="s">
        <v>1248</v>
      </c>
      <c r="F664">
        <v>300</v>
      </c>
      <c r="G664">
        <v>11</v>
      </c>
      <c r="I664">
        <v>3630</v>
      </c>
      <c r="J664">
        <v>60</v>
      </c>
      <c r="K664">
        <v>137</v>
      </c>
      <c r="L664">
        <v>438</v>
      </c>
      <c r="P664">
        <v>27</v>
      </c>
      <c r="Q664">
        <v>39</v>
      </c>
      <c r="R664">
        <v>692</v>
      </c>
      <c r="U664">
        <v>960</v>
      </c>
      <c r="V664">
        <v>22</v>
      </c>
      <c r="Z664">
        <v>30</v>
      </c>
      <c r="AA664">
        <v>147</v>
      </c>
      <c r="AB664" t="s">
        <v>1628</v>
      </c>
    </row>
    <row r="665" spans="1:28" x14ac:dyDescent="0.3">
      <c r="A665">
        <v>77929</v>
      </c>
      <c r="B665" t="s">
        <v>1356</v>
      </c>
      <c r="C665">
        <v>0</v>
      </c>
      <c r="D665">
        <v>1610612752</v>
      </c>
      <c r="E665" t="s">
        <v>1248</v>
      </c>
      <c r="F665">
        <v>310</v>
      </c>
      <c r="G665">
        <v>69</v>
      </c>
      <c r="I665">
        <v>18760</v>
      </c>
      <c r="J665">
        <v>334</v>
      </c>
      <c r="K665">
        <v>705</v>
      </c>
      <c r="L665">
        <v>474</v>
      </c>
      <c r="P665">
        <v>92</v>
      </c>
      <c r="Q665">
        <v>124</v>
      </c>
      <c r="R665">
        <v>742</v>
      </c>
      <c r="U665">
        <v>5900</v>
      </c>
      <c r="V665">
        <v>126</v>
      </c>
      <c r="Z665">
        <v>205</v>
      </c>
      <c r="AA665">
        <v>760</v>
      </c>
      <c r="AB665" t="s">
        <v>1628</v>
      </c>
    </row>
    <row r="666" spans="1:28" x14ac:dyDescent="0.3">
      <c r="A666">
        <v>77929</v>
      </c>
      <c r="B666" t="s">
        <v>1357</v>
      </c>
      <c r="C666">
        <v>0</v>
      </c>
      <c r="D666">
        <v>1610612752</v>
      </c>
      <c r="E666" t="s">
        <v>1248</v>
      </c>
      <c r="F666">
        <v>320</v>
      </c>
      <c r="G666">
        <v>19</v>
      </c>
      <c r="I666">
        <v>5000</v>
      </c>
      <c r="J666">
        <v>84</v>
      </c>
      <c r="K666">
        <v>184</v>
      </c>
      <c r="L666">
        <v>457</v>
      </c>
      <c r="P666">
        <v>42</v>
      </c>
      <c r="Q666">
        <v>53</v>
      </c>
      <c r="R666">
        <v>792</v>
      </c>
      <c r="S666">
        <v>470</v>
      </c>
      <c r="T666">
        <v>940</v>
      </c>
      <c r="U666">
        <v>1410</v>
      </c>
      <c r="V666">
        <v>30</v>
      </c>
      <c r="W666">
        <v>120</v>
      </c>
      <c r="X666">
        <v>210</v>
      </c>
      <c r="Z666">
        <v>49</v>
      </c>
      <c r="AA666">
        <v>210</v>
      </c>
      <c r="AB666" t="s">
        <v>1628</v>
      </c>
    </row>
    <row r="667" spans="1:28" x14ac:dyDescent="0.3">
      <c r="A667">
        <v>77289</v>
      </c>
      <c r="B667" t="s">
        <v>1264</v>
      </c>
      <c r="C667">
        <v>0</v>
      </c>
      <c r="D667">
        <v>1610612752</v>
      </c>
      <c r="E667" t="s">
        <v>1248</v>
      </c>
      <c r="F667">
        <v>230</v>
      </c>
      <c r="G667">
        <v>80</v>
      </c>
      <c r="I667">
        <v>11690</v>
      </c>
      <c r="J667">
        <v>222</v>
      </c>
      <c r="K667">
        <v>465</v>
      </c>
      <c r="L667">
        <v>477</v>
      </c>
      <c r="P667">
        <v>63</v>
      </c>
      <c r="Q667">
        <v>97</v>
      </c>
      <c r="R667">
        <v>649</v>
      </c>
      <c r="S667">
        <v>1210</v>
      </c>
      <c r="T667">
        <v>2000</v>
      </c>
      <c r="U667">
        <v>3210</v>
      </c>
      <c r="V667">
        <v>38</v>
      </c>
      <c r="W667">
        <v>500</v>
      </c>
      <c r="X667">
        <v>280</v>
      </c>
      <c r="Y667">
        <v>970</v>
      </c>
      <c r="Z667">
        <v>211</v>
      </c>
      <c r="AA667">
        <v>507</v>
      </c>
      <c r="AB667" t="s">
        <v>1629</v>
      </c>
    </row>
    <row r="668" spans="1:28" x14ac:dyDescent="0.3">
      <c r="A668">
        <v>77289</v>
      </c>
      <c r="B668" t="s">
        <v>1265</v>
      </c>
      <c r="C668">
        <v>0</v>
      </c>
      <c r="D668">
        <v>1610612752</v>
      </c>
      <c r="E668" t="s">
        <v>1248</v>
      </c>
      <c r="F668">
        <v>240</v>
      </c>
      <c r="G668">
        <v>82</v>
      </c>
      <c r="I668">
        <v>26670</v>
      </c>
      <c r="J668">
        <v>609</v>
      </c>
      <c r="K668">
        <v>1174</v>
      </c>
      <c r="L668">
        <v>519</v>
      </c>
      <c r="P668">
        <v>145</v>
      </c>
      <c r="Q668">
        <v>206</v>
      </c>
      <c r="R668">
        <v>704</v>
      </c>
      <c r="S668">
        <v>2010</v>
      </c>
      <c r="T668">
        <v>3470</v>
      </c>
      <c r="U668">
        <v>5480</v>
      </c>
      <c r="V668">
        <v>124</v>
      </c>
      <c r="W668">
        <v>610</v>
      </c>
      <c r="X668">
        <v>600</v>
      </c>
      <c r="Y668">
        <v>1630</v>
      </c>
      <c r="Z668">
        <v>309</v>
      </c>
      <c r="AA668">
        <v>1363</v>
      </c>
      <c r="AB668" t="s">
        <v>1629</v>
      </c>
    </row>
    <row r="669" spans="1:28" x14ac:dyDescent="0.3">
      <c r="A669">
        <v>77289</v>
      </c>
      <c r="B669" t="s">
        <v>1359</v>
      </c>
      <c r="C669">
        <v>0</v>
      </c>
      <c r="D669">
        <v>1610612752</v>
      </c>
      <c r="E669" t="s">
        <v>1248</v>
      </c>
      <c r="F669">
        <v>250</v>
      </c>
      <c r="G669">
        <v>81</v>
      </c>
      <c r="I669">
        <v>29450</v>
      </c>
      <c r="J669">
        <v>669</v>
      </c>
      <c r="K669">
        <v>1265</v>
      </c>
      <c r="L669">
        <v>529</v>
      </c>
      <c r="M669">
        <v>0</v>
      </c>
      <c r="N669">
        <v>20</v>
      </c>
      <c r="O669">
        <v>0</v>
      </c>
      <c r="P669">
        <v>211</v>
      </c>
      <c r="Q669">
        <v>261</v>
      </c>
      <c r="R669">
        <v>808</v>
      </c>
      <c r="S669">
        <v>2010</v>
      </c>
      <c r="T669">
        <v>2920</v>
      </c>
      <c r="U669">
        <v>4930</v>
      </c>
      <c r="V669">
        <v>150</v>
      </c>
      <c r="W669">
        <v>1170</v>
      </c>
      <c r="X669">
        <v>860</v>
      </c>
      <c r="Y669">
        <v>1630</v>
      </c>
      <c r="Z669">
        <v>302</v>
      </c>
      <c r="AA669">
        <v>1549</v>
      </c>
      <c r="AB669" t="s">
        <v>1629</v>
      </c>
    </row>
    <row r="670" spans="1:28" x14ac:dyDescent="0.3">
      <c r="A670">
        <v>77289</v>
      </c>
      <c r="B670" t="s">
        <v>1284</v>
      </c>
      <c r="C670">
        <v>0</v>
      </c>
      <c r="D670">
        <v>1610612752</v>
      </c>
      <c r="E670" t="s">
        <v>1248</v>
      </c>
      <c r="F670">
        <v>270</v>
      </c>
      <c r="G670">
        <v>40</v>
      </c>
      <c r="H670">
        <v>0</v>
      </c>
      <c r="I670">
        <v>5500</v>
      </c>
      <c r="J670">
        <v>102</v>
      </c>
      <c r="K670">
        <v>183</v>
      </c>
      <c r="L670">
        <v>557</v>
      </c>
      <c r="M670">
        <v>0</v>
      </c>
      <c r="N670">
        <v>0</v>
      </c>
      <c r="P670">
        <v>17</v>
      </c>
      <c r="Q670">
        <v>25</v>
      </c>
      <c r="R670">
        <v>68</v>
      </c>
      <c r="S670">
        <v>330</v>
      </c>
      <c r="T670">
        <v>490</v>
      </c>
      <c r="U670">
        <v>820</v>
      </c>
      <c r="V670">
        <v>23</v>
      </c>
      <c r="W670">
        <v>140</v>
      </c>
      <c r="X670">
        <v>110</v>
      </c>
      <c r="Y670">
        <v>210</v>
      </c>
      <c r="Z670">
        <v>74</v>
      </c>
      <c r="AA670">
        <v>221</v>
      </c>
      <c r="AB670" t="s">
        <v>1629</v>
      </c>
    </row>
    <row r="671" spans="1:28" x14ac:dyDescent="0.3">
      <c r="A671">
        <v>1629656</v>
      </c>
      <c r="B671" t="s">
        <v>1308</v>
      </c>
      <c r="C671">
        <v>0</v>
      </c>
      <c r="D671">
        <v>1610612752</v>
      </c>
      <c r="E671" t="s">
        <v>1248</v>
      </c>
      <c r="F671">
        <v>220</v>
      </c>
      <c r="G671">
        <v>46</v>
      </c>
      <c r="H671">
        <v>60</v>
      </c>
      <c r="I671">
        <v>7860</v>
      </c>
      <c r="J671">
        <v>95</v>
      </c>
      <c r="K671">
        <v>235</v>
      </c>
      <c r="L671">
        <v>404</v>
      </c>
      <c r="M671">
        <v>720</v>
      </c>
      <c r="N671">
        <v>1890</v>
      </c>
      <c r="O671">
        <v>381</v>
      </c>
      <c r="P671">
        <v>13</v>
      </c>
      <c r="Q671">
        <v>19</v>
      </c>
      <c r="R671">
        <v>684</v>
      </c>
      <c r="S671">
        <v>240</v>
      </c>
      <c r="T671">
        <v>700</v>
      </c>
      <c r="U671">
        <v>940</v>
      </c>
      <c r="V671">
        <v>44</v>
      </c>
      <c r="W671">
        <v>310</v>
      </c>
      <c r="X671">
        <v>110</v>
      </c>
      <c r="Y671">
        <v>280</v>
      </c>
      <c r="Z671">
        <v>72</v>
      </c>
      <c r="AA671">
        <v>275</v>
      </c>
      <c r="AB671" t="s">
        <v>1630</v>
      </c>
    </row>
    <row r="672" spans="1:28" x14ac:dyDescent="0.3">
      <c r="A672">
        <v>1629656</v>
      </c>
      <c r="B672" t="s">
        <v>1327</v>
      </c>
      <c r="C672">
        <v>0</v>
      </c>
      <c r="D672">
        <v>1610612752</v>
      </c>
      <c r="E672" t="s">
        <v>1248</v>
      </c>
      <c r="F672">
        <v>230</v>
      </c>
      <c r="G672">
        <v>71</v>
      </c>
      <c r="H672">
        <v>660</v>
      </c>
      <c r="I672">
        <v>21210</v>
      </c>
      <c r="J672">
        <v>282</v>
      </c>
      <c r="K672">
        <v>602</v>
      </c>
      <c r="L672">
        <v>468</v>
      </c>
      <c r="M672">
        <v>1570</v>
      </c>
      <c r="N672">
        <v>4070</v>
      </c>
      <c r="O672">
        <v>386</v>
      </c>
      <c r="P672">
        <v>78</v>
      </c>
      <c r="Q672">
        <v>98</v>
      </c>
      <c r="R672">
        <v>796</v>
      </c>
      <c r="S672">
        <v>490</v>
      </c>
      <c r="T672">
        <v>1800</v>
      </c>
      <c r="U672">
        <v>2290</v>
      </c>
      <c r="V672">
        <v>150</v>
      </c>
      <c r="W672">
        <v>470</v>
      </c>
      <c r="X672">
        <v>260</v>
      </c>
      <c r="Y672">
        <v>690</v>
      </c>
      <c r="Z672">
        <v>177</v>
      </c>
      <c r="AA672">
        <v>799</v>
      </c>
      <c r="AB672" t="s">
        <v>1630</v>
      </c>
    </row>
    <row r="673" spans="1:28" x14ac:dyDescent="0.3">
      <c r="A673">
        <v>1629656</v>
      </c>
      <c r="B673" t="s">
        <v>1369</v>
      </c>
      <c r="C673">
        <v>0</v>
      </c>
      <c r="D673">
        <v>1610612752</v>
      </c>
      <c r="E673" t="s">
        <v>1248</v>
      </c>
      <c r="F673">
        <v>240</v>
      </c>
      <c r="G673">
        <v>45</v>
      </c>
      <c r="H673">
        <v>180</v>
      </c>
      <c r="I673">
        <v>9100</v>
      </c>
      <c r="J673">
        <v>113</v>
      </c>
      <c r="K673">
        <v>286</v>
      </c>
      <c r="L673">
        <v>395</v>
      </c>
      <c r="M673">
        <v>770</v>
      </c>
      <c r="N673">
        <v>2120</v>
      </c>
      <c r="O673">
        <v>363</v>
      </c>
      <c r="P673">
        <v>24</v>
      </c>
      <c r="Q673">
        <v>34</v>
      </c>
      <c r="R673">
        <v>706</v>
      </c>
      <c r="S673">
        <v>140</v>
      </c>
      <c r="T673">
        <v>740</v>
      </c>
      <c r="U673">
        <v>880</v>
      </c>
      <c r="V673">
        <v>52</v>
      </c>
      <c r="W673">
        <v>300</v>
      </c>
      <c r="X673">
        <v>30</v>
      </c>
      <c r="Y673">
        <v>210</v>
      </c>
      <c r="Z673">
        <v>66</v>
      </c>
      <c r="AA673">
        <v>327</v>
      </c>
      <c r="AB673" t="s">
        <v>1630</v>
      </c>
    </row>
    <row r="674" spans="1:28" x14ac:dyDescent="0.3">
      <c r="A674">
        <v>76545</v>
      </c>
      <c r="B674" t="s">
        <v>1415</v>
      </c>
      <c r="C674">
        <v>0</v>
      </c>
      <c r="D674">
        <v>1610612752</v>
      </c>
      <c r="E674" t="s">
        <v>1248</v>
      </c>
      <c r="F674">
        <v>280</v>
      </c>
      <c r="G674">
        <v>47</v>
      </c>
      <c r="I674">
        <v>18510</v>
      </c>
      <c r="J674">
        <v>317</v>
      </c>
      <c r="K674">
        <v>717</v>
      </c>
      <c r="L674">
        <v>442</v>
      </c>
      <c r="P674">
        <v>135</v>
      </c>
      <c r="Q674">
        <v>198</v>
      </c>
      <c r="R674">
        <v>682</v>
      </c>
      <c r="U674">
        <v>5350</v>
      </c>
      <c r="V674">
        <v>128</v>
      </c>
      <c r="Z674">
        <v>179</v>
      </c>
      <c r="AA674">
        <v>769</v>
      </c>
      <c r="AB674" t="s">
        <v>1631</v>
      </c>
    </row>
    <row r="675" spans="1:28" x14ac:dyDescent="0.3">
      <c r="A675">
        <v>76545</v>
      </c>
      <c r="B675" t="s">
        <v>1416</v>
      </c>
      <c r="C675">
        <v>0</v>
      </c>
      <c r="D675">
        <v>1610612752</v>
      </c>
      <c r="E675" t="s">
        <v>1248</v>
      </c>
      <c r="F675">
        <v>290</v>
      </c>
      <c r="G675">
        <v>79</v>
      </c>
      <c r="I675">
        <v>26270</v>
      </c>
      <c r="J675">
        <v>488</v>
      </c>
      <c r="K675">
        <v>1082</v>
      </c>
      <c r="L675">
        <v>451</v>
      </c>
      <c r="P675">
        <v>176</v>
      </c>
      <c r="Q675">
        <v>256</v>
      </c>
      <c r="R675">
        <v>688</v>
      </c>
      <c r="U675">
        <v>7900</v>
      </c>
      <c r="V675">
        <v>194</v>
      </c>
      <c r="Z675">
        <v>244</v>
      </c>
      <c r="AA675">
        <v>1152</v>
      </c>
      <c r="AB675" t="s">
        <v>1631</v>
      </c>
    </row>
    <row r="676" spans="1:28" x14ac:dyDescent="0.3">
      <c r="A676">
        <v>76545</v>
      </c>
      <c r="B676" t="s">
        <v>1417</v>
      </c>
      <c r="C676">
        <v>0</v>
      </c>
      <c r="D676">
        <v>1610612752</v>
      </c>
      <c r="E676" t="s">
        <v>1248</v>
      </c>
      <c r="F676">
        <v>300</v>
      </c>
      <c r="G676">
        <v>81</v>
      </c>
      <c r="I676">
        <v>28910</v>
      </c>
      <c r="J676">
        <v>523</v>
      </c>
      <c r="K676">
        <v>1243</v>
      </c>
      <c r="L676">
        <v>421</v>
      </c>
      <c r="P676">
        <v>217</v>
      </c>
      <c r="Q676">
        <v>312</v>
      </c>
      <c r="R676">
        <v>696</v>
      </c>
      <c r="U676">
        <v>9010</v>
      </c>
      <c r="V676">
        <v>220</v>
      </c>
      <c r="Z676">
        <v>237</v>
      </c>
      <c r="AA676">
        <v>1263</v>
      </c>
      <c r="AB676" t="s">
        <v>1631</v>
      </c>
    </row>
    <row r="677" spans="1:28" x14ac:dyDescent="0.3">
      <c r="A677">
        <v>76545</v>
      </c>
      <c r="B677" t="s">
        <v>1354</v>
      </c>
      <c r="C677">
        <v>0</v>
      </c>
      <c r="D677">
        <v>1610612752</v>
      </c>
      <c r="E677" t="s">
        <v>1248</v>
      </c>
      <c r="F677">
        <v>310</v>
      </c>
      <c r="G677">
        <v>80</v>
      </c>
      <c r="I677">
        <v>30720</v>
      </c>
      <c r="J677">
        <v>520</v>
      </c>
      <c r="K677">
        <v>1218</v>
      </c>
      <c r="L677">
        <v>427</v>
      </c>
      <c r="P677">
        <v>193</v>
      </c>
      <c r="Q677">
        <v>265</v>
      </c>
      <c r="R677">
        <v>728</v>
      </c>
      <c r="U677">
        <v>9010</v>
      </c>
      <c r="V677">
        <v>291</v>
      </c>
      <c r="Z677">
        <v>219</v>
      </c>
      <c r="AA677">
        <v>1233</v>
      </c>
      <c r="AB677" t="s">
        <v>1631</v>
      </c>
    </row>
    <row r="678" spans="1:28" x14ac:dyDescent="0.3">
      <c r="A678">
        <v>76545</v>
      </c>
      <c r="B678" t="s">
        <v>1356</v>
      </c>
      <c r="C678">
        <v>0</v>
      </c>
      <c r="D678">
        <v>1610612752</v>
      </c>
      <c r="E678" t="s">
        <v>1248</v>
      </c>
      <c r="F678">
        <v>320</v>
      </c>
      <c r="G678">
        <v>77</v>
      </c>
      <c r="I678">
        <v>28270</v>
      </c>
      <c r="J678">
        <v>532</v>
      </c>
      <c r="K678">
        <v>1224</v>
      </c>
      <c r="L678">
        <v>435</v>
      </c>
      <c r="P678">
        <v>194</v>
      </c>
      <c r="Q678">
        <v>260</v>
      </c>
      <c r="R678">
        <v>746</v>
      </c>
      <c r="U678">
        <v>7870</v>
      </c>
      <c r="V678">
        <v>259</v>
      </c>
      <c r="Z678">
        <v>215</v>
      </c>
      <c r="AA678">
        <v>1258</v>
      </c>
      <c r="AB678" t="s">
        <v>1631</v>
      </c>
    </row>
    <row r="679" spans="1:28" x14ac:dyDescent="0.3">
      <c r="A679">
        <v>76545</v>
      </c>
      <c r="B679" t="s">
        <v>1357</v>
      </c>
      <c r="C679">
        <v>0</v>
      </c>
      <c r="D679">
        <v>1610612752</v>
      </c>
      <c r="E679" t="s">
        <v>1248</v>
      </c>
      <c r="F679">
        <v>330</v>
      </c>
      <c r="G679">
        <v>71</v>
      </c>
      <c r="I679">
        <v>26990</v>
      </c>
      <c r="J679">
        <v>559</v>
      </c>
      <c r="K679">
        <v>1212</v>
      </c>
      <c r="L679">
        <v>461</v>
      </c>
      <c r="P679">
        <v>164</v>
      </c>
      <c r="Q679">
        <v>217</v>
      </c>
      <c r="R679">
        <v>756</v>
      </c>
      <c r="S679">
        <v>1340</v>
      </c>
      <c r="T679">
        <v>6230</v>
      </c>
      <c r="U679">
        <v>7570</v>
      </c>
      <c r="V679">
        <v>253</v>
      </c>
      <c r="W679">
        <v>670</v>
      </c>
      <c r="X679">
        <v>390</v>
      </c>
      <c r="Z679">
        <v>222</v>
      </c>
      <c r="AA679">
        <v>1282</v>
      </c>
      <c r="AB679" t="s">
        <v>1631</v>
      </c>
    </row>
    <row r="680" spans="1:28" x14ac:dyDescent="0.3">
      <c r="A680">
        <v>1000</v>
      </c>
      <c r="B680" t="s">
        <v>1330</v>
      </c>
      <c r="C680">
        <v>0</v>
      </c>
      <c r="D680">
        <v>1610612752</v>
      </c>
      <c r="E680" t="s">
        <v>1248</v>
      </c>
      <c r="F680">
        <v>280</v>
      </c>
      <c r="G680">
        <v>82</v>
      </c>
      <c r="H680">
        <v>60</v>
      </c>
      <c r="I680">
        <v>15960</v>
      </c>
      <c r="J680">
        <v>149</v>
      </c>
      <c r="K680">
        <v>373</v>
      </c>
      <c r="L680">
        <v>399</v>
      </c>
      <c r="M680">
        <v>390</v>
      </c>
      <c r="N680">
        <v>1410</v>
      </c>
      <c r="O680">
        <v>277</v>
      </c>
      <c r="P680">
        <v>74</v>
      </c>
      <c r="Q680">
        <v>107</v>
      </c>
      <c r="R680">
        <v>692</v>
      </c>
      <c r="S680">
        <v>570</v>
      </c>
      <c r="T680">
        <v>1920</v>
      </c>
      <c r="U680">
        <v>2490</v>
      </c>
      <c r="V680">
        <v>76</v>
      </c>
      <c r="W680">
        <v>480</v>
      </c>
      <c r="X680">
        <v>150</v>
      </c>
      <c r="Y680">
        <v>970</v>
      </c>
      <c r="Z680">
        <v>134</v>
      </c>
      <c r="AA680">
        <v>411</v>
      </c>
      <c r="AB680" t="s">
        <v>1632</v>
      </c>
    </row>
    <row r="681" spans="1:28" x14ac:dyDescent="0.3">
      <c r="A681">
        <v>1000</v>
      </c>
      <c r="B681" t="s">
        <v>1325</v>
      </c>
      <c r="C681">
        <v>0</v>
      </c>
      <c r="D681">
        <v>1610612752</v>
      </c>
      <c r="E681" t="s">
        <v>1248</v>
      </c>
      <c r="F681">
        <v>290</v>
      </c>
      <c r="G681">
        <v>82</v>
      </c>
      <c r="H681">
        <v>90</v>
      </c>
      <c r="I681">
        <v>17290</v>
      </c>
      <c r="J681">
        <v>248</v>
      </c>
      <c r="K681">
        <v>537</v>
      </c>
      <c r="L681">
        <v>462</v>
      </c>
      <c r="M681">
        <v>520</v>
      </c>
      <c r="N681">
        <v>1400</v>
      </c>
      <c r="O681">
        <v>371</v>
      </c>
      <c r="P681">
        <v>139</v>
      </c>
      <c r="Q681">
        <v>190</v>
      </c>
      <c r="R681">
        <v>732</v>
      </c>
      <c r="S681">
        <v>640</v>
      </c>
      <c r="T681">
        <v>1900</v>
      </c>
      <c r="U681">
        <v>2540</v>
      </c>
      <c r="V681">
        <v>87</v>
      </c>
      <c r="W681">
        <v>730</v>
      </c>
      <c r="X681">
        <v>200</v>
      </c>
      <c r="Y681">
        <v>1140</v>
      </c>
      <c r="Z681">
        <v>177</v>
      </c>
      <c r="AA681">
        <v>687</v>
      </c>
      <c r="AB681" t="s">
        <v>1632</v>
      </c>
    </row>
    <row r="682" spans="1:28" x14ac:dyDescent="0.3">
      <c r="A682">
        <v>1000</v>
      </c>
      <c r="B682" t="s">
        <v>1293</v>
      </c>
      <c r="C682">
        <v>0</v>
      </c>
      <c r="D682">
        <v>1610612752</v>
      </c>
      <c r="E682" t="s">
        <v>1248</v>
      </c>
      <c r="F682">
        <v>300</v>
      </c>
      <c r="G682">
        <v>80</v>
      </c>
      <c r="H682">
        <v>370</v>
      </c>
      <c r="I682">
        <v>19720</v>
      </c>
      <c r="J682">
        <v>238</v>
      </c>
      <c r="K682">
        <v>564</v>
      </c>
      <c r="L682">
        <v>422</v>
      </c>
      <c r="M682">
        <v>360</v>
      </c>
      <c r="N682">
        <v>1280</v>
      </c>
      <c r="O682">
        <v>281</v>
      </c>
      <c r="P682">
        <v>123</v>
      </c>
      <c r="Q682">
        <v>161</v>
      </c>
      <c r="R682">
        <v>764</v>
      </c>
      <c r="S682">
        <v>530</v>
      </c>
      <c r="T682">
        <v>1690</v>
      </c>
      <c r="U682">
        <v>2220</v>
      </c>
      <c r="V682">
        <v>122</v>
      </c>
      <c r="W682">
        <v>680</v>
      </c>
      <c r="X682">
        <v>170</v>
      </c>
      <c r="Y682">
        <v>1180</v>
      </c>
      <c r="Z682">
        <v>182</v>
      </c>
      <c r="AA682">
        <v>635</v>
      </c>
      <c r="AB682" t="s">
        <v>1632</v>
      </c>
    </row>
    <row r="683" spans="1:28" x14ac:dyDescent="0.3">
      <c r="A683">
        <v>1000</v>
      </c>
      <c r="B683" t="s">
        <v>1295</v>
      </c>
      <c r="C683">
        <v>0</v>
      </c>
      <c r="D683">
        <v>1610612752</v>
      </c>
      <c r="E683" t="s">
        <v>1248</v>
      </c>
      <c r="F683">
        <v>310</v>
      </c>
      <c r="G683">
        <v>1</v>
      </c>
      <c r="H683">
        <v>0</v>
      </c>
      <c r="I683">
        <v>200</v>
      </c>
      <c r="J683">
        <v>0</v>
      </c>
      <c r="K683">
        <v>2</v>
      </c>
      <c r="L683">
        <v>0</v>
      </c>
      <c r="M683">
        <v>0</v>
      </c>
      <c r="N683">
        <v>10</v>
      </c>
      <c r="O683">
        <v>0</v>
      </c>
      <c r="P683">
        <v>0</v>
      </c>
      <c r="Q683">
        <v>0</v>
      </c>
      <c r="R683">
        <v>0</v>
      </c>
      <c r="S683">
        <v>10</v>
      </c>
      <c r="T683">
        <v>0</v>
      </c>
      <c r="U683">
        <v>10</v>
      </c>
      <c r="V683">
        <v>0</v>
      </c>
      <c r="W683">
        <v>0</v>
      </c>
      <c r="X683">
        <v>0</v>
      </c>
      <c r="Y683">
        <v>10</v>
      </c>
      <c r="Z683">
        <v>2</v>
      </c>
      <c r="AA683">
        <v>0</v>
      </c>
      <c r="AB683" t="s">
        <v>1632</v>
      </c>
    </row>
    <row r="684" spans="1:28" x14ac:dyDescent="0.3">
      <c r="A684">
        <v>76245</v>
      </c>
      <c r="B684" t="s">
        <v>1250</v>
      </c>
      <c r="C684">
        <v>0</v>
      </c>
      <c r="D684">
        <v>1610612752</v>
      </c>
      <c r="E684" t="s">
        <v>1248</v>
      </c>
      <c r="F684">
        <v>220</v>
      </c>
      <c r="G684">
        <v>16</v>
      </c>
      <c r="I684">
        <v>1360</v>
      </c>
      <c r="J684">
        <v>13</v>
      </c>
      <c r="K684">
        <v>43</v>
      </c>
      <c r="L684">
        <v>302</v>
      </c>
      <c r="P684">
        <v>14</v>
      </c>
      <c r="Q684">
        <v>25</v>
      </c>
      <c r="R684">
        <v>56</v>
      </c>
      <c r="U684">
        <v>310</v>
      </c>
      <c r="V684">
        <v>6</v>
      </c>
      <c r="Z684">
        <v>15</v>
      </c>
      <c r="AA684">
        <v>40</v>
      </c>
      <c r="AB684" t="s">
        <v>1633</v>
      </c>
    </row>
    <row r="685" spans="1:28" x14ac:dyDescent="0.3">
      <c r="A685">
        <v>78216</v>
      </c>
      <c r="B685" t="s">
        <v>1318</v>
      </c>
      <c r="C685">
        <v>0</v>
      </c>
      <c r="D685">
        <v>1610612752</v>
      </c>
      <c r="E685" t="s">
        <v>1248</v>
      </c>
      <c r="F685">
        <v>220</v>
      </c>
      <c r="G685">
        <v>71</v>
      </c>
      <c r="I685">
        <v>13780</v>
      </c>
      <c r="J685">
        <v>166</v>
      </c>
      <c r="K685">
        <v>442</v>
      </c>
      <c r="L685">
        <v>376</v>
      </c>
      <c r="P685">
        <v>152</v>
      </c>
      <c r="Q685">
        <v>199</v>
      </c>
      <c r="R685">
        <v>764</v>
      </c>
      <c r="U685">
        <v>3260</v>
      </c>
      <c r="V685">
        <v>129</v>
      </c>
      <c r="Z685">
        <v>158</v>
      </c>
      <c r="AA685">
        <v>484</v>
      </c>
      <c r="AB685" t="s">
        <v>1634</v>
      </c>
    </row>
    <row r="686" spans="1:28" x14ac:dyDescent="0.3">
      <c r="A686">
        <v>78216</v>
      </c>
      <c r="B686" t="s">
        <v>1320</v>
      </c>
      <c r="C686">
        <v>0</v>
      </c>
      <c r="D686">
        <v>1610612752</v>
      </c>
      <c r="E686" t="s">
        <v>1248</v>
      </c>
      <c r="F686">
        <v>230</v>
      </c>
      <c r="G686">
        <v>55</v>
      </c>
      <c r="I686">
        <v>13990</v>
      </c>
      <c r="J686">
        <v>217</v>
      </c>
      <c r="K686">
        <v>539</v>
      </c>
      <c r="L686">
        <v>403</v>
      </c>
      <c r="P686">
        <v>196</v>
      </c>
      <c r="Q686">
        <v>239</v>
      </c>
      <c r="R686">
        <v>82</v>
      </c>
      <c r="U686">
        <v>2630</v>
      </c>
      <c r="V686">
        <v>125</v>
      </c>
      <c r="Z686">
        <v>147</v>
      </c>
      <c r="AA686">
        <v>630</v>
      </c>
      <c r="AB686" t="s">
        <v>1634</v>
      </c>
    </row>
    <row r="687" spans="1:28" x14ac:dyDescent="0.3">
      <c r="A687">
        <v>78216</v>
      </c>
      <c r="B687" t="s">
        <v>1250</v>
      </c>
      <c r="C687">
        <v>0</v>
      </c>
      <c r="D687">
        <v>1610612752</v>
      </c>
      <c r="E687" t="s">
        <v>1248</v>
      </c>
      <c r="F687">
        <v>240</v>
      </c>
      <c r="G687">
        <v>50</v>
      </c>
      <c r="I687">
        <v>8570</v>
      </c>
      <c r="J687">
        <v>144</v>
      </c>
      <c r="K687">
        <v>400</v>
      </c>
      <c r="L687">
        <v>36</v>
      </c>
      <c r="P687">
        <v>112</v>
      </c>
      <c r="Q687">
        <v>133</v>
      </c>
      <c r="R687">
        <v>842</v>
      </c>
      <c r="U687">
        <v>1540</v>
      </c>
      <c r="V687">
        <v>78</v>
      </c>
      <c r="Z687">
        <v>84</v>
      </c>
      <c r="AA687">
        <v>400</v>
      </c>
      <c r="AB687" t="s">
        <v>1634</v>
      </c>
    </row>
    <row r="688" spans="1:28" x14ac:dyDescent="0.3">
      <c r="A688">
        <v>78216</v>
      </c>
      <c r="B688" t="s">
        <v>1321</v>
      </c>
      <c r="C688">
        <v>0</v>
      </c>
      <c r="D688">
        <v>1610612752</v>
      </c>
      <c r="E688" t="s">
        <v>1248</v>
      </c>
      <c r="F688">
        <v>250</v>
      </c>
      <c r="G688">
        <v>16</v>
      </c>
      <c r="I688">
        <v>2340</v>
      </c>
      <c r="J688">
        <v>37</v>
      </c>
      <c r="K688">
        <v>108</v>
      </c>
      <c r="L688">
        <v>343</v>
      </c>
      <c r="P688">
        <v>31</v>
      </c>
      <c r="Q688">
        <v>37</v>
      </c>
      <c r="R688">
        <v>838</v>
      </c>
      <c r="U688">
        <v>480</v>
      </c>
      <c r="V688">
        <v>21</v>
      </c>
      <c r="Z688">
        <v>32</v>
      </c>
      <c r="AA688">
        <v>105</v>
      </c>
      <c r="AB688" t="s">
        <v>1634</v>
      </c>
    </row>
    <row r="689" spans="1:28" x14ac:dyDescent="0.3">
      <c r="A689">
        <v>78136</v>
      </c>
      <c r="B689" t="s">
        <v>1468</v>
      </c>
      <c r="C689">
        <v>0</v>
      </c>
      <c r="D689">
        <v>1610612752</v>
      </c>
      <c r="E689" t="s">
        <v>1248</v>
      </c>
      <c r="F689">
        <v>230</v>
      </c>
      <c r="G689">
        <v>64</v>
      </c>
      <c r="H689">
        <v>370</v>
      </c>
      <c r="I689">
        <v>16240</v>
      </c>
      <c r="J689">
        <v>171</v>
      </c>
      <c r="K689">
        <v>421</v>
      </c>
      <c r="L689">
        <v>406</v>
      </c>
      <c r="M689">
        <v>10</v>
      </c>
      <c r="N689">
        <v>130</v>
      </c>
      <c r="O689">
        <v>77</v>
      </c>
      <c r="P689">
        <v>52</v>
      </c>
      <c r="Q689">
        <v>80</v>
      </c>
      <c r="R689">
        <v>65</v>
      </c>
      <c r="S689">
        <v>430</v>
      </c>
      <c r="T689">
        <v>1060</v>
      </c>
      <c r="U689">
        <v>1490</v>
      </c>
      <c r="V689">
        <v>311</v>
      </c>
      <c r="W689">
        <v>960</v>
      </c>
      <c r="X689">
        <v>140</v>
      </c>
      <c r="Y689">
        <v>1040</v>
      </c>
      <c r="Z689">
        <v>112</v>
      </c>
      <c r="AA689">
        <v>395</v>
      </c>
      <c r="AB689" t="s">
        <v>1635</v>
      </c>
    </row>
    <row r="690" spans="1:28" x14ac:dyDescent="0.3">
      <c r="A690">
        <v>1629649</v>
      </c>
      <c r="B690" t="s">
        <v>1288</v>
      </c>
      <c r="C690">
        <v>0</v>
      </c>
      <c r="D690">
        <v>1610612752</v>
      </c>
      <c r="E690" t="s">
        <v>1248</v>
      </c>
      <c r="F690">
        <v>210</v>
      </c>
      <c r="G690">
        <v>9</v>
      </c>
      <c r="H690">
        <v>0</v>
      </c>
      <c r="I690">
        <v>530</v>
      </c>
      <c r="J690">
        <v>6</v>
      </c>
      <c r="K690">
        <v>22</v>
      </c>
      <c r="L690">
        <v>273</v>
      </c>
      <c r="M690">
        <v>10</v>
      </c>
      <c r="N690">
        <v>90</v>
      </c>
      <c r="O690">
        <v>111</v>
      </c>
      <c r="P690">
        <v>4</v>
      </c>
      <c r="Q690">
        <v>5</v>
      </c>
      <c r="R690">
        <v>8</v>
      </c>
      <c r="S690">
        <v>20</v>
      </c>
      <c r="T690">
        <v>30</v>
      </c>
      <c r="U690">
        <v>50</v>
      </c>
      <c r="V690">
        <v>4</v>
      </c>
      <c r="W690">
        <v>0</v>
      </c>
      <c r="X690">
        <v>10</v>
      </c>
      <c r="Y690">
        <v>20</v>
      </c>
      <c r="Z690">
        <v>3</v>
      </c>
      <c r="AA690">
        <v>17</v>
      </c>
      <c r="AB690" t="s">
        <v>1636</v>
      </c>
    </row>
    <row r="691" spans="1:28" x14ac:dyDescent="0.3">
      <c r="A691">
        <v>1629649</v>
      </c>
      <c r="B691" t="s">
        <v>1289</v>
      </c>
      <c r="C691">
        <v>0</v>
      </c>
      <c r="D691">
        <v>1610612752</v>
      </c>
      <c r="E691" t="s">
        <v>1248</v>
      </c>
      <c r="F691">
        <v>220</v>
      </c>
      <c r="G691">
        <v>4</v>
      </c>
      <c r="H691">
        <v>0</v>
      </c>
      <c r="I691">
        <v>70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2</v>
      </c>
      <c r="Q691">
        <v>2</v>
      </c>
      <c r="R691">
        <v>10</v>
      </c>
      <c r="S691">
        <v>10</v>
      </c>
      <c r="T691">
        <v>10</v>
      </c>
      <c r="U691">
        <v>20</v>
      </c>
      <c r="V691">
        <v>1</v>
      </c>
      <c r="W691">
        <v>0</v>
      </c>
      <c r="X691">
        <v>0</v>
      </c>
      <c r="Y691">
        <v>10</v>
      </c>
      <c r="Z691">
        <v>0</v>
      </c>
      <c r="AA691">
        <v>2</v>
      </c>
      <c r="AB691" t="s">
        <v>1636</v>
      </c>
    </row>
    <row r="692" spans="1:28" x14ac:dyDescent="0.3">
      <c r="A692">
        <v>77789</v>
      </c>
      <c r="B692" t="s">
        <v>1274</v>
      </c>
      <c r="C692">
        <v>0</v>
      </c>
      <c r="D692">
        <v>1610612752</v>
      </c>
      <c r="E692" t="s">
        <v>1248</v>
      </c>
      <c r="F692">
        <v>290</v>
      </c>
      <c r="G692">
        <v>3</v>
      </c>
      <c r="H692">
        <v>0</v>
      </c>
      <c r="I692">
        <v>80</v>
      </c>
      <c r="J692">
        <v>2</v>
      </c>
      <c r="K692">
        <v>5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</v>
      </c>
      <c r="AA692">
        <v>4</v>
      </c>
      <c r="AB692" t="s">
        <v>1637</v>
      </c>
    </row>
    <row r="693" spans="1:28" x14ac:dyDescent="0.3">
      <c r="A693">
        <v>77287</v>
      </c>
      <c r="B693" t="s">
        <v>1362</v>
      </c>
      <c r="C693">
        <v>0</v>
      </c>
      <c r="D693">
        <v>1610612752</v>
      </c>
      <c r="E693" t="s">
        <v>1248</v>
      </c>
      <c r="F693">
        <v>500</v>
      </c>
      <c r="G693">
        <v>2</v>
      </c>
      <c r="I693">
        <v>290</v>
      </c>
      <c r="J693">
        <v>3</v>
      </c>
      <c r="K693">
        <v>7</v>
      </c>
      <c r="L693">
        <v>429</v>
      </c>
      <c r="P693">
        <v>1</v>
      </c>
      <c r="Q693">
        <v>1</v>
      </c>
      <c r="R693">
        <v>10</v>
      </c>
      <c r="U693">
        <v>10</v>
      </c>
      <c r="V693">
        <v>8</v>
      </c>
      <c r="Z693">
        <v>6</v>
      </c>
      <c r="AA693">
        <v>7</v>
      </c>
      <c r="AB693" t="s">
        <v>1638</v>
      </c>
    </row>
    <row r="694" spans="1:28" x14ac:dyDescent="0.3">
      <c r="A694">
        <v>76891</v>
      </c>
      <c r="B694" t="s">
        <v>1362</v>
      </c>
      <c r="C694">
        <v>0</v>
      </c>
      <c r="D694">
        <v>1610612752</v>
      </c>
      <c r="E694" t="s">
        <v>1248</v>
      </c>
      <c r="F694">
        <v>260</v>
      </c>
      <c r="G694">
        <v>7</v>
      </c>
      <c r="I694">
        <v>450</v>
      </c>
      <c r="J694">
        <v>7</v>
      </c>
      <c r="K694">
        <v>19</v>
      </c>
      <c r="L694">
        <v>368</v>
      </c>
      <c r="P694">
        <v>2</v>
      </c>
      <c r="Q694">
        <v>8</v>
      </c>
      <c r="R694">
        <v>25</v>
      </c>
      <c r="U694">
        <v>110</v>
      </c>
      <c r="V694">
        <v>7</v>
      </c>
      <c r="Z694">
        <v>9</v>
      </c>
      <c r="AA694">
        <v>16</v>
      </c>
      <c r="AB694" t="s">
        <v>1639</v>
      </c>
    </row>
    <row r="695" spans="1:28" x14ac:dyDescent="0.3">
      <c r="A695">
        <v>76530</v>
      </c>
      <c r="B695" t="s">
        <v>1468</v>
      </c>
      <c r="C695">
        <v>0</v>
      </c>
      <c r="D695">
        <v>1610612752</v>
      </c>
      <c r="E695" t="s">
        <v>1248</v>
      </c>
      <c r="F695">
        <v>260</v>
      </c>
      <c r="G695">
        <v>8</v>
      </c>
      <c r="H695">
        <v>0</v>
      </c>
      <c r="I695">
        <v>280</v>
      </c>
      <c r="J695">
        <v>4</v>
      </c>
      <c r="K695">
        <v>10</v>
      </c>
      <c r="L695">
        <v>4</v>
      </c>
      <c r="M695">
        <v>0</v>
      </c>
      <c r="N695">
        <v>0</v>
      </c>
      <c r="O695">
        <v>0</v>
      </c>
      <c r="P695">
        <v>6</v>
      </c>
      <c r="Q695">
        <v>10</v>
      </c>
      <c r="R695">
        <v>6</v>
      </c>
      <c r="S695">
        <v>30</v>
      </c>
      <c r="T695">
        <v>70</v>
      </c>
      <c r="U695">
        <v>100</v>
      </c>
      <c r="V695">
        <v>0</v>
      </c>
      <c r="W695">
        <v>0</v>
      </c>
      <c r="X695">
        <v>40</v>
      </c>
      <c r="Y695">
        <v>0</v>
      </c>
      <c r="Z695">
        <v>4</v>
      </c>
      <c r="AA695">
        <v>14</v>
      </c>
      <c r="AB695" t="s">
        <v>1640</v>
      </c>
    </row>
    <row r="696" spans="1:28" x14ac:dyDescent="0.3">
      <c r="A696">
        <v>77906</v>
      </c>
      <c r="B696" t="s">
        <v>1321</v>
      </c>
      <c r="C696">
        <v>0</v>
      </c>
      <c r="D696">
        <v>1610612752</v>
      </c>
      <c r="E696" t="s">
        <v>1248</v>
      </c>
      <c r="F696">
        <v>220</v>
      </c>
      <c r="G696">
        <v>11</v>
      </c>
      <c r="I696">
        <v>1950</v>
      </c>
      <c r="J696">
        <v>39</v>
      </c>
      <c r="K696">
        <v>96</v>
      </c>
      <c r="L696">
        <v>406</v>
      </c>
      <c r="P696">
        <v>19</v>
      </c>
      <c r="Q696">
        <v>33</v>
      </c>
      <c r="R696">
        <v>576</v>
      </c>
      <c r="U696">
        <v>660</v>
      </c>
      <c r="V696">
        <v>9</v>
      </c>
      <c r="Z696">
        <v>25</v>
      </c>
      <c r="AA696">
        <v>97</v>
      </c>
      <c r="AB696" t="s">
        <v>1641</v>
      </c>
    </row>
    <row r="697" spans="1:28" x14ac:dyDescent="0.3">
      <c r="A697">
        <v>77770</v>
      </c>
      <c r="B697" t="s">
        <v>1468</v>
      </c>
      <c r="C697">
        <v>0</v>
      </c>
      <c r="D697">
        <v>1610612752</v>
      </c>
      <c r="E697" t="s">
        <v>1248</v>
      </c>
      <c r="F697">
        <v>250</v>
      </c>
      <c r="G697">
        <v>82</v>
      </c>
      <c r="H697">
        <v>140</v>
      </c>
      <c r="I697">
        <v>16660</v>
      </c>
      <c r="J697">
        <v>274</v>
      </c>
      <c r="K697">
        <v>593</v>
      </c>
      <c r="L697">
        <v>462</v>
      </c>
      <c r="M697">
        <v>0</v>
      </c>
      <c r="N697">
        <v>20</v>
      </c>
      <c r="O697">
        <v>0</v>
      </c>
      <c r="P697">
        <v>140</v>
      </c>
      <c r="Q697">
        <v>175</v>
      </c>
      <c r="R697">
        <v>8</v>
      </c>
      <c r="S697">
        <v>940</v>
      </c>
      <c r="T697">
        <v>1340</v>
      </c>
      <c r="U697">
        <v>2280</v>
      </c>
      <c r="V697">
        <v>94</v>
      </c>
      <c r="W697">
        <v>640</v>
      </c>
      <c r="X697">
        <v>240</v>
      </c>
      <c r="Y697">
        <v>930</v>
      </c>
      <c r="Z697">
        <v>134</v>
      </c>
      <c r="AA697">
        <v>688</v>
      </c>
      <c r="AB697" t="s">
        <v>1642</v>
      </c>
    </row>
    <row r="698" spans="1:28" x14ac:dyDescent="0.3">
      <c r="A698">
        <v>77770</v>
      </c>
      <c r="B698" t="s">
        <v>1469</v>
      </c>
      <c r="C698">
        <v>0</v>
      </c>
      <c r="D698">
        <v>1610612752</v>
      </c>
      <c r="E698" t="s">
        <v>1248</v>
      </c>
      <c r="F698">
        <v>260</v>
      </c>
      <c r="G698">
        <v>78</v>
      </c>
      <c r="H698">
        <v>200</v>
      </c>
      <c r="I698">
        <v>16400</v>
      </c>
      <c r="J698">
        <v>262</v>
      </c>
      <c r="K698">
        <v>572</v>
      </c>
      <c r="L698">
        <v>458</v>
      </c>
      <c r="M698">
        <v>0</v>
      </c>
      <c r="N698">
        <v>0</v>
      </c>
      <c r="O698">
        <v>0</v>
      </c>
      <c r="P698">
        <v>173</v>
      </c>
      <c r="Q698">
        <v>211</v>
      </c>
      <c r="R698">
        <v>82</v>
      </c>
      <c r="S698">
        <v>1010</v>
      </c>
      <c r="T698">
        <v>1270</v>
      </c>
      <c r="U698">
        <v>2280</v>
      </c>
      <c r="V698">
        <v>61</v>
      </c>
      <c r="W698">
        <v>660</v>
      </c>
      <c r="X698">
        <v>170</v>
      </c>
      <c r="Y698">
        <v>950</v>
      </c>
      <c r="Z698">
        <v>142</v>
      </c>
      <c r="AA698">
        <v>697</v>
      </c>
      <c r="AB698" t="s">
        <v>1642</v>
      </c>
    </row>
    <row r="699" spans="1:28" x14ac:dyDescent="0.3">
      <c r="A699">
        <v>77770</v>
      </c>
      <c r="B699" t="s">
        <v>1406</v>
      </c>
      <c r="C699">
        <v>0</v>
      </c>
      <c r="D699">
        <v>1610612752</v>
      </c>
      <c r="E699" t="s">
        <v>1248</v>
      </c>
      <c r="F699">
        <v>270</v>
      </c>
      <c r="G699">
        <v>79</v>
      </c>
      <c r="H699">
        <v>310</v>
      </c>
      <c r="I699">
        <v>24520</v>
      </c>
      <c r="J699">
        <v>372</v>
      </c>
      <c r="K699">
        <v>766</v>
      </c>
      <c r="L699">
        <v>486</v>
      </c>
      <c r="M699">
        <v>10</v>
      </c>
      <c r="N699">
        <v>100</v>
      </c>
      <c r="O699">
        <v>1</v>
      </c>
      <c r="P699">
        <v>262</v>
      </c>
      <c r="Q699">
        <v>334</v>
      </c>
      <c r="R699">
        <v>784</v>
      </c>
      <c r="S699">
        <v>1710</v>
      </c>
      <c r="T699">
        <v>2200</v>
      </c>
      <c r="U699">
        <v>3910</v>
      </c>
      <c r="V699">
        <v>134</v>
      </c>
      <c r="W699">
        <v>1000</v>
      </c>
      <c r="X699">
        <v>270</v>
      </c>
      <c r="Y699">
        <v>1380</v>
      </c>
      <c r="Z699">
        <v>195</v>
      </c>
      <c r="AA699">
        <v>1007</v>
      </c>
      <c r="AB699" t="s">
        <v>1642</v>
      </c>
    </row>
    <row r="700" spans="1:28" x14ac:dyDescent="0.3">
      <c r="A700">
        <v>77770</v>
      </c>
      <c r="B700" t="s">
        <v>1392</v>
      </c>
      <c r="C700">
        <v>0</v>
      </c>
      <c r="D700">
        <v>1610612752</v>
      </c>
      <c r="E700" t="s">
        <v>1248</v>
      </c>
      <c r="F700">
        <v>280</v>
      </c>
      <c r="G700">
        <v>74</v>
      </c>
      <c r="H700">
        <v>640</v>
      </c>
      <c r="I700">
        <v>22370</v>
      </c>
      <c r="J700">
        <v>330</v>
      </c>
      <c r="K700">
        <v>741</v>
      </c>
      <c r="L700">
        <v>445</v>
      </c>
      <c r="M700">
        <v>0</v>
      </c>
      <c r="N700">
        <v>40</v>
      </c>
      <c r="O700">
        <v>0</v>
      </c>
      <c r="P700">
        <v>218</v>
      </c>
      <c r="Q700">
        <v>278</v>
      </c>
      <c r="R700">
        <v>784</v>
      </c>
      <c r="S700">
        <v>1230</v>
      </c>
      <c r="T700">
        <v>1890</v>
      </c>
      <c r="U700">
        <v>3120</v>
      </c>
      <c r="V700">
        <v>179</v>
      </c>
      <c r="W700">
        <v>610</v>
      </c>
      <c r="X700">
        <v>260</v>
      </c>
      <c r="Y700">
        <v>1180</v>
      </c>
      <c r="Z700">
        <v>177</v>
      </c>
      <c r="AA700">
        <v>878</v>
      </c>
      <c r="AB700" t="s">
        <v>1642</v>
      </c>
    </row>
    <row r="701" spans="1:28" x14ac:dyDescent="0.3">
      <c r="A701">
        <v>77770</v>
      </c>
      <c r="B701" t="s">
        <v>1394</v>
      </c>
      <c r="C701">
        <v>0</v>
      </c>
      <c r="D701">
        <v>1610612752</v>
      </c>
      <c r="E701" t="s">
        <v>1248</v>
      </c>
      <c r="F701">
        <v>290</v>
      </c>
      <c r="G701">
        <v>65</v>
      </c>
      <c r="H701">
        <v>80</v>
      </c>
      <c r="I701">
        <v>14400</v>
      </c>
      <c r="J701">
        <v>166</v>
      </c>
      <c r="K701">
        <v>389</v>
      </c>
      <c r="L701">
        <v>427</v>
      </c>
      <c r="M701">
        <v>10</v>
      </c>
      <c r="N701">
        <v>50</v>
      </c>
      <c r="O701">
        <v>2</v>
      </c>
      <c r="P701">
        <v>125</v>
      </c>
      <c r="Q701">
        <v>172</v>
      </c>
      <c r="R701">
        <v>727</v>
      </c>
      <c r="S701">
        <v>1020</v>
      </c>
      <c r="T701">
        <v>1300</v>
      </c>
      <c r="U701">
        <v>2320</v>
      </c>
      <c r="V701">
        <v>110</v>
      </c>
      <c r="W701">
        <v>470</v>
      </c>
      <c r="X701">
        <v>180</v>
      </c>
      <c r="Y701">
        <v>700</v>
      </c>
      <c r="Z701">
        <v>123</v>
      </c>
      <c r="AA701">
        <v>458</v>
      </c>
      <c r="AB701" t="s">
        <v>1642</v>
      </c>
    </row>
    <row r="702" spans="1:28" x14ac:dyDescent="0.3">
      <c r="A702">
        <v>77770</v>
      </c>
      <c r="B702" t="s">
        <v>1253</v>
      </c>
      <c r="C702">
        <v>0</v>
      </c>
      <c r="D702">
        <v>1610612752</v>
      </c>
      <c r="E702" t="s">
        <v>1248</v>
      </c>
      <c r="F702">
        <v>300</v>
      </c>
      <c r="G702">
        <v>29</v>
      </c>
      <c r="H702">
        <v>0</v>
      </c>
      <c r="I702">
        <v>1800</v>
      </c>
      <c r="J702">
        <v>16</v>
      </c>
      <c r="K702">
        <v>50</v>
      </c>
      <c r="L702">
        <v>32</v>
      </c>
      <c r="M702">
        <v>0</v>
      </c>
      <c r="N702">
        <v>10</v>
      </c>
      <c r="O702">
        <v>0</v>
      </c>
      <c r="P702">
        <v>8</v>
      </c>
      <c r="Q702">
        <v>16</v>
      </c>
      <c r="R702">
        <v>5</v>
      </c>
      <c r="S702">
        <v>130</v>
      </c>
      <c r="T702">
        <v>210</v>
      </c>
      <c r="U702">
        <v>340</v>
      </c>
      <c r="V702">
        <v>9</v>
      </c>
      <c r="W702">
        <v>60</v>
      </c>
      <c r="X702">
        <v>0</v>
      </c>
      <c r="Y702">
        <v>140</v>
      </c>
      <c r="Z702">
        <v>27</v>
      </c>
      <c r="AA702">
        <v>40</v>
      </c>
      <c r="AB702" t="s">
        <v>1642</v>
      </c>
    </row>
    <row r="703" spans="1:28" x14ac:dyDescent="0.3">
      <c r="A703">
        <v>293</v>
      </c>
      <c r="B703" t="s">
        <v>1273</v>
      </c>
      <c r="C703">
        <v>0</v>
      </c>
      <c r="D703">
        <v>1610612752</v>
      </c>
      <c r="E703" t="s">
        <v>1248</v>
      </c>
      <c r="F703">
        <v>270</v>
      </c>
      <c r="G703">
        <v>81</v>
      </c>
      <c r="H703">
        <v>680</v>
      </c>
      <c r="I703">
        <v>21720</v>
      </c>
      <c r="J703">
        <v>358</v>
      </c>
      <c r="K703">
        <v>764</v>
      </c>
      <c r="L703">
        <v>469</v>
      </c>
      <c r="M703">
        <v>0</v>
      </c>
      <c r="N703">
        <v>20</v>
      </c>
      <c r="O703">
        <v>0</v>
      </c>
      <c r="P703">
        <v>287</v>
      </c>
      <c r="Q703">
        <v>367</v>
      </c>
      <c r="R703">
        <v>782</v>
      </c>
      <c r="S703">
        <v>1700</v>
      </c>
      <c r="T703">
        <v>2620</v>
      </c>
      <c r="U703">
        <v>4320</v>
      </c>
      <c r="V703">
        <v>142</v>
      </c>
      <c r="W703">
        <v>480</v>
      </c>
      <c r="X703">
        <v>960</v>
      </c>
      <c r="Y703">
        <v>1550</v>
      </c>
      <c r="Z703">
        <v>254</v>
      </c>
      <c r="AA703">
        <v>1003</v>
      </c>
      <c r="AB703" t="s">
        <v>1643</v>
      </c>
    </row>
    <row r="704" spans="1:28" x14ac:dyDescent="0.3">
      <c r="A704">
        <v>293</v>
      </c>
      <c r="B704" t="s">
        <v>1274</v>
      </c>
      <c r="C704">
        <v>0</v>
      </c>
      <c r="D704">
        <v>1610612752</v>
      </c>
      <c r="E704" t="s">
        <v>1248</v>
      </c>
      <c r="F704">
        <v>280</v>
      </c>
      <c r="G704">
        <v>43</v>
      </c>
      <c r="H704">
        <v>210</v>
      </c>
      <c r="I704">
        <v>11050</v>
      </c>
      <c r="J704">
        <v>176</v>
      </c>
      <c r="K704">
        <v>397</v>
      </c>
      <c r="L704">
        <v>443</v>
      </c>
      <c r="M704">
        <v>80</v>
      </c>
      <c r="N704">
        <v>160</v>
      </c>
      <c r="O704">
        <v>5</v>
      </c>
      <c r="P704">
        <v>87</v>
      </c>
      <c r="Q704">
        <v>121</v>
      </c>
      <c r="R704">
        <v>719</v>
      </c>
      <c r="S704">
        <v>660</v>
      </c>
      <c r="T704">
        <v>990</v>
      </c>
      <c r="U704">
        <v>1650</v>
      </c>
      <c r="V704">
        <v>50</v>
      </c>
      <c r="W704">
        <v>260</v>
      </c>
      <c r="X704">
        <v>450</v>
      </c>
      <c r="Y704">
        <v>640</v>
      </c>
      <c r="Z704">
        <v>144</v>
      </c>
      <c r="AA704">
        <v>447</v>
      </c>
      <c r="AB704" t="s">
        <v>1643</v>
      </c>
    </row>
    <row r="705" spans="1:28" x14ac:dyDescent="0.3">
      <c r="A705">
        <v>293</v>
      </c>
      <c r="B705" t="s">
        <v>1275</v>
      </c>
      <c r="C705">
        <v>0</v>
      </c>
      <c r="D705">
        <v>1610612752</v>
      </c>
      <c r="E705" t="s">
        <v>1248</v>
      </c>
      <c r="F705">
        <v>290</v>
      </c>
      <c r="G705">
        <v>76</v>
      </c>
      <c r="H705">
        <v>580</v>
      </c>
      <c r="I705">
        <v>21500</v>
      </c>
      <c r="J705">
        <v>352</v>
      </c>
      <c r="K705">
        <v>747</v>
      </c>
      <c r="L705">
        <v>471</v>
      </c>
      <c r="M705">
        <v>70</v>
      </c>
      <c r="N705">
        <v>310</v>
      </c>
      <c r="O705">
        <v>226</v>
      </c>
      <c r="P705">
        <v>255</v>
      </c>
      <c r="Q705">
        <v>322</v>
      </c>
      <c r="R705">
        <v>792</v>
      </c>
      <c r="S705">
        <v>1440</v>
      </c>
      <c r="T705">
        <v>1800</v>
      </c>
      <c r="U705">
        <v>3240</v>
      </c>
      <c r="V705">
        <v>120</v>
      </c>
      <c r="W705">
        <v>490</v>
      </c>
      <c r="X705">
        <v>950</v>
      </c>
      <c r="Y705">
        <v>1470</v>
      </c>
      <c r="Z705">
        <v>286</v>
      </c>
      <c r="AA705">
        <v>966</v>
      </c>
      <c r="AB705" t="s">
        <v>1643</v>
      </c>
    </row>
    <row r="706" spans="1:28" x14ac:dyDescent="0.3">
      <c r="A706">
        <v>293</v>
      </c>
      <c r="B706" t="s">
        <v>1276</v>
      </c>
      <c r="C706">
        <v>0</v>
      </c>
      <c r="D706">
        <v>1610612752</v>
      </c>
      <c r="E706" t="s">
        <v>1248</v>
      </c>
      <c r="F706">
        <v>300</v>
      </c>
      <c r="G706">
        <v>41</v>
      </c>
      <c r="H706">
        <v>40</v>
      </c>
      <c r="I706">
        <v>8900</v>
      </c>
      <c r="J706">
        <v>114</v>
      </c>
      <c r="K706">
        <v>294</v>
      </c>
      <c r="L706">
        <v>388</v>
      </c>
      <c r="M706">
        <v>20</v>
      </c>
      <c r="N706">
        <v>150</v>
      </c>
      <c r="O706">
        <v>133</v>
      </c>
      <c r="P706">
        <v>73</v>
      </c>
      <c r="Q706">
        <v>103</v>
      </c>
      <c r="R706">
        <v>709</v>
      </c>
      <c r="S706">
        <v>590</v>
      </c>
      <c r="T706">
        <v>1010</v>
      </c>
      <c r="U706">
        <v>1600</v>
      </c>
      <c r="V706">
        <v>29</v>
      </c>
      <c r="W706">
        <v>180</v>
      </c>
      <c r="X706">
        <v>510</v>
      </c>
      <c r="Y706">
        <v>610</v>
      </c>
      <c r="Z706">
        <v>124</v>
      </c>
      <c r="AA706">
        <v>303</v>
      </c>
      <c r="AB706" t="s">
        <v>1643</v>
      </c>
    </row>
    <row r="707" spans="1:28" x14ac:dyDescent="0.3">
      <c r="A707">
        <v>1123</v>
      </c>
      <c r="B707" t="s">
        <v>1275</v>
      </c>
      <c r="C707">
        <v>0</v>
      </c>
      <c r="D707">
        <v>1610612752</v>
      </c>
      <c r="E707" t="s">
        <v>1248</v>
      </c>
      <c r="F707">
        <v>330</v>
      </c>
      <c r="G707">
        <v>2</v>
      </c>
      <c r="H707">
        <v>0</v>
      </c>
      <c r="I707">
        <v>160</v>
      </c>
      <c r="J707">
        <v>0</v>
      </c>
      <c r="K707">
        <v>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20</v>
      </c>
      <c r="T707">
        <v>20</v>
      </c>
      <c r="U707">
        <v>40</v>
      </c>
      <c r="V707">
        <v>0</v>
      </c>
      <c r="W707">
        <v>0</v>
      </c>
      <c r="X707">
        <v>0</v>
      </c>
      <c r="Y707">
        <v>10</v>
      </c>
      <c r="Z707">
        <v>2</v>
      </c>
      <c r="AA707">
        <v>0</v>
      </c>
      <c r="AB707" t="s">
        <v>1644</v>
      </c>
    </row>
    <row r="708" spans="1:28" x14ac:dyDescent="0.3">
      <c r="A708">
        <v>76876</v>
      </c>
      <c r="B708" t="s">
        <v>1253</v>
      </c>
      <c r="C708">
        <v>0</v>
      </c>
      <c r="D708">
        <v>1610612752</v>
      </c>
      <c r="E708" t="s">
        <v>1248</v>
      </c>
      <c r="F708">
        <v>270</v>
      </c>
      <c r="G708">
        <v>82</v>
      </c>
      <c r="H708">
        <v>650</v>
      </c>
      <c r="I708">
        <v>20490</v>
      </c>
      <c r="J708">
        <v>258</v>
      </c>
      <c r="K708">
        <v>585</v>
      </c>
      <c r="L708">
        <v>441</v>
      </c>
      <c r="M708">
        <v>0</v>
      </c>
      <c r="N708">
        <v>20</v>
      </c>
      <c r="O708">
        <v>0</v>
      </c>
      <c r="P708">
        <v>126</v>
      </c>
      <c r="Q708">
        <v>190</v>
      </c>
      <c r="R708">
        <v>663</v>
      </c>
      <c r="S708">
        <v>2210</v>
      </c>
      <c r="T708">
        <v>4210</v>
      </c>
      <c r="U708">
        <v>6420</v>
      </c>
      <c r="V708">
        <v>93</v>
      </c>
      <c r="W708">
        <v>650</v>
      </c>
      <c r="X708">
        <v>320</v>
      </c>
      <c r="Y708">
        <v>1480</v>
      </c>
      <c r="Z708">
        <v>318</v>
      </c>
      <c r="AA708">
        <v>642</v>
      </c>
      <c r="AB708" t="s">
        <v>1645</v>
      </c>
    </row>
    <row r="709" spans="1:28" x14ac:dyDescent="0.3">
      <c r="A709">
        <v>76876</v>
      </c>
      <c r="B709" t="s">
        <v>1268</v>
      </c>
      <c r="C709">
        <v>0</v>
      </c>
      <c r="D709">
        <v>1610612752</v>
      </c>
      <c r="E709" t="s">
        <v>1248</v>
      </c>
      <c r="F709">
        <v>280</v>
      </c>
      <c r="G709">
        <v>82</v>
      </c>
      <c r="H709">
        <v>0</v>
      </c>
      <c r="I709">
        <v>12770</v>
      </c>
      <c r="J709">
        <v>194</v>
      </c>
      <c r="K709">
        <v>422</v>
      </c>
      <c r="L709">
        <v>46</v>
      </c>
      <c r="M709">
        <v>0</v>
      </c>
      <c r="N709">
        <v>30</v>
      </c>
      <c r="O709">
        <v>0</v>
      </c>
      <c r="P709">
        <v>129</v>
      </c>
      <c r="Q709">
        <v>170</v>
      </c>
      <c r="R709">
        <v>759</v>
      </c>
      <c r="S709">
        <v>1570</v>
      </c>
      <c r="T709">
        <v>2370</v>
      </c>
      <c r="U709">
        <v>3940</v>
      </c>
      <c r="V709">
        <v>76</v>
      </c>
      <c r="W709">
        <v>470</v>
      </c>
      <c r="X709">
        <v>180</v>
      </c>
      <c r="Y709">
        <v>1250</v>
      </c>
      <c r="Z709">
        <v>172</v>
      </c>
      <c r="AA709">
        <v>517</v>
      </c>
      <c r="AB709" t="s">
        <v>1645</v>
      </c>
    </row>
    <row r="710" spans="1:28" x14ac:dyDescent="0.3">
      <c r="A710">
        <v>76529</v>
      </c>
      <c r="B710" t="s">
        <v>1357</v>
      </c>
      <c r="C710">
        <v>0</v>
      </c>
      <c r="D710">
        <v>1610612752</v>
      </c>
      <c r="E710" t="s">
        <v>1248</v>
      </c>
      <c r="F710">
        <v>230</v>
      </c>
      <c r="G710">
        <v>30</v>
      </c>
      <c r="I710">
        <v>1670</v>
      </c>
      <c r="J710">
        <v>33</v>
      </c>
      <c r="K710">
        <v>95</v>
      </c>
      <c r="L710">
        <v>347</v>
      </c>
      <c r="P710">
        <v>12</v>
      </c>
      <c r="Q710">
        <v>16</v>
      </c>
      <c r="R710">
        <v>75</v>
      </c>
      <c r="S710">
        <v>170</v>
      </c>
      <c r="T710">
        <v>370</v>
      </c>
      <c r="U710">
        <v>540</v>
      </c>
      <c r="V710">
        <v>8</v>
      </c>
      <c r="W710">
        <v>30</v>
      </c>
      <c r="X710">
        <v>40</v>
      </c>
      <c r="Z710">
        <v>36</v>
      </c>
      <c r="AA710">
        <v>78</v>
      </c>
      <c r="AB710" t="s">
        <v>1646</v>
      </c>
    </row>
    <row r="711" spans="1:28" x14ac:dyDescent="0.3">
      <c r="A711">
        <v>76529</v>
      </c>
      <c r="B711" t="s">
        <v>1358</v>
      </c>
      <c r="C711">
        <v>0</v>
      </c>
      <c r="D711">
        <v>1610612752</v>
      </c>
      <c r="E711" t="s">
        <v>1248</v>
      </c>
      <c r="F711">
        <v>240</v>
      </c>
      <c r="G711">
        <v>62</v>
      </c>
      <c r="I711">
        <v>9030</v>
      </c>
      <c r="J711">
        <v>154</v>
      </c>
      <c r="K711">
        <v>395</v>
      </c>
      <c r="L711">
        <v>39</v>
      </c>
      <c r="P711">
        <v>48</v>
      </c>
      <c r="Q711">
        <v>70</v>
      </c>
      <c r="R711">
        <v>686</v>
      </c>
      <c r="S711">
        <v>700</v>
      </c>
      <c r="T711">
        <v>2510</v>
      </c>
      <c r="U711">
        <v>3210</v>
      </c>
      <c r="V711">
        <v>54</v>
      </c>
      <c r="W711">
        <v>160</v>
      </c>
      <c r="X711">
        <v>80</v>
      </c>
      <c r="Z711">
        <v>105</v>
      </c>
      <c r="AA711">
        <v>356</v>
      </c>
      <c r="AB711" t="s">
        <v>1646</v>
      </c>
    </row>
    <row r="712" spans="1:28" x14ac:dyDescent="0.3">
      <c r="A712">
        <v>76529</v>
      </c>
      <c r="B712" t="s">
        <v>1261</v>
      </c>
      <c r="C712">
        <v>0</v>
      </c>
      <c r="D712">
        <v>1610612752</v>
      </c>
      <c r="E712" t="s">
        <v>1248</v>
      </c>
      <c r="F712">
        <v>250</v>
      </c>
      <c r="G712">
        <v>42</v>
      </c>
      <c r="I712">
        <v>4080</v>
      </c>
      <c r="J712">
        <v>76</v>
      </c>
      <c r="K712">
        <v>193</v>
      </c>
      <c r="L712">
        <v>394</v>
      </c>
      <c r="P712">
        <v>22</v>
      </c>
      <c r="Q712">
        <v>29</v>
      </c>
      <c r="R712">
        <v>759</v>
      </c>
      <c r="S712">
        <v>430</v>
      </c>
      <c r="T712">
        <v>1050</v>
      </c>
      <c r="U712">
        <v>1480</v>
      </c>
      <c r="V712">
        <v>31</v>
      </c>
      <c r="W712">
        <v>160</v>
      </c>
      <c r="X712">
        <v>50</v>
      </c>
      <c r="Z712">
        <v>56</v>
      </c>
      <c r="AA712">
        <v>174</v>
      </c>
      <c r="AB712" t="s">
        <v>1646</v>
      </c>
    </row>
    <row r="713" spans="1:28" x14ac:dyDescent="0.3">
      <c r="A713">
        <v>76529</v>
      </c>
      <c r="B713" t="s">
        <v>1263</v>
      </c>
      <c r="C713">
        <v>0</v>
      </c>
      <c r="D713">
        <v>1610612752</v>
      </c>
      <c r="E713" t="s">
        <v>1248</v>
      </c>
      <c r="F713">
        <v>260</v>
      </c>
      <c r="G713">
        <v>22</v>
      </c>
      <c r="I713">
        <v>3420</v>
      </c>
      <c r="J713">
        <v>41</v>
      </c>
      <c r="K713">
        <v>110</v>
      </c>
      <c r="L713">
        <v>373</v>
      </c>
      <c r="P713">
        <v>22</v>
      </c>
      <c r="Q713">
        <v>31</v>
      </c>
      <c r="R713">
        <v>71</v>
      </c>
      <c r="S713">
        <v>300</v>
      </c>
      <c r="T713">
        <v>700</v>
      </c>
      <c r="U713">
        <v>1000</v>
      </c>
      <c r="V713">
        <v>24</v>
      </c>
      <c r="W713">
        <v>90</v>
      </c>
      <c r="X713">
        <v>10</v>
      </c>
      <c r="Z713">
        <v>45</v>
      </c>
      <c r="AA713">
        <v>104</v>
      </c>
      <c r="AB713" t="s">
        <v>1646</v>
      </c>
    </row>
    <row r="714" spans="1:28" x14ac:dyDescent="0.3">
      <c r="A714">
        <v>78141</v>
      </c>
      <c r="B714" t="s">
        <v>1299</v>
      </c>
      <c r="C714">
        <v>0</v>
      </c>
      <c r="D714">
        <v>1610612752</v>
      </c>
      <c r="E714" t="s">
        <v>1248</v>
      </c>
      <c r="F714">
        <v>260</v>
      </c>
      <c r="G714">
        <v>4</v>
      </c>
      <c r="J714">
        <v>0</v>
      </c>
      <c r="K714">
        <v>0</v>
      </c>
      <c r="P714">
        <v>1</v>
      </c>
      <c r="Q714">
        <v>3</v>
      </c>
      <c r="R714">
        <v>333</v>
      </c>
      <c r="V714">
        <v>2</v>
      </c>
      <c r="Z714">
        <v>2</v>
      </c>
      <c r="AA714">
        <v>1</v>
      </c>
      <c r="AB714" t="s">
        <v>1647</v>
      </c>
    </row>
    <row r="715" spans="1:28" x14ac:dyDescent="0.3">
      <c r="A715">
        <v>1627850</v>
      </c>
      <c r="B715" t="s">
        <v>1281</v>
      </c>
      <c r="C715">
        <v>0</v>
      </c>
      <c r="D715">
        <v>1610612752</v>
      </c>
      <c r="E715" t="s">
        <v>1248</v>
      </c>
      <c r="F715">
        <v>240</v>
      </c>
      <c r="G715">
        <v>21</v>
      </c>
      <c r="H715">
        <v>10</v>
      </c>
      <c r="I715">
        <v>1700</v>
      </c>
      <c r="J715">
        <v>16</v>
      </c>
      <c r="K715">
        <v>30</v>
      </c>
      <c r="L715">
        <v>533</v>
      </c>
      <c r="M715">
        <v>0</v>
      </c>
      <c r="N715">
        <v>0</v>
      </c>
      <c r="O715">
        <v>0</v>
      </c>
      <c r="P715">
        <v>8</v>
      </c>
      <c r="Q715">
        <v>19</v>
      </c>
      <c r="R715">
        <v>421</v>
      </c>
      <c r="S715">
        <v>230</v>
      </c>
      <c r="T715">
        <v>280</v>
      </c>
      <c r="U715">
        <v>510</v>
      </c>
      <c r="V715">
        <v>10</v>
      </c>
      <c r="W715">
        <v>40</v>
      </c>
      <c r="X715">
        <v>40</v>
      </c>
      <c r="Y715">
        <v>120</v>
      </c>
      <c r="Z715">
        <v>23</v>
      </c>
      <c r="AA715">
        <v>40</v>
      </c>
      <c r="AB715" t="s">
        <v>1648</v>
      </c>
    </row>
    <row r="716" spans="1:28" x14ac:dyDescent="0.3">
      <c r="A716">
        <v>77279</v>
      </c>
      <c r="B716" t="s">
        <v>1323</v>
      </c>
      <c r="C716">
        <v>0</v>
      </c>
      <c r="D716">
        <v>1610612752</v>
      </c>
      <c r="E716" t="s">
        <v>1248</v>
      </c>
      <c r="F716">
        <v>240</v>
      </c>
      <c r="G716">
        <v>5</v>
      </c>
      <c r="I716">
        <v>130</v>
      </c>
      <c r="J716">
        <v>3</v>
      </c>
      <c r="K716">
        <v>6</v>
      </c>
      <c r="L716">
        <v>5</v>
      </c>
      <c r="P716">
        <v>2</v>
      </c>
      <c r="Q716">
        <v>4</v>
      </c>
      <c r="R716">
        <v>5</v>
      </c>
      <c r="U716">
        <v>10</v>
      </c>
      <c r="V716">
        <v>0</v>
      </c>
      <c r="Z716">
        <v>2</v>
      </c>
      <c r="AA716">
        <v>8</v>
      </c>
      <c r="AB716" t="s">
        <v>1649</v>
      </c>
    </row>
    <row r="717" spans="1:28" x14ac:dyDescent="0.3">
      <c r="A717">
        <v>76868</v>
      </c>
      <c r="B717" t="s">
        <v>1392</v>
      </c>
      <c r="C717">
        <v>0</v>
      </c>
      <c r="D717">
        <v>1610612752</v>
      </c>
      <c r="E717" t="s">
        <v>1248</v>
      </c>
      <c r="F717">
        <v>260</v>
      </c>
      <c r="G717">
        <v>7</v>
      </c>
      <c r="H717">
        <v>0</v>
      </c>
      <c r="I717">
        <v>720</v>
      </c>
      <c r="J717">
        <v>13</v>
      </c>
      <c r="K717">
        <v>27</v>
      </c>
      <c r="L717">
        <v>481</v>
      </c>
      <c r="M717">
        <v>0</v>
      </c>
      <c r="N717">
        <v>0</v>
      </c>
      <c r="P717">
        <v>5</v>
      </c>
      <c r="Q717">
        <v>9</v>
      </c>
      <c r="R717">
        <v>556</v>
      </c>
      <c r="S717">
        <v>120</v>
      </c>
      <c r="T717">
        <v>150</v>
      </c>
      <c r="U717">
        <v>270</v>
      </c>
      <c r="V717">
        <v>2</v>
      </c>
      <c r="W717">
        <v>40</v>
      </c>
      <c r="X717">
        <v>0</v>
      </c>
      <c r="Y717">
        <v>10</v>
      </c>
      <c r="Z717">
        <v>8</v>
      </c>
      <c r="AA717">
        <v>31</v>
      </c>
      <c r="AB717" t="s">
        <v>1650</v>
      </c>
    </row>
    <row r="718" spans="1:28" x14ac:dyDescent="0.3">
      <c r="A718">
        <v>93</v>
      </c>
      <c r="B718" t="s">
        <v>1273</v>
      </c>
      <c r="C718">
        <v>0</v>
      </c>
      <c r="D718">
        <v>1610612752</v>
      </c>
      <c r="E718" t="s">
        <v>1248</v>
      </c>
      <c r="F718">
        <v>230</v>
      </c>
      <c r="G718">
        <v>50</v>
      </c>
      <c r="H718">
        <v>20</v>
      </c>
      <c r="I718">
        <v>8150</v>
      </c>
      <c r="J718">
        <v>110</v>
      </c>
      <c r="K718">
        <v>251</v>
      </c>
      <c r="L718">
        <v>438</v>
      </c>
      <c r="M718">
        <v>60</v>
      </c>
      <c r="N718">
        <v>190</v>
      </c>
      <c r="O718">
        <v>316</v>
      </c>
      <c r="P718">
        <v>43</v>
      </c>
      <c r="Q718">
        <v>54</v>
      </c>
      <c r="R718">
        <v>796</v>
      </c>
      <c r="S718">
        <v>130</v>
      </c>
      <c r="T718">
        <v>430</v>
      </c>
      <c r="U718">
        <v>560</v>
      </c>
      <c r="V718">
        <v>83</v>
      </c>
      <c r="W718">
        <v>220</v>
      </c>
      <c r="X718">
        <v>40</v>
      </c>
      <c r="Y718">
        <v>450</v>
      </c>
      <c r="Z718">
        <v>71</v>
      </c>
      <c r="AA718">
        <v>269</v>
      </c>
      <c r="AB718" t="s">
        <v>1651</v>
      </c>
    </row>
    <row r="719" spans="1:28" x14ac:dyDescent="0.3">
      <c r="A719">
        <v>93</v>
      </c>
      <c r="B719" t="s">
        <v>1274</v>
      </c>
      <c r="C719">
        <v>0</v>
      </c>
      <c r="D719">
        <v>1610612752</v>
      </c>
      <c r="E719" t="s">
        <v>1248</v>
      </c>
      <c r="F719">
        <v>240</v>
      </c>
      <c r="G719">
        <v>56</v>
      </c>
      <c r="H719">
        <v>270</v>
      </c>
      <c r="I719">
        <v>13330</v>
      </c>
      <c r="J719">
        <v>238</v>
      </c>
      <c r="K719">
        <v>505</v>
      </c>
      <c r="L719">
        <v>471</v>
      </c>
      <c r="M719">
        <v>530</v>
      </c>
      <c r="N719">
        <v>1320</v>
      </c>
      <c r="O719">
        <v>402</v>
      </c>
      <c r="P719">
        <v>85</v>
      </c>
      <c r="Q719">
        <v>103</v>
      </c>
      <c r="R719">
        <v>825</v>
      </c>
      <c r="S719">
        <v>230</v>
      </c>
      <c r="T719">
        <v>440</v>
      </c>
      <c r="U719">
        <v>670</v>
      </c>
      <c r="V719">
        <v>165</v>
      </c>
      <c r="W719">
        <v>400</v>
      </c>
      <c r="X719">
        <v>40</v>
      </c>
      <c r="Y719">
        <v>760</v>
      </c>
      <c r="Z719">
        <v>118</v>
      </c>
      <c r="AA719">
        <v>614</v>
      </c>
      <c r="AB719" t="s">
        <v>1651</v>
      </c>
    </row>
    <row r="720" spans="1:28" x14ac:dyDescent="0.3">
      <c r="A720">
        <v>93</v>
      </c>
      <c r="B720" t="s">
        <v>1275</v>
      </c>
      <c r="C720">
        <v>0</v>
      </c>
      <c r="D720">
        <v>1610612752</v>
      </c>
      <c r="E720" t="s">
        <v>1248</v>
      </c>
      <c r="F720">
        <v>250</v>
      </c>
      <c r="G720">
        <v>82</v>
      </c>
      <c r="H720">
        <v>40</v>
      </c>
      <c r="I720">
        <v>16970</v>
      </c>
      <c r="J720">
        <v>296</v>
      </c>
      <c r="K720">
        <v>617</v>
      </c>
      <c r="L720">
        <v>48</v>
      </c>
      <c r="M720">
        <v>1310</v>
      </c>
      <c r="N720">
        <v>2880</v>
      </c>
      <c r="O720">
        <v>455</v>
      </c>
      <c r="P720">
        <v>97</v>
      </c>
      <c r="Q720">
        <v>120</v>
      </c>
      <c r="R720">
        <v>808</v>
      </c>
      <c r="S720">
        <v>300</v>
      </c>
      <c r="T720">
        <v>800</v>
      </c>
      <c r="U720">
        <v>1100</v>
      </c>
      <c r="V720">
        <v>150</v>
      </c>
      <c r="W720">
        <v>350</v>
      </c>
      <c r="X720">
        <v>110</v>
      </c>
      <c r="Y720">
        <v>870</v>
      </c>
      <c r="Z720">
        <v>146</v>
      </c>
      <c r="AA720">
        <v>820</v>
      </c>
      <c r="AB720" t="s">
        <v>1651</v>
      </c>
    </row>
    <row r="721" spans="1:28" x14ac:dyDescent="0.3">
      <c r="A721">
        <v>93</v>
      </c>
      <c r="B721" t="s">
        <v>1276</v>
      </c>
      <c r="C721">
        <v>0</v>
      </c>
      <c r="D721">
        <v>1610612752</v>
      </c>
      <c r="E721" t="s">
        <v>1248</v>
      </c>
      <c r="F721">
        <v>260</v>
      </c>
      <c r="G721">
        <v>74</v>
      </c>
      <c r="H721">
        <v>140</v>
      </c>
      <c r="I721">
        <v>17730</v>
      </c>
      <c r="J721">
        <v>275</v>
      </c>
      <c r="K721">
        <v>566</v>
      </c>
      <c r="L721">
        <v>486</v>
      </c>
      <c r="M721">
        <v>1270</v>
      </c>
      <c r="N721">
        <v>2670</v>
      </c>
      <c r="O721">
        <v>476</v>
      </c>
      <c r="P721">
        <v>112</v>
      </c>
      <c r="Q721">
        <v>129</v>
      </c>
      <c r="R721">
        <v>868</v>
      </c>
      <c r="S721">
        <v>350</v>
      </c>
      <c r="T721">
        <v>880</v>
      </c>
      <c r="U721">
        <v>1230</v>
      </c>
      <c r="V721">
        <v>103</v>
      </c>
      <c r="W721">
        <v>310</v>
      </c>
      <c r="X721">
        <v>80</v>
      </c>
      <c r="Y721">
        <v>630</v>
      </c>
      <c r="Z721">
        <v>120</v>
      </c>
      <c r="AA721">
        <v>789</v>
      </c>
      <c r="AB721" t="s">
        <v>1651</v>
      </c>
    </row>
    <row r="722" spans="1:28" x14ac:dyDescent="0.3">
      <c r="A722">
        <v>101194</v>
      </c>
      <c r="B722" t="s">
        <v>1304</v>
      </c>
      <c r="C722">
        <v>0</v>
      </c>
      <c r="D722">
        <v>1610612752</v>
      </c>
      <c r="E722" t="s">
        <v>1248</v>
      </c>
      <c r="F722">
        <v>260</v>
      </c>
      <c r="G722">
        <v>23</v>
      </c>
      <c r="H722">
        <v>0</v>
      </c>
      <c r="I722">
        <v>2530</v>
      </c>
      <c r="J722">
        <v>39</v>
      </c>
      <c r="K722">
        <v>103</v>
      </c>
      <c r="L722">
        <v>379</v>
      </c>
      <c r="M722">
        <v>240</v>
      </c>
      <c r="N722">
        <v>710</v>
      </c>
      <c r="O722">
        <v>338</v>
      </c>
      <c r="P722">
        <v>5</v>
      </c>
      <c r="Q722">
        <v>5</v>
      </c>
      <c r="R722">
        <v>10</v>
      </c>
      <c r="S722">
        <v>40</v>
      </c>
      <c r="T722">
        <v>110</v>
      </c>
      <c r="U722">
        <v>150</v>
      </c>
      <c r="V722">
        <v>19</v>
      </c>
      <c r="W722">
        <v>100</v>
      </c>
      <c r="X722">
        <v>10</v>
      </c>
      <c r="Y722">
        <v>70</v>
      </c>
      <c r="Z722">
        <v>18</v>
      </c>
      <c r="AA722">
        <v>107</v>
      </c>
      <c r="AB722" t="s">
        <v>1652</v>
      </c>
    </row>
    <row r="723" spans="1:28" x14ac:dyDescent="0.3">
      <c r="A723">
        <v>600009</v>
      </c>
      <c r="B723" t="s">
        <v>1468</v>
      </c>
      <c r="C723">
        <v>0</v>
      </c>
      <c r="D723">
        <v>1610612752</v>
      </c>
      <c r="E723" t="s">
        <v>1248</v>
      </c>
      <c r="F723">
        <v>250</v>
      </c>
      <c r="G723">
        <v>32</v>
      </c>
      <c r="H723">
        <v>90</v>
      </c>
      <c r="I723">
        <v>8800</v>
      </c>
      <c r="J723">
        <v>128</v>
      </c>
      <c r="K723">
        <v>298</v>
      </c>
      <c r="L723">
        <v>43</v>
      </c>
      <c r="M723">
        <v>20</v>
      </c>
      <c r="N723">
        <v>70</v>
      </c>
      <c r="O723">
        <v>286</v>
      </c>
      <c r="P723">
        <v>63</v>
      </c>
      <c r="Q723">
        <v>86</v>
      </c>
      <c r="R723">
        <v>733</v>
      </c>
      <c r="S723">
        <v>220</v>
      </c>
      <c r="T723">
        <v>670</v>
      </c>
      <c r="U723">
        <v>890</v>
      </c>
      <c r="V723">
        <v>159</v>
      </c>
      <c r="W723">
        <v>370</v>
      </c>
      <c r="X723">
        <v>40</v>
      </c>
      <c r="Y723">
        <v>710</v>
      </c>
      <c r="Z723">
        <v>93</v>
      </c>
      <c r="AA723">
        <v>321</v>
      </c>
      <c r="AB723" t="s">
        <v>1653</v>
      </c>
    </row>
    <row r="724" spans="1:28" x14ac:dyDescent="0.3">
      <c r="A724">
        <v>600009</v>
      </c>
      <c r="B724" t="s">
        <v>1469</v>
      </c>
      <c r="C724">
        <v>0</v>
      </c>
      <c r="D724">
        <v>1610612752</v>
      </c>
      <c r="E724" t="s">
        <v>1248</v>
      </c>
      <c r="F724">
        <v>260</v>
      </c>
      <c r="G724">
        <v>79</v>
      </c>
      <c r="H724">
        <v>740</v>
      </c>
      <c r="I724">
        <v>24360</v>
      </c>
      <c r="J724">
        <v>350</v>
      </c>
      <c r="K724">
        <v>738</v>
      </c>
      <c r="L724">
        <v>474</v>
      </c>
      <c r="M724">
        <v>100</v>
      </c>
      <c r="N724">
        <v>390</v>
      </c>
      <c r="O724">
        <v>256</v>
      </c>
      <c r="P724">
        <v>108</v>
      </c>
      <c r="Q724">
        <v>131</v>
      </c>
      <c r="R724">
        <v>824</v>
      </c>
      <c r="S724">
        <v>480</v>
      </c>
      <c r="T724">
        <v>1410</v>
      </c>
      <c r="U724">
        <v>1890</v>
      </c>
      <c r="V724">
        <v>539</v>
      </c>
      <c r="W724">
        <v>1000</v>
      </c>
      <c r="X724">
        <v>80</v>
      </c>
      <c r="Y724">
        <v>2100</v>
      </c>
      <c r="Z724">
        <v>230</v>
      </c>
      <c r="AA724">
        <v>818</v>
      </c>
      <c r="AB724" t="s">
        <v>1653</v>
      </c>
    </row>
    <row r="725" spans="1:28" x14ac:dyDescent="0.3">
      <c r="A725">
        <v>600009</v>
      </c>
      <c r="B725" t="s">
        <v>1406</v>
      </c>
      <c r="C725">
        <v>0</v>
      </c>
      <c r="D725">
        <v>1610612752</v>
      </c>
      <c r="E725" t="s">
        <v>1248</v>
      </c>
      <c r="F725">
        <v>270</v>
      </c>
      <c r="G725">
        <v>79</v>
      </c>
      <c r="H725">
        <v>410</v>
      </c>
      <c r="I725">
        <v>22920</v>
      </c>
      <c r="J725">
        <v>326</v>
      </c>
      <c r="K725">
        <v>662</v>
      </c>
      <c r="L725">
        <v>492</v>
      </c>
      <c r="M725">
        <v>70</v>
      </c>
      <c r="N725">
        <v>310</v>
      </c>
      <c r="O725">
        <v>226</v>
      </c>
      <c r="P725">
        <v>122</v>
      </c>
      <c r="Q725">
        <v>141</v>
      </c>
      <c r="R725">
        <v>865</v>
      </c>
      <c r="S725">
        <v>380</v>
      </c>
      <c r="T725">
        <v>1310</v>
      </c>
      <c r="U725">
        <v>1690</v>
      </c>
      <c r="V725">
        <v>557</v>
      </c>
      <c r="W725">
        <v>810</v>
      </c>
      <c r="X725">
        <v>90</v>
      </c>
      <c r="Y725">
        <v>1500</v>
      </c>
      <c r="Z725">
        <v>200</v>
      </c>
      <c r="AA725">
        <v>781</v>
      </c>
      <c r="AB725" t="s">
        <v>1653</v>
      </c>
    </row>
    <row r="726" spans="1:28" x14ac:dyDescent="0.3">
      <c r="A726">
        <v>600009</v>
      </c>
      <c r="B726" t="s">
        <v>1392</v>
      </c>
      <c r="C726">
        <v>0</v>
      </c>
      <c r="D726">
        <v>1610612752</v>
      </c>
      <c r="E726" t="s">
        <v>1248</v>
      </c>
      <c r="F726">
        <v>280</v>
      </c>
      <c r="G726">
        <v>74</v>
      </c>
      <c r="H726">
        <v>740</v>
      </c>
      <c r="I726">
        <v>23440</v>
      </c>
      <c r="J726">
        <v>345</v>
      </c>
      <c r="K726">
        <v>723</v>
      </c>
      <c r="L726">
        <v>477</v>
      </c>
      <c r="M726">
        <v>50</v>
      </c>
      <c r="N726">
        <v>200</v>
      </c>
      <c r="O726">
        <v>25</v>
      </c>
      <c r="P726">
        <v>101</v>
      </c>
      <c r="Q726">
        <v>127</v>
      </c>
      <c r="R726">
        <v>795</v>
      </c>
      <c r="S726">
        <v>500</v>
      </c>
      <c r="T726">
        <v>1200</v>
      </c>
      <c r="U726">
        <v>1700</v>
      </c>
      <c r="V726">
        <v>472</v>
      </c>
      <c r="W726">
        <v>850</v>
      </c>
      <c r="X726">
        <v>140</v>
      </c>
      <c r="Y726">
        <v>1540</v>
      </c>
      <c r="Z726">
        <v>182</v>
      </c>
      <c r="AA726">
        <v>796</v>
      </c>
      <c r="AB726" t="s">
        <v>1653</v>
      </c>
    </row>
    <row r="727" spans="1:28" x14ac:dyDescent="0.3">
      <c r="A727">
        <v>600009</v>
      </c>
      <c r="B727" t="s">
        <v>1394</v>
      </c>
      <c r="C727">
        <v>0</v>
      </c>
      <c r="D727">
        <v>1610612752</v>
      </c>
      <c r="E727" t="s">
        <v>1248</v>
      </c>
      <c r="F727">
        <v>290</v>
      </c>
      <c r="G727">
        <v>80</v>
      </c>
      <c r="H727">
        <v>300</v>
      </c>
      <c r="I727">
        <v>19510</v>
      </c>
      <c r="J727">
        <v>263</v>
      </c>
      <c r="K727">
        <v>590</v>
      </c>
      <c r="L727">
        <v>446</v>
      </c>
      <c r="M727">
        <v>110</v>
      </c>
      <c r="N727">
        <v>420</v>
      </c>
      <c r="O727">
        <v>262</v>
      </c>
      <c r="P727">
        <v>71</v>
      </c>
      <c r="Q727">
        <v>89</v>
      </c>
      <c r="R727">
        <v>798</v>
      </c>
      <c r="S727">
        <v>290</v>
      </c>
      <c r="T727">
        <v>860</v>
      </c>
      <c r="U727">
        <v>1150</v>
      </c>
      <c r="V727">
        <v>432</v>
      </c>
      <c r="W727">
        <v>670</v>
      </c>
      <c r="X727">
        <v>60</v>
      </c>
      <c r="Y727">
        <v>1400</v>
      </c>
      <c r="Z727">
        <v>160</v>
      </c>
      <c r="AA727">
        <v>608</v>
      </c>
      <c r="AB727" t="s">
        <v>1653</v>
      </c>
    </row>
    <row r="728" spans="1:28" x14ac:dyDescent="0.3">
      <c r="A728">
        <v>600009</v>
      </c>
      <c r="B728" t="s">
        <v>1253</v>
      </c>
      <c r="C728">
        <v>0</v>
      </c>
      <c r="D728">
        <v>1610612752</v>
      </c>
      <c r="E728" t="s">
        <v>1248</v>
      </c>
      <c r="F728">
        <v>300</v>
      </c>
      <c r="G728">
        <v>3</v>
      </c>
      <c r="H728">
        <v>0</v>
      </c>
      <c r="I728">
        <v>520</v>
      </c>
      <c r="J728">
        <v>5</v>
      </c>
      <c r="K728">
        <v>19</v>
      </c>
      <c r="L728">
        <v>263</v>
      </c>
      <c r="M728">
        <v>0</v>
      </c>
      <c r="N728">
        <v>10</v>
      </c>
      <c r="O728">
        <v>0</v>
      </c>
      <c r="P728">
        <v>0</v>
      </c>
      <c r="Q728">
        <v>0</v>
      </c>
      <c r="R728">
        <v>0</v>
      </c>
      <c r="S728">
        <v>10</v>
      </c>
      <c r="T728">
        <v>10</v>
      </c>
      <c r="U728">
        <v>20</v>
      </c>
      <c r="V728">
        <v>5</v>
      </c>
      <c r="W728">
        <v>40</v>
      </c>
      <c r="X728">
        <v>0</v>
      </c>
      <c r="Y728">
        <v>60</v>
      </c>
      <c r="Z728">
        <v>7</v>
      </c>
      <c r="AA728">
        <v>10</v>
      </c>
      <c r="AB728" t="s">
        <v>1653</v>
      </c>
    </row>
    <row r="729" spans="1:28" x14ac:dyDescent="0.3">
      <c r="A729">
        <v>77264</v>
      </c>
      <c r="B729" t="s">
        <v>1468</v>
      </c>
      <c r="C729">
        <v>0</v>
      </c>
      <c r="D729">
        <v>1610612752</v>
      </c>
      <c r="E729" t="s">
        <v>1248</v>
      </c>
      <c r="F729">
        <v>260</v>
      </c>
      <c r="G729">
        <v>68</v>
      </c>
      <c r="H729">
        <v>680</v>
      </c>
      <c r="I729">
        <v>22070</v>
      </c>
      <c r="J729">
        <v>603</v>
      </c>
      <c r="K729">
        <v>1142</v>
      </c>
      <c r="L729">
        <v>528</v>
      </c>
      <c r="M729">
        <v>0</v>
      </c>
      <c r="N729">
        <v>60</v>
      </c>
      <c r="O729">
        <v>0</v>
      </c>
      <c r="P729">
        <v>280</v>
      </c>
      <c r="Q729">
        <v>388</v>
      </c>
      <c r="R729">
        <v>722</v>
      </c>
      <c r="S729">
        <v>990</v>
      </c>
      <c r="T729">
        <v>2270</v>
      </c>
      <c r="U729">
        <v>3260</v>
      </c>
      <c r="V729">
        <v>195</v>
      </c>
      <c r="W729">
        <v>900</v>
      </c>
      <c r="X729">
        <v>130</v>
      </c>
      <c r="Y729">
        <v>1970</v>
      </c>
      <c r="Z729">
        <v>233</v>
      </c>
      <c r="AA729">
        <v>1486</v>
      </c>
      <c r="AB729" t="s">
        <v>1654</v>
      </c>
    </row>
    <row r="730" spans="1:28" x14ac:dyDescent="0.3">
      <c r="A730">
        <v>77264</v>
      </c>
      <c r="B730" t="s">
        <v>1469</v>
      </c>
      <c r="C730">
        <v>0</v>
      </c>
      <c r="D730">
        <v>1610612752</v>
      </c>
      <c r="E730" t="s">
        <v>1248</v>
      </c>
      <c r="F730">
        <v>270</v>
      </c>
      <c r="G730">
        <v>77</v>
      </c>
      <c r="H730">
        <v>760</v>
      </c>
      <c r="I730">
        <v>26670</v>
      </c>
      <c r="J730">
        <v>795</v>
      </c>
      <c r="K730">
        <v>1391</v>
      </c>
      <c r="L730">
        <v>572</v>
      </c>
      <c r="M730">
        <v>0</v>
      </c>
      <c r="N730">
        <v>40</v>
      </c>
      <c r="O730">
        <v>0</v>
      </c>
      <c r="P730">
        <v>437</v>
      </c>
      <c r="Q730">
        <v>561</v>
      </c>
      <c r="R730">
        <v>779</v>
      </c>
      <c r="S730">
        <v>1230</v>
      </c>
      <c r="T730">
        <v>2710</v>
      </c>
      <c r="U730">
        <v>3940</v>
      </c>
      <c r="V730">
        <v>164</v>
      </c>
      <c r="W730">
        <v>750</v>
      </c>
      <c r="X730">
        <v>170</v>
      </c>
      <c r="Y730">
        <v>1970</v>
      </c>
      <c r="Z730">
        <v>273</v>
      </c>
      <c r="AA730">
        <v>2027</v>
      </c>
      <c r="AB730" t="s">
        <v>1654</v>
      </c>
    </row>
    <row r="731" spans="1:28" x14ac:dyDescent="0.3">
      <c r="A731">
        <v>77264</v>
      </c>
      <c r="B731" t="s">
        <v>1406</v>
      </c>
      <c r="C731">
        <v>0</v>
      </c>
      <c r="D731">
        <v>1610612752</v>
      </c>
      <c r="E731" t="s">
        <v>1248</v>
      </c>
      <c r="F731">
        <v>280</v>
      </c>
      <c r="G731">
        <v>55</v>
      </c>
      <c r="H731">
        <v>550</v>
      </c>
      <c r="I731">
        <v>20630</v>
      </c>
      <c r="J731">
        <v>691</v>
      </c>
      <c r="K731">
        <v>1303</v>
      </c>
      <c r="L731">
        <v>53</v>
      </c>
      <c r="M731">
        <v>10</v>
      </c>
      <c r="N731">
        <v>100</v>
      </c>
      <c r="O731">
        <v>1</v>
      </c>
      <c r="P731">
        <v>426</v>
      </c>
      <c r="Q731">
        <v>552</v>
      </c>
      <c r="R731">
        <v>772</v>
      </c>
      <c r="S731">
        <v>1140</v>
      </c>
      <c r="T731">
        <v>2030</v>
      </c>
      <c r="U731">
        <v>3170</v>
      </c>
      <c r="V731">
        <v>204</v>
      </c>
      <c r="W731">
        <v>710</v>
      </c>
      <c r="X731">
        <v>150</v>
      </c>
      <c r="Y731">
        <v>2040</v>
      </c>
      <c r="Z731">
        <v>191</v>
      </c>
      <c r="AA731">
        <v>1809</v>
      </c>
      <c r="AB731" t="s">
        <v>1654</v>
      </c>
    </row>
    <row r="732" spans="1:28" x14ac:dyDescent="0.3">
      <c r="A732">
        <v>77264</v>
      </c>
      <c r="B732" t="s">
        <v>1394</v>
      </c>
      <c r="C732">
        <v>0</v>
      </c>
      <c r="D732">
        <v>1610612752</v>
      </c>
      <c r="E732" t="s">
        <v>1248</v>
      </c>
      <c r="F732">
        <v>300</v>
      </c>
      <c r="G732">
        <v>6</v>
      </c>
      <c r="H732">
        <v>40</v>
      </c>
      <c r="I732">
        <v>2140</v>
      </c>
      <c r="J732">
        <v>52</v>
      </c>
      <c r="K732">
        <v>105</v>
      </c>
      <c r="L732">
        <v>495</v>
      </c>
      <c r="M732">
        <v>0</v>
      </c>
      <c r="N732">
        <v>0</v>
      </c>
      <c r="O732">
        <v>0</v>
      </c>
      <c r="P732">
        <v>32</v>
      </c>
      <c r="Q732">
        <v>43</v>
      </c>
      <c r="R732">
        <v>744</v>
      </c>
      <c r="S732">
        <v>130</v>
      </c>
      <c r="T732">
        <v>190</v>
      </c>
      <c r="U732">
        <v>320</v>
      </c>
      <c r="V732">
        <v>19</v>
      </c>
      <c r="W732">
        <v>20</v>
      </c>
      <c r="X732">
        <v>0</v>
      </c>
      <c r="Y732">
        <v>150</v>
      </c>
      <c r="Z732">
        <v>14</v>
      </c>
      <c r="AA732">
        <v>136</v>
      </c>
      <c r="AB732" t="s">
        <v>1654</v>
      </c>
    </row>
    <row r="733" spans="1:28" x14ac:dyDescent="0.3">
      <c r="A733">
        <v>76867</v>
      </c>
      <c r="B733" t="s">
        <v>1321</v>
      </c>
      <c r="C733">
        <v>0</v>
      </c>
      <c r="D733">
        <v>1610612752</v>
      </c>
      <c r="E733" t="s">
        <v>1248</v>
      </c>
      <c r="F733">
        <v>260</v>
      </c>
      <c r="G733">
        <v>69</v>
      </c>
      <c r="I733">
        <v>12320</v>
      </c>
      <c r="J733">
        <v>209</v>
      </c>
      <c r="K733">
        <v>468</v>
      </c>
      <c r="L733">
        <v>447</v>
      </c>
      <c r="P733">
        <v>63</v>
      </c>
      <c r="Q733">
        <v>155</v>
      </c>
      <c r="R733">
        <v>406</v>
      </c>
      <c r="U733">
        <v>5390</v>
      </c>
      <c r="V733">
        <v>52</v>
      </c>
      <c r="Z733">
        <v>195</v>
      </c>
      <c r="AA733">
        <v>481</v>
      </c>
      <c r="AB733" t="s">
        <v>1655</v>
      </c>
    </row>
    <row r="734" spans="1:28" x14ac:dyDescent="0.3">
      <c r="A734">
        <v>76867</v>
      </c>
      <c r="B734" t="s">
        <v>1322</v>
      </c>
      <c r="C734">
        <v>0</v>
      </c>
      <c r="D734">
        <v>1610612752</v>
      </c>
      <c r="E734" t="s">
        <v>1248</v>
      </c>
      <c r="F734">
        <v>270</v>
      </c>
      <c r="G734">
        <v>78</v>
      </c>
      <c r="I734">
        <v>17840</v>
      </c>
      <c r="J734">
        <v>326</v>
      </c>
      <c r="K734">
        <v>758</v>
      </c>
      <c r="L734">
        <v>43</v>
      </c>
      <c r="P734">
        <v>145</v>
      </c>
      <c r="Q734">
        <v>278</v>
      </c>
      <c r="R734">
        <v>522</v>
      </c>
      <c r="U734">
        <v>8380</v>
      </c>
      <c r="V734">
        <v>97</v>
      </c>
      <c r="Z734">
        <v>194</v>
      </c>
      <c r="AA734">
        <v>797</v>
      </c>
      <c r="AB734" t="s">
        <v>1655</v>
      </c>
    </row>
    <row r="735" spans="1:28" x14ac:dyDescent="0.3">
      <c r="A735">
        <v>76867</v>
      </c>
      <c r="B735" t="s">
        <v>1323</v>
      </c>
      <c r="C735">
        <v>0</v>
      </c>
      <c r="D735">
        <v>1610612752</v>
      </c>
      <c r="E735" t="s">
        <v>1248</v>
      </c>
      <c r="F735">
        <v>280</v>
      </c>
      <c r="G735">
        <v>80</v>
      </c>
      <c r="I735">
        <v>27890</v>
      </c>
      <c r="J735">
        <v>507</v>
      </c>
      <c r="K735">
        <v>1164</v>
      </c>
      <c r="L735">
        <v>436</v>
      </c>
      <c r="P735">
        <v>261</v>
      </c>
      <c r="Q735">
        <v>434</v>
      </c>
      <c r="R735">
        <v>601</v>
      </c>
      <c r="U735">
        <v>10660</v>
      </c>
      <c r="V735">
        <v>191</v>
      </c>
      <c r="Z735">
        <v>265</v>
      </c>
      <c r="AA735">
        <v>1275</v>
      </c>
      <c r="AB735" t="s">
        <v>1655</v>
      </c>
    </row>
    <row r="736" spans="1:28" x14ac:dyDescent="0.3">
      <c r="A736">
        <v>76867</v>
      </c>
      <c r="B736" t="s">
        <v>1255</v>
      </c>
      <c r="C736">
        <v>0</v>
      </c>
      <c r="D736">
        <v>1610612752</v>
      </c>
      <c r="E736" t="s">
        <v>1248</v>
      </c>
      <c r="F736">
        <v>290</v>
      </c>
      <c r="G736">
        <v>80</v>
      </c>
      <c r="I736">
        <v>25530</v>
      </c>
      <c r="J736">
        <v>582</v>
      </c>
      <c r="K736">
        <v>1261</v>
      </c>
      <c r="L736">
        <v>462</v>
      </c>
      <c r="P736">
        <v>280</v>
      </c>
      <c r="Q736">
        <v>439</v>
      </c>
      <c r="R736">
        <v>638</v>
      </c>
      <c r="U736">
        <v>9640</v>
      </c>
      <c r="V736">
        <v>152</v>
      </c>
      <c r="Z736">
        <v>243</v>
      </c>
      <c r="AA736">
        <v>1444</v>
      </c>
      <c r="AB736" t="s">
        <v>1655</v>
      </c>
    </row>
    <row r="737" spans="1:28" x14ac:dyDescent="0.3">
      <c r="A737">
        <v>76867</v>
      </c>
      <c r="B737" t="s">
        <v>1257</v>
      </c>
      <c r="C737">
        <v>0</v>
      </c>
      <c r="D737">
        <v>1610612752</v>
      </c>
      <c r="E737" t="s">
        <v>1248</v>
      </c>
      <c r="F737">
        <v>300</v>
      </c>
      <c r="G737">
        <v>80</v>
      </c>
      <c r="I737">
        <v>21340</v>
      </c>
      <c r="J737">
        <v>482</v>
      </c>
      <c r="K737">
        <v>1026</v>
      </c>
      <c r="L737">
        <v>47</v>
      </c>
      <c r="P737">
        <v>195</v>
      </c>
      <c r="Q737">
        <v>392</v>
      </c>
      <c r="R737">
        <v>497</v>
      </c>
      <c r="U737">
        <v>7990</v>
      </c>
      <c r="V737">
        <v>157</v>
      </c>
      <c r="Z737">
        <v>246</v>
      </c>
      <c r="AA737">
        <v>1159</v>
      </c>
      <c r="AB737" t="s">
        <v>1655</v>
      </c>
    </row>
    <row r="738" spans="1:28" x14ac:dyDescent="0.3">
      <c r="A738">
        <v>76867</v>
      </c>
      <c r="B738" t="s">
        <v>1258</v>
      </c>
      <c r="C738">
        <v>0</v>
      </c>
      <c r="D738">
        <v>1610612752</v>
      </c>
      <c r="E738" t="s">
        <v>1248</v>
      </c>
      <c r="F738">
        <v>310</v>
      </c>
      <c r="G738">
        <v>78</v>
      </c>
      <c r="I738">
        <v>17200</v>
      </c>
      <c r="J738">
        <v>346</v>
      </c>
      <c r="K738">
        <v>737</v>
      </c>
      <c r="L738">
        <v>469</v>
      </c>
      <c r="P738">
        <v>165</v>
      </c>
      <c r="Q738">
        <v>301</v>
      </c>
      <c r="R738">
        <v>548</v>
      </c>
      <c r="U738">
        <v>5450</v>
      </c>
      <c r="V738">
        <v>129</v>
      </c>
      <c r="Z738">
        <v>194</v>
      </c>
      <c r="AA738">
        <v>857</v>
      </c>
      <c r="AB738" t="s">
        <v>1655</v>
      </c>
    </row>
    <row r="739" spans="1:28" x14ac:dyDescent="0.3">
      <c r="A739">
        <v>76867</v>
      </c>
      <c r="B739" t="s">
        <v>1412</v>
      </c>
      <c r="C739">
        <v>0</v>
      </c>
      <c r="D739">
        <v>1610612752</v>
      </c>
      <c r="E739" t="s">
        <v>1248</v>
      </c>
      <c r="F739">
        <v>320</v>
      </c>
      <c r="G739">
        <v>7</v>
      </c>
      <c r="I739">
        <v>2080</v>
      </c>
      <c r="J739">
        <v>43</v>
      </c>
      <c r="K739">
        <v>79</v>
      </c>
      <c r="L739">
        <v>544</v>
      </c>
      <c r="P739">
        <v>15</v>
      </c>
      <c r="Q739">
        <v>31</v>
      </c>
      <c r="R739">
        <v>484</v>
      </c>
      <c r="U739">
        <v>740</v>
      </c>
      <c r="V739">
        <v>11</v>
      </c>
      <c r="Z739">
        <v>21</v>
      </c>
      <c r="AA739">
        <v>101</v>
      </c>
      <c r="AB739" t="s">
        <v>1655</v>
      </c>
    </row>
    <row r="740" spans="1:28" x14ac:dyDescent="0.3">
      <c r="A740">
        <v>989</v>
      </c>
      <c r="B740" t="s">
        <v>1278</v>
      </c>
      <c r="C740">
        <v>0</v>
      </c>
      <c r="D740">
        <v>1610612752</v>
      </c>
      <c r="E740" t="s">
        <v>1248</v>
      </c>
      <c r="F740">
        <v>250</v>
      </c>
      <c r="G740">
        <v>7</v>
      </c>
      <c r="H740">
        <v>0</v>
      </c>
      <c r="I740">
        <v>130</v>
      </c>
      <c r="J740">
        <v>2</v>
      </c>
      <c r="K740">
        <v>10</v>
      </c>
      <c r="L740">
        <v>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60</v>
      </c>
      <c r="T740">
        <v>0</v>
      </c>
      <c r="U740">
        <v>60</v>
      </c>
      <c r="V740">
        <v>0</v>
      </c>
      <c r="W740">
        <v>10</v>
      </c>
      <c r="X740">
        <v>0</v>
      </c>
      <c r="Y740">
        <v>0</v>
      </c>
      <c r="Z740">
        <v>3</v>
      </c>
      <c r="AA740">
        <v>4</v>
      </c>
      <c r="AB740" t="s">
        <v>1656</v>
      </c>
    </row>
    <row r="741" spans="1:28" x14ac:dyDescent="0.3">
      <c r="A741">
        <v>989</v>
      </c>
      <c r="B741" t="s">
        <v>1429</v>
      </c>
      <c r="C741">
        <v>0</v>
      </c>
      <c r="D741">
        <v>1610612752</v>
      </c>
      <c r="E741" t="s">
        <v>1248</v>
      </c>
      <c r="F741">
        <v>260</v>
      </c>
      <c r="G741">
        <v>8</v>
      </c>
      <c r="H741">
        <v>0</v>
      </c>
      <c r="I741">
        <v>210</v>
      </c>
      <c r="J741">
        <v>7</v>
      </c>
      <c r="K741">
        <v>17</v>
      </c>
      <c r="L741">
        <v>412</v>
      </c>
      <c r="M741">
        <v>0</v>
      </c>
      <c r="N741">
        <v>0</v>
      </c>
      <c r="O741">
        <v>0</v>
      </c>
      <c r="P741">
        <v>3</v>
      </c>
      <c r="Q741">
        <v>6</v>
      </c>
      <c r="R741">
        <v>5</v>
      </c>
      <c r="S741">
        <v>90</v>
      </c>
      <c r="T741">
        <v>20</v>
      </c>
      <c r="U741">
        <v>110</v>
      </c>
      <c r="V741">
        <v>3</v>
      </c>
      <c r="W741">
        <v>0</v>
      </c>
      <c r="X741">
        <v>0</v>
      </c>
      <c r="Y741">
        <v>10</v>
      </c>
      <c r="Z741">
        <v>4</v>
      </c>
      <c r="AA741">
        <v>17</v>
      </c>
      <c r="AB741" t="s">
        <v>1656</v>
      </c>
    </row>
    <row r="742" spans="1:28" x14ac:dyDescent="0.3">
      <c r="A742">
        <v>77260</v>
      </c>
      <c r="B742" t="s">
        <v>1273</v>
      </c>
      <c r="C742">
        <v>0</v>
      </c>
      <c r="D742">
        <v>1610612752</v>
      </c>
      <c r="E742" t="s">
        <v>1248</v>
      </c>
      <c r="F742">
        <v>270</v>
      </c>
      <c r="G742">
        <v>9</v>
      </c>
      <c r="H742">
        <v>0</v>
      </c>
      <c r="I742">
        <v>550</v>
      </c>
      <c r="J742">
        <v>14</v>
      </c>
      <c r="K742">
        <v>33</v>
      </c>
      <c r="L742">
        <v>424</v>
      </c>
      <c r="M742">
        <v>20</v>
      </c>
      <c r="N742">
        <v>80</v>
      </c>
      <c r="O742">
        <v>25</v>
      </c>
      <c r="P742">
        <v>3</v>
      </c>
      <c r="Q742">
        <v>8</v>
      </c>
      <c r="R742">
        <v>375</v>
      </c>
      <c r="S742">
        <v>30</v>
      </c>
      <c r="T742">
        <v>80</v>
      </c>
      <c r="U742">
        <v>110</v>
      </c>
      <c r="V742">
        <v>5</v>
      </c>
      <c r="W742">
        <v>10</v>
      </c>
      <c r="X742">
        <v>0</v>
      </c>
      <c r="Y742">
        <v>60</v>
      </c>
      <c r="Z742">
        <v>10</v>
      </c>
      <c r="AA742">
        <v>33</v>
      </c>
      <c r="AB742" t="s">
        <v>1657</v>
      </c>
    </row>
    <row r="743" spans="1:28" x14ac:dyDescent="0.3">
      <c r="A743">
        <v>76861</v>
      </c>
      <c r="B743" t="s">
        <v>1270</v>
      </c>
      <c r="C743">
        <v>0</v>
      </c>
      <c r="D743">
        <v>1610612752</v>
      </c>
      <c r="E743" t="s">
        <v>1248</v>
      </c>
      <c r="F743">
        <v>270</v>
      </c>
      <c r="G743">
        <v>19</v>
      </c>
      <c r="H743">
        <v>0</v>
      </c>
      <c r="I743">
        <v>940</v>
      </c>
      <c r="J743">
        <v>4</v>
      </c>
      <c r="K743">
        <v>17</v>
      </c>
      <c r="L743">
        <v>235</v>
      </c>
      <c r="M743">
        <v>0</v>
      </c>
      <c r="N743">
        <v>30</v>
      </c>
      <c r="O743">
        <v>0</v>
      </c>
      <c r="P743">
        <v>7</v>
      </c>
      <c r="Q743">
        <v>8</v>
      </c>
      <c r="R743">
        <v>875</v>
      </c>
      <c r="S743">
        <v>20</v>
      </c>
      <c r="T743">
        <v>120</v>
      </c>
      <c r="U743">
        <v>140</v>
      </c>
      <c r="V743">
        <v>2</v>
      </c>
      <c r="W743">
        <v>30</v>
      </c>
      <c r="X743">
        <v>20</v>
      </c>
      <c r="Y743">
        <v>50</v>
      </c>
      <c r="Z743">
        <v>26</v>
      </c>
      <c r="AA743">
        <v>15</v>
      </c>
      <c r="AB743" t="s">
        <v>1658</v>
      </c>
    </row>
    <row r="744" spans="1:28" x14ac:dyDescent="0.3">
      <c r="A744">
        <v>76861</v>
      </c>
      <c r="B744" t="s">
        <v>1271</v>
      </c>
      <c r="C744">
        <v>0</v>
      </c>
      <c r="D744">
        <v>1610612752</v>
      </c>
      <c r="E744" t="s">
        <v>1248</v>
      </c>
      <c r="F744">
        <v>280</v>
      </c>
      <c r="G744">
        <v>8</v>
      </c>
      <c r="H744">
        <v>0</v>
      </c>
      <c r="I744">
        <v>370</v>
      </c>
      <c r="J744">
        <v>4</v>
      </c>
      <c r="K744">
        <v>12</v>
      </c>
      <c r="L744">
        <v>333</v>
      </c>
      <c r="M744">
        <v>0</v>
      </c>
      <c r="N744">
        <v>0</v>
      </c>
      <c r="O744">
        <v>0</v>
      </c>
      <c r="P744">
        <v>3</v>
      </c>
      <c r="Q744">
        <v>3</v>
      </c>
      <c r="R744">
        <v>10</v>
      </c>
      <c r="S744">
        <v>20</v>
      </c>
      <c r="T744">
        <v>80</v>
      </c>
      <c r="U744">
        <v>100</v>
      </c>
      <c r="V744">
        <v>0</v>
      </c>
      <c r="W744">
        <v>0</v>
      </c>
      <c r="X744">
        <v>10</v>
      </c>
      <c r="Y744">
        <v>20</v>
      </c>
      <c r="Z744">
        <v>6</v>
      </c>
      <c r="AA744">
        <v>11</v>
      </c>
      <c r="AB744" t="s">
        <v>1658</v>
      </c>
    </row>
    <row r="745" spans="1:28" x14ac:dyDescent="0.3">
      <c r="A745">
        <v>1884</v>
      </c>
      <c r="B745" t="s">
        <v>1290</v>
      </c>
      <c r="C745">
        <v>0</v>
      </c>
      <c r="D745">
        <v>1610612752</v>
      </c>
      <c r="E745" t="s">
        <v>1248</v>
      </c>
      <c r="F745">
        <v>330</v>
      </c>
      <c r="G745">
        <v>29</v>
      </c>
      <c r="H745">
        <v>140</v>
      </c>
      <c r="I745">
        <v>5950</v>
      </c>
      <c r="J745">
        <v>68</v>
      </c>
      <c r="K745">
        <v>184</v>
      </c>
      <c r="L745">
        <v>37</v>
      </c>
      <c r="M745">
        <v>260</v>
      </c>
      <c r="N745">
        <v>850</v>
      </c>
      <c r="O745">
        <v>306</v>
      </c>
      <c r="P745">
        <v>16</v>
      </c>
      <c r="Q745">
        <v>24</v>
      </c>
      <c r="R745">
        <v>667</v>
      </c>
      <c r="S745">
        <v>130</v>
      </c>
      <c r="T745">
        <v>430</v>
      </c>
      <c r="U745">
        <v>560</v>
      </c>
      <c r="V745">
        <v>135</v>
      </c>
      <c r="W745">
        <v>340</v>
      </c>
      <c r="X745">
        <v>30</v>
      </c>
      <c r="Y745">
        <v>760</v>
      </c>
      <c r="Z745">
        <v>61</v>
      </c>
      <c r="AA745">
        <v>178</v>
      </c>
      <c r="AB745" t="s">
        <v>1659</v>
      </c>
    </row>
    <row r="746" spans="1:28" x14ac:dyDescent="0.3">
      <c r="A746">
        <v>467</v>
      </c>
      <c r="B746" t="s">
        <v>1292</v>
      </c>
      <c r="C746">
        <v>0</v>
      </c>
      <c r="D746">
        <v>1610612752</v>
      </c>
      <c r="E746" t="s">
        <v>1248</v>
      </c>
      <c r="F746">
        <v>400</v>
      </c>
      <c r="G746">
        <v>76</v>
      </c>
      <c r="H746">
        <v>480</v>
      </c>
      <c r="I746">
        <v>20430</v>
      </c>
      <c r="J746">
        <v>152</v>
      </c>
      <c r="K746">
        <v>409</v>
      </c>
      <c r="L746">
        <v>372</v>
      </c>
      <c r="M746">
        <v>1140</v>
      </c>
      <c r="N746">
        <v>3250</v>
      </c>
      <c r="O746">
        <v>351</v>
      </c>
      <c r="P746">
        <v>40</v>
      </c>
      <c r="Q746">
        <v>48</v>
      </c>
      <c r="R746">
        <v>833</v>
      </c>
      <c r="S746">
        <v>500</v>
      </c>
      <c r="T746">
        <v>2730</v>
      </c>
      <c r="U746">
        <v>3230</v>
      </c>
      <c r="V746">
        <v>249</v>
      </c>
      <c r="W746">
        <v>1250</v>
      </c>
      <c r="X746">
        <v>250</v>
      </c>
      <c r="Y746">
        <v>760</v>
      </c>
      <c r="Z746">
        <v>125</v>
      </c>
      <c r="AA746">
        <v>458</v>
      </c>
      <c r="AB746" t="s">
        <v>1660</v>
      </c>
    </row>
    <row r="747" spans="1:28" x14ac:dyDescent="0.3">
      <c r="A747">
        <v>1626170</v>
      </c>
      <c r="B747" t="s">
        <v>1279</v>
      </c>
      <c r="C747">
        <v>0</v>
      </c>
      <c r="D747">
        <v>1610612752</v>
      </c>
      <c r="E747" t="s">
        <v>1248</v>
      </c>
      <c r="F747">
        <v>230</v>
      </c>
      <c r="G747">
        <v>76</v>
      </c>
      <c r="H747">
        <v>60</v>
      </c>
      <c r="I747">
        <v>12650</v>
      </c>
      <c r="J747">
        <v>154</v>
      </c>
      <c r="K747">
        <v>391</v>
      </c>
      <c r="L747">
        <v>394</v>
      </c>
      <c r="M747">
        <v>220</v>
      </c>
      <c r="N747">
        <v>1000</v>
      </c>
      <c r="O747">
        <v>22</v>
      </c>
      <c r="P747">
        <v>96</v>
      </c>
      <c r="Q747">
        <v>123</v>
      </c>
      <c r="R747">
        <v>78</v>
      </c>
      <c r="S747">
        <v>230</v>
      </c>
      <c r="T747">
        <v>1200</v>
      </c>
      <c r="U747">
        <v>1430</v>
      </c>
      <c r="V747">
        <v>177</v>
      </c>
      <c r="W747">
        <v>500</v>
      </c>
      <c r="X747">
        <v>100</v>
      </c>
      <c r="Y747">
        <v>870</v>
      </c>
      <c r="Z747">
        <v>97</v>
      </c>
      <c r="AA747">
        <v>426</v>
      </c>
      <c r="AB747" t="s">
        <v>1661</v>
      </c>
    </row>
    <row r="748" spans="1:28" x14ac:dyDescent="0.3">
      <c r="A748">
        <v>213</v>
      </c>
      <c r="B748" t="s">
        <v>1300</v>
      </c>
      <c r="C748">
        <v>0</v>
      </c>
      <c r="D748">
        <v>1610612752</v>
      </c>
      <c r="E748" t="s">
        <v>1248</v>
      </c>
      <c r="F748">
        <v>370</v>
      </c>
      <c r="G748">
        <v>36</v>
      </c>
      <c r="H748">
        <v>310</v>
      </c>
      <c r="I748">
        <v>7490</v>
      </c>
      <c r="J748">
        <v>68</v>
      </c>
      <c r="K748">
        <v>159</v>
      </c>
      <c r="L748">
        <v>428</v>
      </c>
      <c r="M748">
        <v>0</v>
      </c>
      <c r="N748">
        <v>10</v>
      </c>
      <c r="O748">
        <v>0</v>
      </c>
      <c r="P748">
        <v>45</v>
      </c>
      <c r="Q748">
        <v>61</v>
      </c>
      <c r="R748">
        <v>738</v>
      </c>
      <c r="S748">
        <v>750</v>
      </c>
      <c r="T748">
        <v>970</v>
      </c>
      <c r="U748">
        <v>1720</v>
      </c>
      <c r="V748">
        <v>14</v>
      </c>
      <c r="W748">
        <v>200</v>
      </c>
      <c r="X748">
        <v>90</v>
      </c>
      <c r="Y748">
        <v>430</v>
      </c>
      <c r="Z748">
        <v>99</v>
      </c>
      <c r="AA748">
        <v>181</v>
      </c>
      <c r="AB748" t="s">
        <v>1662</v>
      </c>
    </row>
    <row r="749" spans="1:28" x14ac:dyDescent="0.3">
      <c r="A749">
        <v>990</v>
      </c>
      <c r="B749" t="s">
        <v>1295</v>
      </c>
      <c r="C749">
        <v>0</v>
      </c>
      <c r="D749">
        <v>1610612752</v>
      </c>
      <c r="E749" t="s">
        <v>1248</v>
      </c>
      <c r="F749">
        <v>300</v>
      </c>
      <c r="G749">
        <v>26</v>
      </c>
      <c r="H749">
        <v>40</v>
      </c>
      <c r="I749">
        <v>6120</v>
      </c>
      <c r="J749">
        <v>74</v>
      </c>
      <c r="K749">
        <v>174</v>
      </c>
      <c r="L749">
        <v>425</v>
      </c>
      <c r="M749">
        <v>10</v>
      </c>
      <c r="N749">
        <v>60</v>
      </c>
      <c r="O749">
        <v>167</v>
      </c>
      <c r="P749">
        <v>68</v>
      </c>
      <c r="Q749">
        <v>87</v>
      </c>
      <c r="R749">
        <v>782</v>
      </c>
      <c r="S749">
        <v>340</v>
      </c>
      <c r="T749">
        <v>800</v>
      </c>
      <c r="U749">
        <v>1140</v>
      </c>
      <c r="V749">
        <v>18</v>
      </c>
      <c r="W749">
        <v>150</v>
      </c>
      <c r="X749">
        <v>70</v>
      </c>
      <c r="Y749">
        <v>460</v>
      </c>
      <c r="Z749">
        <v>84</v>
      </c>
      <c r="AA749">
        <v>217</v>
      </c>
      <c r="AB749" t="s">
        <v>1663</v>
      </c>
    </row>
    <row r="750" spans="1:28" x14ac:dyDescent="0.3">
      <c r="A750">
        <v>990</v>
      </c>
      <c r="B750" t="s">
        <v>1300</v>
      </c>
      <c r="C750">
        <v>0</v>
      </c>
      <c r="D750">
        <v>1610612752</v>
      </c>
      <c r="E750" t="s">
        <v>1248</v>
      </c>
      <c r="F750">
        <v>310</v>
      </c>
      <c r="G750">
        <v>72</v>
      </c>
      <c r="H750">
        <v>350</v>
      </c>
      <c r="I750">
        <v>11190</v>
      </c>
      <c r="J750">
        <v>105</v>
      </c>
      <c r="K750">
        <v>281</v>
      </c>
      <c r="L750">
        <v>374</v>
      </c>
      <c r="M750">
        <v>10</v>
      </c>
      <c r="N750">
        <v>10</v>
      </c>
      <c r="O750">
        <v>10</v>
      </c>
      <c r="P750">
        <v>107</v>
      </c>
      <c r="Q750">
        <v>137</v>
      </c>
      <c r="R750">
        <v>781</v>
      </c>
      <c r="S750">
        <v>840</v>
      </c>
      <c r="T750">
        <v>1750</v>
      </c>
      <c r="U750">
        <v>2590</v>
      </c>
      <c r="V750">
        <v>67</v>
      </c>
      <c r="W750">
        <v>430</v>
      </c>
      <c r="X750">
        <v>140</v>
      </c>
      <c r="Y750">
        <v>800</v>
      </c>
      <c r="Z750">
        <v>145</v>
      </c>
      <c r="AA750">
        <v>318</v>
      </c>
      <c r="AB750" t="s">
        <v>1663</v>
      </c>
    </row>
    <row r="751" spans="1:28" x14ac:dyDescent="0.3">
      <c r="A751">
        <v>990</v>
      </c>
      <c r="B751" t="s">
        <v>1302</v>
      </c>
      <c r="C751">
        <v>0</v>
      </c>
      <c r="D751">
        <v>1610612752</v>
      </c>
      <c r="E751" t="s">
        <v>1248</v>
      </c>
      <c r="F751">
        <v>320</v>
      </c>
      <c r="G751">
        <v>65</v>
      </c>
      <c r="H751">
        <v>20</v>
      </c>
      <c r="I751">
        <v>8100</v>
      </c>
      <c r="J751">
        <v>74</v>
      </c>
      <c r="K751">
        <v>186</v>
      </c>
      <c r="L751">
        <v>398</v>
      </c>
      <c r="M751">
        <v>20</v>
      </c>
      <c r="N751">
        <v>80</v>
      </c>
      <c r="O751">
        <v>25</v>
      </c>
      <c r="P751">
        <v>42</v>
      </c>
      <c r="Q751">
        <v>52</v>
      </c>
      <c r="R751">
        <v>808</v>
      </c>
      <c r="S751">
        <v>470</v>
      </c>
      <c r="T751">
        <v>1280</v>
      </c>
      <c r="U751">
        <v>1750</v>
      </c>
      <c r="V751">
        <v>65</v>
      </c>
      <c r="W751">
        <v>260</v>
      </c>
      <c r="X751">
        <v>90</v>
      </c>
      <c r="Y751">
        <v>650</v>
      </c>
      <c r="Z751">
        <v>120</v>
      </c>
      <c r="AA751">
        <v>192</v>
      </c>
      <c r="AB751" t="s">
        <v>1663</v>
      </c>
    </row>
    <row r="752" spans="1:28" x14ac:dyDescent="0.3">
      <c r="A752">
        <v>990</v>
      </c>
      <c r="B752" t="s">
        <v>1303</v>
      </c>
      <c r="C752">
        <v>0</v>
      </c>
      <c r="D752">
        <v>1610612752</v>
      </c>
      <c r="E752" t="s">
        <v>1248</v>
      </c>
      <c r="F752">
        <v>330</v>
      </c>
      <c r="G752">
        <v>49</v>
      </c>
      <c r="H752">
        <v>30</v>
      </c>
      <c r="I752">
        <v>4940</v>
      </c>
      <c r="J752">
        <v>66</v>
      </c>
      <c r="K752">
        <v>180</v>
      </c>
      <c r="L752">
        <v>367</v>
      </c>
      <c r="M752">
        <v>20</v>
      </c>
      <c r="N752">
        <v>70</v>
      </c>
      <c r="O752">
        <v>286</v>
      </c>
      <c r="P752">
        <v>37</v>
      </c>
      <c r="Q752">
        <v>51</v>
      </c>
      <c r="R752">
        <v>725</v>
      </c>
      <c r="S752">
        <v>310</v>
      </c>
      <c r="T752">
        <v>720</v>
      </c>
      <c r="U752">
        <v>1030</v>
      </c>
      <c r="V752">
        <v>28</v>
      </c>
      <c r="W752">
        <v>160</v>
      </c>
      <c r="X752">
        <v>70</v>
      </c>
      <c r="Y752">
        <v>400</v>
      </c>
      <c r="Z752">
        <v>80</v>
      </c>
      <c r="AA752">
        <v>171</v>
      </c>
      <c r="AB752" t="s">
        <v>1663</v>
      </c>
    </row>
    <row r="753" spans="1:28" x14ac:dyDescent="0.3">
      <c r="A753">
        <v>990</v>
      </c>
      <c r="B753" t="s">
        <v>1304</v>
      </c>
      <c r="C753">
        <v>0</v>
      </c>
      <c r="D753">
        <v>1610612752</v>
      </c>
      <c r="E753" t="s">
        <v>1248</v>
      </c>
      <c r="F753">
        <v>340</v>
      </c>
      <c r="G753">
        <v>18</v>
      </c>
      <c r="H753">
        <v>0</v>
      </c>
      <c r="I753">
        <v>1600</v>
      </c>
      <c r="J753">
        <v>11</v>
      </c>
      <c r="K753">
        <v>41</v>
      </c>
      <c r="L753">
        <v>268</v>
      </c>
      <c r="M753">
        <v>0</v>
      </c>
      <c r="N753">
        <v>40</v>
      </c>
      <c r="O753">
        <v>0</v>
      </c>
      <c r="P753">
        <v>8</v>
      </c>
      <c r="Q753">
        <v>11</v>
      </c>
      <c r="R753">
        <v>727</v>
      </c>
      <c r="S753">
        <v>40</v>
      </c>
      <c r="T753">
        <v>270</v>
      </c>
      <c r="U753">
        <v>310</v>
      </c>
      <c r="V753">
        <v>10</v>
      </c>
      <c r="W753">
        <v>10</v>
      </c>
      <c r="X753">
        <v>10</v>
      </c>
      <c r="Y753">
        <v>170</v>
      </c>
      <c r="Z753">
        <v>24</v>
      </c>
      <c r="AA753">
        <v>30</v>
      </c>
      <c r="AB753" t="s">
        <v>1663</v>
      </c>
    </row>
    <row r="754" spans="1:28" x14ac:dyDescent="0.3">
      <c r="A754">
        <v>78128</v>
      </c>
      <c r="B754" t="s">
        <v>1318</v>
      </c>
      <c r="C754">
        <v>0</v>
      </c>
      <c r="D754">
        <v>1610612752</v>
      </c>
      <c r="E754" t="s">
        <v>1248</v>
      </c>
      <c r="F754">
        <v>230</v>
      </c>
      <c r="G754">
        <v>7</v>
      </c>
      <c r="I754">
        <v>720</v>
      </c>
      <c r="J754">
        <v>4</v>
      </c>
      <c r="K754">
        <v>22</v>
      </c>
      <c r="L754">
        <v>182</v>
      </c>
      <c r="P754">
        <v>2</v>
      </c>
      <c r="Q754">
        <v>5</v>
      </c>
      <c r="R754">
        <v>4</v>
      </c>
      <c r="U754">
        <v>220</v>
      </c>
      <c r="V754">
        <v>0</v>
      </c>
      <c r="Z754">
        <v>12</v>
      </c>
      <c r="AA754">
        <v>10</v>
      </c>
      <c r="AB754" t="s">
        <v>1664</v>
      </c>
    </row>
    <row r="755" spans="1:28" x14ac:dyDescent="0.3">
      <c r="A755">
        <v>78128</v>
      </c>
      <c r="B755" t="s">
        <v>1320</v>
      </c>
      <c r="C755">
        <v>0</v>
      </c>
      <c r="D755">
        <v>1610612752</v>
      </c>
      <c r="E755" t="s">
        <v>1248</v>
      </c>
      <c r="F755">
        <v>240</v>
      </c>
      <c r="G755">
        <v>1</v>
      </c>
      <c r="I755">
        <v>20</v>
      </c>
      <c r="J755">
        <v>0</v>
      </c>
      <c r="K755">
        <v>1</v>
      </c>
      <c r="L755">
        <v>0</v>
      </c>
      <c r="P755">
        <v>0</v>
      </c>
      <c r="Q755">
        <v>0</v>
      </c>
      <c r="U755">
        <v>10</v>
      </c>
      <c r="V755">
        <v>0</v>
      </c>
      <c r="Z755">
        <v>0</v>
      </c>
      <c r="AA755">
        <v>0</v>
      </c>
      <c r="AB755" t="s">
        <v>1664</v>
      </c>
    </row>
    <row r="756" spans="1:28" x14ac:dyDescent="0.3">
      <c r="A756">
        <v>1631211</v>
      </c>
      <c r="B756" t="s">
        <v>1327</v>
      </c>
      <c r="C756">
        <v>0</v>
      </c>
      <c r="D756">
        <v>1610612752</v>
      </c>
      <c r="E756" t="s">
        <v>1248</v>
      </c>
      <c r="F756">
        <v>190</v>
      </c>
      <c r="G756">
        <v>3</v>
      </c>
      <c r="H756">
        <v>0</v>
      </c>
      <c r="I756">
        <v>80</v>
      </c>
      <c r="J756">
        <v>1</v>
      </c>
      <c r="K756">
        <v>4</v>
      </c>
      <c r="L756">
        <v>25</v>
      </c>
      <c r="M756">
        <v>10</v>
      </c>
      <c r="N756">
        <v>40</v>
      </c>
      <c r="O756">
        <v>25</v>
      </c>
      <c r="P756">
        <v>0</v>
      </c>
      <c r="Q756">
        <v>0</v>
      </c>
      <c r="R756">
        <v>0</v>
      </c>
      <c r="S756">
        <v>0</v>
      </c>
      <c r="T756">
        <v>20</v>
      </c>
      <c r="U756">
        <v>20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 t="s">
        <v>1665</v>
      </c>
    </row>
    <row r="757" spans="1:28" x14ac:dyDescent="0.3">
      <c r="A757">
        <v>285</v>
      </c>
      <c r="B757" t="s">
        <v>1271</v>
      </c>
      <c r="C757">
        <v>0</v>
      </c>
      <c r="D757">
        <v>1610612752</v>
      </c>
      <c r="E757" t="s">
        <v>1248</v>
      </c>
      <c r="F757">
        <v>240</v>
      </c>
      <c r="G757">
        <v>22</v>
      </c>
      <c r="H757">
        <v>0</v>
      </c>
      <c r="I757">
        <v>1070</v>
      </c>
      <c r="J757">
        <v>10</v>
      </c>
      <c r="K757">
        <v>27</v>
      </c>
      <c r="L757">
        <v>37</v>
      </c>
      <c r="M757">
        <v>10</v>
      </c>
      <c r="N757">
        <v>30</v>
      </c>
      <c r="O757">
        <v>333</v>
      </c>
      <c r="P757">
        <v>5</v>
      </c>
      <c r="Q757">
        <v>6</v>
      </c>
      <c r="R757">
        <v>833</v>
      </c>
      <c r="S757">
        <v>10</v>
      </c>
      <c r="T757">
        <v>90</v>
      </c>
      <c r="U757">
        <v>100</v>
      </c>
      <c r="V757">
        <v>20</v>
      </c>
      <c r="W757">
        <v>90</v>
      </c>
      <c r="X757">
        <v>0</v>
      </c>
      <c r="Y757">
        <v>100</v>
      </c>
      <c r="Z757">
        <v>12</v>
      </c>
      <c r="AA757">
        <v>26</v>
      </c>
      <c r="AB757" t="s">
        <v>1666</v>
      </c>
    </row>
    <row r="758" spans="1:28" x14ac:dyDescent="0.3">
      <c r="A758">
        <v>76509</v>
      </c>
      <c r="B758" t="s">
        <v>1358</v>
      </c>
      <c r="C758">
        <v>0</v>
      </c>
      <c r="D758">
        <v>1610612752</v>
      </c>
      <c r="E758" t="s">
        <v>1248</v>
      </c>
      <c r="F758">
        <v>230</v>
      </c>
      <c r="G758">
        <v>47</v>
      </c>
      <c r="I758">
        <v>4010</v>
      </c>
      <c r="J758">
        <v>74</v>
      </c>
      <c r="K758">
        <v>157</v>
      </c>
      <c r="L758">
        <v>471</v>
      </c>
      <c r="P758">
        <v>22</v>
      </c>
      <c r="Q758">
        <v>40</v>
      </c>
      <c r="R758">
        <v>55</v>
      </c>
      <c r="S758">
        <v>150</v>
      </c>
      <c r="T758">
        <v>220</v>
      </c>
      <c r="U758">
        <v>370</v>
      </c>
      <c r="V758">
        <v>30</v>
      </c>
      <c r="W758">
        <v>30</v>
      </c>
      <c r="X758">
        <v>10</v>
      </c>
      <c r="Z758">
        <v>48</v>
      </c>
      <c r="AA758">
        <v>170</v>
      </c>
      <c r="AB758" t="s">
        <v>1667</v>
      </c>
    </row>
    <row r="759" spans="1:28" x14ac:dyDescent="0.3">
      <c r="A759">
        <v>78187</v>
      </c>
      <c r="B759" t="s">
        <v>1349</v>
      </c>
      <c r="C759">
        <v>0</v>
      </c>
      <c r="D759">
        <v>1610612752</v>
      </c>
      <c r="E759" t="s">
        <v>1248</v>
      </c>
      <c r="F759">
        <v>240</v>
      </c>
      <c r="G759">
        <v>11</v>
      </c>
      <c r="I759">
        <v>1040</v>
      </c>
      <c r="J759">
        <v>11</v>
      </c>
      <c r="K759">
        <v>45</v>
      </c>
      <c r="L759">
        <v>244</v>
      </c>
      <c r="P759">
        <v>6</v>
      </c>
      <c r="Q759">
        <v>10</v>
      </c>
      <c r="R759">
        <v>6</v>
      </c>
      <c r="U759">
        <v>260</v>
      </c>
      <c r="V759">
        <v>9</v>
      </c>
      <c r="Z759">
        <v>15</v>
      </c>
      <c r="AA759">
        <v>28</v>
      </c>
      <c r="AB759" t="s">
        <v>1668</v>
      </c>
    </row>
    <row r="760" spans="1:28" x14ac:dyDescent="0.3">
      <c r="A760">
        <v>77221</v>
      </c>
      <c r="B760" t="s">
        <v>1339</v>
      </c>
      <c r="C760">
        <v>0</v>
      </c>
      <c r="D760">
        <v>1610612752</v>
      </c>
      <c r="E760" t="s">
        <v>1248</v>
      </c>
      <c r="F760">
        <v>280</v>
      </c>
      <c r="G760">
        <v>27</v>
      </c>
      <c r="I760">
        <v>0</v>
      </c>
      <c r="J760">
        <v>71</v>
      </c>
      <c r="K760">
        <v>274</v>
      </c>
      <c r="L760">
        <v>259</v>
      </c>
      <c r="P760">
        <v>52</v>
      </c>
      <c r="Q760">
        <v>71</v>
      </c>
      <c r="R760">
        <v>732</v>
      </c>
      <c r="U760">
        <v>0</v>
      </c>
      <c r="V760">
        <v>25</v>
      </c>
      <c r="Z760">
        <v>57</v>
      </c>
      <c r="AA760">
        <v>194</v>
      </c>
      <c r="AB760" t="s">
        <v>1669</v>
      </c>
    </row>
    <row r="761" spans="1:28" x14ac:dyDescent="0.3">
      <c r="A761">
        <v>202</v>
      </c>
      <c r="B761" t="s">
        <v>1276</v>
      </c>
      <c r="C761">
        <v>0</v>
      </c>
      <c r="D761">
        <v>1610612752</v>
      </c>
      <c r="E761" t="s">
        <v>1248</v>
      </c>
      <c r="F761">
        <v>310</v>
      </c>
      <c r="G761">
        <v>47</v>
      </c>
      <c r="H761">
        <v>10</v>
      </c>
      <c r="I761">
        <v>5960</v>
      </c>
      <c r="J761">
        <v>88</v>
      </c>
      <c r="K761">
        <v>181</v>
      </c>
      <c r="L761">
        <v>486</v>
      </c>
      <c r="M761">
        <v>80</v>
      </c>
      <c r="N761">
        <v>240</v>
      </c>
      <c r="O761">
        <v>333</v>
      </c>
      <c r="P761">
        <v>48</v>
      </c>
      <c r="Q761">
        <v>58</v>
      </c>
      <c r="R761">
        <v>828</v>
      </c>
      <c r="S761">
        <v>120</v>
      </c>
      <c r="T761">
        <v>400</v>
      </c>
      <c r="U761">
        <v>520</v>
      </c>
      <c r="V761">
        <v>69</v>
      </c>
      <c r="W761">
        <v>390</v>
      </c>
      <c r="X761">
        <v>30</v>
      </c>
      <c r="Y761">
        <v>450</v>
      </c>
      <c r="Z761">
        <v>91</v>
      </c>
      <c r="AA761">
        <v>232</v>
      </c>
      <c r="AB761" t="s">
        <v>1670</v>
      </c>
    </row>
    <row r="762" spans="1:28" x14ac:dyDescent="0.3">
      <c r="A762">
        <v>2223</v>
      </c>
      <c r="B762" t="s">
        <v>1343</v>
      </c>
      <c r="C762">
        <v>0</v>
      </c>
      <c r="D762">
        <v>1610612752</v>
      </c>
      <c r="E762" t="s">
        <v>1248</v>
      </c>
      <c r="F762">
        <v>350</v>
      </c>
      <c r="G762">
        <v>32</v>
      </c>
      <c r="H762">
        <v>210</v>
      </c>
      <c r="I762">
        <v>5440</v>
      </c>
      <c r="J762">
        <v>57</v>
      </c>
      <c r="K762">
        <v>130</v>
      </c>
      <c r="L762">
        <v>438</v>
      </c>
      <c r="M762">
        <v>0</v>
      </c>
      <c r="N762">
        <v>0</v>
      </c>
      <c r="O762">
        <v>0</v>
      </c>
      <c r="P762">
        <v>14</v>
      </c>
      <c r="Q762">
        <v>20</v>
      </c>
      <c r="R762">
        <v>7</v>
      </c>
      <c r="S762">
        <v>530</v>
      </c>
      <c r="T762">
        <v>1150</v>
      </c>
      <c r="U762">
        <v>1680</v>
      </c>
      <c r="V762">
        <v>29</v>
      </c>
      <c r="W762">
        <v>140</v>
      </c>
      <c r="X762">
        <v>410</v>
      </c>
      <c r="Y762">
        <v>390</v>
      </c>
      <c r="Z762">
        <v>70</v>
      </c>
      <c r="AA762">
        <v>128</v>
      </c>
      <c r="AB762" t="s">
        <v>1671</v>
      </c>
    </row>
    <row r="763" spans="1:28" x14ac:dyDescent="0.3">
      <c r="A763">
        <v>470</v>
      </c>
      <c r="B763" t="s">
        <v>1273</v>
      </c>
      <c r="C763">
        <v>0</v>
      </c>
      <c r="D763">
        <v>1610612752</v>
      </c>
      <c r="E763" t="s">
        <v>1248</v>
      </c>
      <c r="F763">
        <v>310</v>
      </c>
      <c r="G763">
        <v>77</v>
      </c>
      <c r="H763">
        <v>450</v>
      </c>
      <c r="I763">
        <v>18860</v>
      </c>
      <c r="J763">
        <v>216</v>
      </c>
      <c r="K763">
        <v>494</v>
      </c>
      <c r="L763">
        <v>437</v>
      </c>
      <c r="M763">
        <v>390</v>
      </c>
      <c r="N763">
        <v>1230</v>
      </c>
      <c r="O763">
        <v>317</v>
      </c>
      <c r="P763">
        <v>133</v>
      </c>
      <c r="Q763">
        <v>162</v>
      </c>
      <c r="R763">
        <v>821</v>
      </c>
      <c r="S763">
        <v>260</v>
      </c>
      <c r="T763">
        <v>1660</v>
      </c>
      <c r="U763">
        <v>1920</v>
      </c>
      <c r="V763">
        <v>405</v>
      </c>
      <c r="W763">
        <v>1230</v>
      </c>
      <c r="X763">
        <v>90</v>
      </c>
      <c r="Y763">
        <v>1140</v>
      </c>
      <c r="Z763">
        <v>215</v>
      </c>
      <c r="AA763">
        <v>604</v>
      </c>
      <c r="AB763" t="s">
        <v>1672</v>
      </c>
    </row>
    <row r="764" spans="1:28" x14ac:dyDescent="0.3">
      <c r="A764">
        <v>470</v>
      </c>
      <c r="B764" t="s">
        <v>1274</v>
      </c>
      <c r="C764">
        <v>0</v>
      </c>
      <c r="D764">
        <v>1610612752</v>
      </c>
      <c r="E764" t="s">
        <v>1248</v>
      </c>
      <c r="F764">
        <v>320</v>
      </c>
      <c r="G764">
        <v>19</v>
      </c>
      <c r="H764">
        <v>190</v>
      </c>
      <c r="I764">
        <v>4990</v>
      </c>
      <c r="J764">
        <v>55</v>
      </c>
      <c r="K764">
        <v>127</v>
      </c>
      <c r="L764">
        <v>433</v>
      </c>
      <c r="M764">
        <v>190</v>
      </c>
      <c r="N764">
        <v>520</v>
      </c>
      <c r="O764">
        <v>365</v>
      </c>
      <c r="P764">
        <v>14</v>
      </c>
      <c r="Q764">
        <v>22</v>
      </c>
      <c r="R764">
        <v>636</v>
      </c>
      <c r="S764">
        <v>40</v>
      </c>
      <c r="T764">
        <v>350</v>
      </c>
      <c r="U764">
        <v>390</v>
      </c>
      <c r="V764">
        <v>100</v>
      </c>
      <c r="W764">
        <v>250</v>
      </c>
      <c r="X764">
        <v>50</v>
      </c>
      <c r="Y764">
        <v>290</v>
      </c>
      <c r="Z764">
        <v>44</v>
      </c>
      <c r="AA764">
        <v>143</v>
      </c>
      <c r="AB764" t="s">
        <v>1672</v>
      </c>
    </row>
    <row r="765" spans="1:28" x14ac:dyDescent="0.3">
      <c r="A765">
        <v>470</v>
      </c>
      <c r="B765" t="s">
        <v>1275</v>
      </c>
      <c r="C765">
        <v>0</v>
      </c>
      <c r="D765">
        <v>1610612752</v>
      </c>
      <c r="E765" t="s">
        <v>1248</v>
      </c>
      <c r="F765">
        <v>330</v>
      </c>
      <c r="G765">
        <v>3</v>
      </c>
      <c r="H765">
        <v>0</v>
      </c>
      <c r="I765">
        <v>470</v>
      </c>
      <c r="J765">
        <v>4</v>
      </c>
      <c r="K765">
        <v>13</v>
      </c>
      <c r="L765">
        <v>308</v>
      </c>
      <c r="M765">
        <v>30</v>
      </c>
      <c r="N765">
        <v>50</v>
      </c>
      <c r="O765">
        <v>6</v>
      </c>
      <c r="P765">
        <v>8</v>
      </c>
      <c r="Q765">
        <v>11</v>
      </c>
      <c r="R765">
        <v>727</v>
      </c>
      <c r="S765">
        <v>20</v>
      </c>
      <c r="T765">
        <v>70</v>
      </c>
      <c r="U765">
        <v>90</v>
      </c>
      <c r="V765">
        <v>8</v>
      </c>
      <c r="W765">
        <v>40</v>
      </c>
      <c r="X765">
        <v>0</v>
      </c>
      <c r="Y765">
        <v>40</v>
      </c>
      <c r="Z765">
        <v>8</v>
      </c>
      <c r="AA765">
        <v>19</v>
      </c>
      <c r="AB765" t="s">
        <v>1672</v>
      </c>
    </row>
    <row r="766" spans="1:28" x14ac:dyDescent="0.3">
      <c r="A766">
        <v>280</v>
      </c>
      <c r="B766" t="s">
        <v>1465</v>
      </c>
      <c r="C766">
        <v>0</v>
      </c>
      <c r="D766">
        <v>1610612752</v>
      </c>
      <c r="E766" t="s">
        <v>1248</v>
      </c>
      <c r="F766">
        <v>330</v>
      </c>
      <c r="G766">
        <v>18</v>
      </c>
      <c r="H766">
        <v>0</v>
      </c>
      <c r="I766">
        <v>1120</v>
      </c>
      <c r="J766">
        <v>12</v>
      </c>
      <c r="K766">
        <v>20</v>
      </c>
      <c r="L766">
        <v>6</v>
      </c>
      <c r="M766">
        <v>0</v>
      </c>
      <c r="N766">
        <v>0</v>
      </c>
      <c r="O766">
        <v>0</v>
      </c>
      <c r="P766">
        <v>15</v>
      </c>
      <c r="Q766">
        <v>25</v>
      </c>
      <c r="R766">
        <v>6</v>
      </c>
      <c r="S766">
        <v>160</v>
      </c>
      <c r="T766">
        <v>190</v>
      </c>
      <c r="U766">
        <v>350</v>
      </c>
      <c r="V766">
        <v>2</v>
      </c>
      <c r="W766">
        <v>20</v>
      </c>
      <c r="X766">
        <v>20</v>
      </c>
      <c r="Y766">
        <v>110</v>
      </c>
      <c r="Z766">
        <v>24</v>
      </c>
      <c r="AA766">
        <v>39</v>
      </c>
      <c r="AB766" t="s">
        <v>1673</v>
      </c>
    </row>
    <row r="767" spans="1:28" x14ac:dyDescent="0.3">
      <c r="A767">
        <v>280</v>
      </c>
      <c r="B767" t="s">
        <v>1330</v>
      </c>
      <c r="C767">
        <v>0</v>
      </c>
      <c r="D767">
        <v>1610612752</v>
      </c>
      <c r="E767" t="s">
        <v>1248</v>
      </c>
      <c r="F767">
        <v>340</v>
      </c>
      <c r="G767">
        <v>32</v>
      </c>
      <c r="H767">
        <v>80</v>
      </c>
      <c r="I767">
        <v>2480</v>
      </c>
      <c r="J767">
        <v>6</v>
      </c>
      <c r="K767">
        <v>26</v>
      </c>
      <c r="L767">
        <v>231</v>
      </c>
      <c r="M767">
        <v>0</v>
      </c>
      <c r="N767">
        <v>0</v>
      </c>
      <c r="O767">
        <v>0</v>
      </c>
      <c r="P767">
        <v>17</v>
      </c>
      <c r="Q767">
        <v>33</v>
      </c>
      <c r="R767">
        <v>515</v>
      </c>
      <c r="S767">
        <v>160</v>
      </c>
      <c r="T767">
        <v>340</v>
      </c>
      <c r="U767">
        <v>500</v>
      </c>
      <c r="V767">
        <v>3</v>
      </c>
      <c r="W767">
        <v>70</v>
      </c>
      <c r="X767">
        <v>80</v>
      </c>
      <c r="Y767">
        <v>120</v>
      </c>
      <c r="Z767">
        <v>73</v>
      </c>
      <c r="AA767">
        <v>29</v>
      </c>
      <c r="AB767" t="s">
        <v>1673</v>
      </c>
    </row>
    <row r="768" spans="1:28" x14ac:dyDescent="0.3">
      <c r="A768">
        <v>77218</v>
      </c>
      <c r="B768" t="s">
        <v>1378</v>
      </c>
      <c r="C768">
        <v>0</v>
      </c>
      <c r="D768">
        <v>1610612752</v>
      </c>
      <c r="E768" t="s">
        <v>1248</v>
      </c>
      <c r="F768">
        <v>230</v>
      </c>
      <c r="G768">
        <v>61</v>
      </c>
      <c r="J768">
        <v>111</v>
      </c>
      <c r="K768">
        <v>286</v>
      </c>
      <c r="L768">
        <v>388</v>
      </c>
      <c r="P768">
        <v>78</v>
      </c>
      <c r="Q768">
        <v>125</v>
      </c>
      <c r="R768">
        <v>624</v>
      </c>
      <c r="U768">
        <v>1530</v>
      </c>
      <c r="V768">
        <v>74</v>
      </c>
      <c r="Z768">
        <v>102</v>
      </c>
      <c r="AA768">
        <v>300</v>
      </c>
      <c r="AB768" t="s">
        <v>1674</v>
      </c>
    </row>
    <row r="769" spans="1:28" x14ac:dyDescent="0.3">
      <c r="A769">
        <v>77218</v>
      </c>
      <c r="B769" t="s">
        <v>1247</v>
      </c>
      <c r="C769">
        <v>0</v>
      </c>
      <c r="D769">
        <v>1610612752</v>
      </c>
      <c r="E769" t="s">
        <v>1248</v>
      </c>
      <c r="F769">
        <v>240</v>
      </c>
      <c r="G769">
        <v>52</v>
      </c>
      <c r="I769">
        <v>9550</v>
      </c>
      <c r="J769">
        <v>115</v>
      </c>
      <c r="K769">
        <v>307</v>
      </c>
      <c r="L769">
        <v>375</v>
      </c>
      <c r="P769">
        <v>92</v>
      </c>
      <c r="Q769">
        <v>134</v>
      </c>
      <c r="R769">
        <v>687</v>
      </c>
      <c r="U769">
        <v>1960</v>
      </c>
      <c r="V769">
        <v>88</v>
      </c>
      <c r="Z769">
        <v>107</v>
      </c>
      <c r="AA769">
        <v>322</v>
      </c>
      <c r="AB769" t="s">
        <v>1674</v>
      </c>
    </row>
    <row r="770" spans="1:28" x14ac:dyDescent="0.3">
      <c r="A770">
        <v>76847</v>
      </c>
      <c r="B770" t="s">
        <v>1394</v>
      </c>
      <c r="C770">
        <v>0</v>
      </c>
      <c r="D770">
        <v>1610612752</v>
      </c>
      <c r="E770" t="s">
        <v>1248</v>
      </c>
      <c r="F770">
        <v>250</v>
      </c>
      <c r="G770">
        <v>15</v>
      </c>
      <c r="H770">
        <v>0</v>
      </c>
      <c r="I770">
        <v>1660</v>
      </c>
      <c r="J770">
        <v>20</v>
      </c>
      <c r="K770">
        <v>54</v>
      </c>
      <c r="L770">
        <v>37</v>
      </c>
      <c r="M770">
        <v>0</v>
      </c>
      <c r="N770">
        <v>30</v>
      </c>
      <c r="O770">
        <v>0</v>
      </c>
      <c r="P770">
        <v>9</v>
      </c>
      <c r="Q770">
        <v>11</v>
      </c>
      <c r="R770">
        <v>818</v>
      </c>
      <c r="S770">
        <v>60</v>
      </c>
      <c r="T770">
        <v>110</v>
      </c>
      <c r="U770">
        <v>170</v>
      </c>
      <c r="V770">
        <v>27</v>
      </c>
      <c r="W770">
        <v>70</v>
      </c>
      <c r="X770">
        <v>10</v>
      </c>
      <c r="Y770">
        <v>220</v>
      </c>
      <c r="Z770">
        <v>17</v>
      </c>
      <c r="AA770">
        <v>49</v>
      </c>
      <c r="AB770" t="s">
        <v>1675</v>
      </c>
    </row>
    <row r="771" spans="1:28" x14ac:dyDescent="0.3">
      <c r="A771">
        <v>2201</v>
      </c>
      <c r="B771" t="s">
        <v>1300</v>
      </c>
      <c r="C771">
        <v>0</v>
      </c>
      <c r="D771">
        <v>1610612752</v>
      </c>
      <c r="E771" t="s">
        <v>1248</v>
      </c>
      <c r="F771">
        <v>230</v>
      </c>
      <c r="G771">
        <v>72</v>
      </c>
      <c r="H771">
        <v>690</v>
      </c>
      <c r="I771">
        <v>18660</v>
      </c>
      <c r="J771">
        <v>336</v>
      </c>
      <c r="K771">
        <v>597</v>
      </c>
      <c r="L771">
        <v>563</v>
      </c>
      <c r="M771">
        <v>0</v>
      </c>
      <c r="N771">
        <v>0</v>
      </c>
      <c r="O771">
        <v>0</v>
      </c>
      <c r="P771">
        <v>307</v>
      </c>
      <c r="Q771">
        <v>486</v>
      </c>
      <c r="R771">
        <v>632</v>
      </c>
      <c r="S771">
        <v>1450</v>
      </c>
      <c r="T771">
        <v>2870</v>
      </c>
      <c r="U771">
        <v>4320</v>
      </c>
      <c r="V771">
        <v>19</v>
      </c>
      <c r="W771">
        <v>280</v>
      </c>
      <c r="X771">
        <v>560</v>
      </c>
      <c r="Y771">
        <v>1790</v>
      </c>
      <c r="Z771">
        <v>239</v>
      </c>
      <c r="AA771">
        <v>979</v>
      </c>
      <c r="AB771" t="s">
        <v>1676</v>
      </c>
    </row>
    <row r="772" spans="1:28" x14ac:dyDescent="0.3">
      <c r="A772">
        <v>2201</v>
      </c>
      <c r="B772" t="s">
        <v>1302</v>
      </c>
      <c r="C772">
        <v>0</v>
      </c>
      <c r="D772">
        <v>1610612752</v>
      </c>
      <c r="E772" t="s">
        <v>1248</v>
      </c>
      <c r="F772">
        <v>240</v>
      </c>
      <c r="G772">
        <v>81</v>
      </c>
      <c r="H772">
        <v>810</v>
      </c>
      <c r="I772">
        <v>28490</v>
      </c>
      <c r="J772">
        <v>585</v>
      </c>
      <c r="K772">
        <v>1016</v>
      </c>
      <c r="L772">
        <v>576</v>
      </c>
      <c r="M772">
        <v>10</v>
      </c>
      <c r="N772">
        <v>10</v>
      </c>
      <c r="O772">
        <v>10</v>
      </c>
      <c r="P772">
        <v>405</v>
      </c>
      <c r="Q772">
        <v>659</v>
      </c>
      <c r="R772">
        <v>615</v>
      </c>
      <c r="S772">
        <v>1950</v>
      </c>
      <c r="T772">
        <v>3760</v>
      </c>
      <c r="U772">
        <v>5710</v>
      </c>
      <c r="V772">
        <v>68</v>
      </c>
      <c r="W772">
        <v>340</v>
      </c>
      <c r="X772">
        <v>400</v>
      </c>
      <c r="Y772">
        <v>2950</v>
      </c>
      <c r="Z772">
        <v>265</v>
      </c>
      <c r="AA772">
        <v>1576</v>
      </c>
      <c r="AB772" t="s">
        <v>1676</v>
      </c>
    </row>
    <row r="773" spans="1:28" x14ac:dyDescent="0.3">
      <c r="A773">
        <v>2201</v>
      </c>
      <c r="B773" t="s">
        <v>1303</v>
      </c>
      <c r="C773">
        <v>0</v>
      </c>
      <c r="D773">
        <v>1610612752</v>
      </c>
      <c r="E773" t="s">
        <v>1248</v>
      </c>
      <c r="F773">
        <v>250</v>
      </c>
      <c r="G773">
        <v>59</v>
      </c>
      <c r="H773">
        <v>580</v>
      </c>
      <c r="I773">
        <v>15300</v>
      </c>
      <c r="J773">
        <v>297</v>
      </c>
      <c r="K773">
        <v>544</v>
      </c>
      <c r="L773">
        <v>546</v>
      </c>
      <c r="M773">
        <v>0</v>
      </c>
      <c r="N773">
        <v>0</v>
      </c>
      <c r="O773">
        <v>0</v>
      </c>
      <c r="P773">
        <v>187</v>
      </c>
      <c r="Q773">
        <v>300</v>
      </c>
      <c r="R773">
        <v>623</v>
      </c>
      <c r="S773">
        <v>1110</v>
      </c>
      <c r="T773">
        <v>1640</v>
      </c>
      <c r="U773">
        <v>2750</v>
      </c>
      <c r="V773">
        <v>32</v>
      </c>
      <c r="W773">
        <v>140</v>
      </c>
      <c r="X773">
        <v>290</v>
      </c>
      <c r="Y773">
        <v>1260</v>
      </c>
      <c r="Z773">
        <v>157</v>
      </c>
      <c r="AA773">
        <v>781</v>
      </c>
      <c r="AB773" t="s">
        <v>1676</v>
      </c>
    </row>
    <row r="774" spans="1:28" x14ac:dyDescent="0.3">
      <c r="A774">
        <v>2201</v>
      </c>
      <c r="B774" t="s">
        <v>1304</v>
      </c>
      <c r="C774">
        <v>0</v>
      </c>
      <c r="D774">
        <v>1610612752</v>
      </c>
      <c r="E774" t="s">
        <v>1248</v>
      </c>
      <c r="F774">
        <v>260</v>
      </c>
      <c r="G774">
        <v>3</v>
      </c>
      <c r="H774">
        <v>0</v>
      </c>
      <c r="I774">
        <v>120</v>
      </c>
      <c r="J774">
        <v>2</v>
      </c>
      <c r="K774">
        <v>2</v>
      </c>
      <c r="L774">
        <v>10</v>
      </c>
      <c r="M774">
        <v>0</v>
      </c>
      <c r="N774">
        <v>0</v>
      </c>
      <c r="O774">
        <v>0</v>
      </c>
      <c r="P774">
        <v>1</v>
      </c>
      <c r="Q774">
        <v>3</v>
      </c>
      <c r="R774">
        <v>333</v>
      </c>
      <c r="S774">
        <v>0</v>
      </c>
      <c r="T774">
        <v>40</v>
      </c>
      <c r="U774">
        <v>40</v>
      </c>
      <c r="V774">
        <v>0</v>
      </c>
      <c r="W774">
        <v>0</v>
      </c>
      <c r="X774">
        <v>0</v>
      </c>
      <c r="Y774">
        <v>20</v>
      </c>
      <c r="Z774">
        <v>5</v>
      </c>
      <c r="AA774">
        <v>5</v>
      </c>
      <c r="AB774" t="s">
        <v>1676</v>
      </c>
    </row>
    <row r="775" spans="1:28" x14ac:dyDescent="0.3">
      <c r="A775">
        <v>2201</v>
      </c>
      <c r="B775" t="s">
        <v>1305</v>
      </c>
      <c r="C775">
        <v>0</v>
      </c>
      <c r="D775">
        <v>1610612752</v>
      </c>
      <c r="E775" t="s">
        <v>1248</v>
      </c>
      <c r="F775">
        <v>270</v>
      </c>
      <c r="G775">
        <v>7</v>
      </c>
      <c r="H775">
        <v>0</v>
      </c>
      <c r="I775">
        <v>620</v>
      </c>
      <c r="J775">
        <v>8</v>
      </c>
      <c r="K775">
        <v>21</v>
      </c>
      <c r="L775">
        <v>381</v>
      </c>
      <c r="M775">
        <v>0</v>
      </c>
      <c r="N775">
        <v>0</v>
      </c>
      <c r="O775">
        <v>0</v>
      </c>
      <c r="P775">
        <v>10</v>
      </c>
      <c r="Q775">
        <v>17</v>
      </c>
      <c r="R775">
        <v>588</v>
      </c>
      <c r="S775">
        <v>40</v>
      </c>
      <c r="T775">
        <v>90</v>
      </c>
      <c r="U775">
        <v>130</v>
      </c>
      <c r="V775">
        <v>0</v>
      </c>
      <c r="W775">
        <v>0</v>
      </c>
      <c r="X775">
        <v>10</v>
      </c>
      <c r="Y775">
        <v>130</v>
      </c>
      <c r="Z775">
        <v>13</v>
      </c>
      <c r="AA775">
        <v>26</v>
      </c>
      <c r="AB775" t="s">
        <v>1676</v>
      </c>
    </row>
    <row r="776" spans="1:28" x14ac:dyDescent="0.3">
      <c r="A776">
        <v>317</v>
      </c>
      <c r="B776" t="s">
        <v>1271</v>
      </c>
      <c r="C776">
        <v>0</v>
      </c>
      <c r="D776">
        <v>1610612752</v>
      </c>
      <c r="E776" t="s">
        <v>1248</v>
      </c>
      <c r="F776">
        <v>250</v>
      </c>
      <c r="G776">
        <v>61</v>
      </c>
      <c r="H776">
        <v>100</v>
      </c>
      <c r="I776">
        <v>11730</v>
      </c>
      <c r="J776">
        <v>180</v>
      </c>
      <c r="K776">
        <v>410</v>
      </c>
      <c r="L776">
        <v>439</v>
      </c>
      <c r="M776">
        <v>270</v>
      </c>
      <c r="N776">
        <v>930</v>
      </c>
      <c r="O776">
        <v>29</v>
      </c>
      <c r="P776">
        <v>79</v>
      </c>
      <c r="Q776">
        <v>105</v>
      </c>
      <c r="R776">
        <v>752</v>
      </c>
      <c r="S776">
        <v>300</v>
      </c>
      <c r="T776">
        <v>1010</v>
      </c>
      <c r="U776">
        <v>1310</v>
      </c>
      <c r="V776">
        <v>204</v>
      </c>
      <c r="W776">
        <v>590</v>
      </c>
      <c r="X776">
        <v>170</v>
      </c>
      <c r="Y776">
        <v>740</v>
      </c>
      <c r="Z776">
        <v>137</v>
      </c>
      <c r="AA776">
        <v>466</v>
      </c>
      <c r="AB776" t="s">
        <v>1677</v>
      </c>
    </row>
    <row r="777" spans="1:28" x14ac:dyDescent="0.3">
      <c r="A777">
        <v>317</v>
      </c>
      <c r="B777" t="s">
        <v>1272</v>
      </c>
      <c r="C777">
        <v>0</v>
      </c>
      <c r="D777">
        <v>1610612752</v>
      </c>
      <c r="E777" t="s">
        <v>1248</v>
      </c>
      <c r="F777">
        <v>260</v>
      </c>
      <c r="G777">
        <v>82</v>
      </c>
      <c r="H777">
        <v>0</v>
      </c>
      <c r="I777">
        <v>21180</v>
      </c>
      <c r="J777">
        <v>405</v>
      </c>
      <c r="K777">
        <v>902</v>
      </c>
      <c r="L777">
        <v>449</v>
      </c>
      <c r="M777">
        <v>940</v>
      </c>
      <c r="N777">
        <v>2700</v>
      </c>
      <c r="O777">
        <v>348</v>
      </c>
      <c r="P777">
        <v>235</v>
      </c>
      <c r="Q777">
        <v>302</v>
      </c>
      <c r="R777">
        <v>778</v>
      </c>
      <c r="S777">
        <v>450</v>
      </c>
      <c r="T777">
        <v>1460</v>
      </c>
      <c r="U777">
        <v>1910</v>
      </c>
      <c r="V777">
        <v>276</v>
      </c>
      <c r="W777">
        <v>1030</v>
      </c>
      <c r="X777">
        <v>180</v>
      </c>
      <c r="Y777">
        <v>1500</v>
      </c>
      <c r="Z777">
        <v>231</v>
      </c>
      <c r="AA777">
        <v>1139</v>
      </c>
      <c r="AB777" t="s">
        <v>1677</v>
      </c>
    </row>
    <row r="778" spans="1:28" x14ac:dyDescent="0.3">
      <c r="A778">
        <v>317</v>
      </c>
      <c r="B778" t="s">
        <v>1273</v>
      </c>
      <c r="C778">
        <v>0</v>
      </c>
      <c r="D778">
        <v>1610612752</v>
      </c>
      <c r="E778" t="s">
        <v>1248</v>
      </c>
      <c r="F778">
        <v>270</v>
      </c>
      <c r="G778">
        <v>80</v>
      </c>
      <c r="H778">
        <v>510</v>
      </c>
      <c r="I778">
        <v>24770</v>
      </c>
      <c r="J778">
        <v>513</v>
      </c>
      <c r="K778">
        <v>1199</v>
      </c>
      <c r="L778">
        <v>428</v>
      </c>
      <c r="M778">
        <v>1080</v>
      </c>
      <c r="N778">
        <v>3360</v>
      </c>
      <c r="O778">
        <v>321</v>
      </c>
      <c r="P778">
        <v>263</v>
      </c>
      <c r="Q778">
        <v>331</v>
      </c>
      <c r="R778">
        <v>795</v>
      </c>
      <c r="S778">
        <v>540</v>
      </c>
      <c r="T778">
        <v>1500</v>
      </c>
      <c r="U778">
        <v>2040</v>
      </c>
      <c r="V778">
        <v>404</v>
      </c>
      <c r="W778">
        <v>910</v>
      </c>
      <c r="X778">
        <v>120</v>
      </c>
      <c r="Y778">
        <v>1730</v>
      </c>
      <c r="Z778">
        <v>234</v>
      </c>
      <c r="AA778">
        <v>1397</v>
      </c>
      <c r="AB778" t="s">
        <v>1677</v>
      </c>
    </row>
    <row r="779" spans="1:28" x14ac:dyDescent="0.3">
      <c r="A779">
        <v>317</v>
      </c>
      <c r="B779" t="s">
        <v>1274</v>
      </c>
      <c r="C779">
        <v>0</v>
      </c>
      <c r="D779">
        <v>1610612752</v>
      </c>
      <c r="E779" t="s">
        <v>1248</v>
      </c>
      <c r="F779">
        <v>280</v>
      </c>
      <c r="G779">
        <v>59</v>
      </c>
      <c r="H779">
        <v>540</v>
      </c>
      <c r="I779">
        <v>20570</v>
      </c>
      <c r="J779">
        <v>410</v>
      </c>
      <c r="K779">
        <v>977</v>
      </c>
      <c r="L779">
        <v>42</v>
      </c>
      <c r="M779">
        <v>1130</v>
      </c>
      <c r="N779">
        <v>3370</v>
      </c>
      <c r="O779">
        <v>335</v>
      </c>
      <c r="P779">
        <v>187</v>
      </c>
      <c r="Q779">
        <v>248</v>
      </c>
      <c r="R779">
        <v>754</v>
      </c>
      <c r="S779">
        <v>370</v>
      </c>
      <c r="T779">
        <v>1480</v>
      </c>
      <c r="U779">
        <v>1850</v>
      </c>
      <c r="V779">
        <v>348</v>
      </c>
      <c r="W779">
        <v>950</v>
      </c>
      <c r="X779">
        <v>60</v>
      </c>
      <c r="Y779">
        <v>1840</v>
      </c>
      <c r="Z779">
        <v>191</v>
      </c>
      <c r="AA779">
        <v>1120</v>
      </c>
      <c r="AB779" t="s">
        <v>1677</v>
      </c>
    </row>
    <row r="780" spans="1:28" x14ac:dyDescent="0.3">
      <c r="A780">
        <v>317</v>
      </c>
      <c r="B780" t="s">
        <v>1275</v>
      </c>
      <c r="C780">
        <v>0</v>
      </c>
      <c r="D780">
        <v>1610612752</v>
      </c>
      <c r="E780" t="s">
        <v>1248</v>
      </c>
      <c r="F780">
        <v>290</v>
      </c>
      <c r="G780">
        <v>80</v>
      </c>
      <c r="H780">
        <v>780</v>
      </c>
      <c r="I780">
        <v>27250</v>
      </c>
      <c r="J780">
        <v>419</v>
      </c>
      <c r="K780">
        <v>1062</v>
      </c>
      <c r="L780">
        <v>395</v>
      </c>
      <c r="M780">
        <v>2170</v>
      </c>
      <c r="N780">
        <v>6110</v>
      </c>
      <c r="O780">
        <v>355</v>
      </c>
      <c r="P780">
        <v>168</v>
      </c>
      <c r="Q780">
        <v>228</v>
      </c>
      <c r="R780">
        <v>737</v>
      </c>
      <c r="S780">
        <v>340</v>
      </c>
      <c r="T780">
        <v>1850</v>
      </c>
      <c r="U780">
        <v>2190</v>
      </c>
      <c r="V780">
        <v>411</v>
      </c>
      <c r="W780">
        <v>920</v>
      </c>
      <c r="X780">
        <v>40</v>
      </c>
      <c r="Y780">
        <v>1600</v>
      </c>
      <c r="Z780">
        <v>257</v>
      </c>
      <c r="AA780">
        <v>1223</v>
      </c>
      <c r="AB780" t="s">
        <v>1677</v>
      </c>
    </row>
    <row r="781" spans="1:28" x14ac:dyDescent="0.3">
      <c r="A781">
        <v>317</v>
      </c>
      <c r="B781" t="s">
        <v>1276</v>
      </c>
      <c r="C781">
        <v>0</v>
      </c>
      <c r="D781">
        <v>1610612752</v>
      </c>
      <c r="E781" t="s">
        <v>1248</v>
      </c>
      <c r="F781">
        <v>300</v>
      </c>
      <c r="G781">
        <v>81</v>
      </c>
      <c r="H781">
        <v>710</v>
      </c>
      <c r="I781">
        <v>24910</v>
      </c>
      <c r="J781">
        <v>375</v>
      </c>
      <c r="K781">
        <v>846</v>
      </c>
      <c r="L781">
        <v>443</v>
      </c>
      <c r="M781">
        <v>1430</v>
      </c>
      <c r="N781">
        <v>3960</v>
      </c>
      <c r="O781">
        <v>361</v>
      </c>
      <c r="P781">
        <v>131</v>
      </c>
      <c r="Q781">
        <v>174</v>
      </c>
      <c r="R781">
        <v>753</v>
      </c>
      <c r="S781">
        <v>310</v>
      </c>
      <c r="T781">
        <v>2060</v>
      </c>
      <c r="U781">
        <v>2370</v>
      </c>
      <c r="V781">
        <v>315</v>
      </c>
      <c r="W781">
        <v>1030</v>
      </c>
      <c r="X781">
        <v>110</v>
      </c>
      <c r="Y781">
        <v>1560</v>
      </c>
      <c r="Z781">
        <v>226</v>
      </c>
      <c r="AA781">
        <v>1024</v>
      </c>
      <c r="AB781" t="s">
        <v>1677</v>
      </c>
    </row>
    <row r="782" spans="1:28" x14ac:dyDescent="0.3">
      <c r="A782">
        <v>317</v>
      </c>
      <c r="B782" t="s">
        <v>1277</v>
      </c>
      <c r="C782">
        <v>0</v>
      </c>
      <c r="D782">
        <v>1610612752</v>
      </c>
      <c r="E782" t="s">
        <v>1248</v>
      </c>
      <c r="F782">
        <v>310</v>
      </c>
      <c r="G782">
        <v>77</v>
      </c>
      <c r="H782">
        <v>10</v>
      </c>
      <c r="I782">
        <v>20460</v>
      </c>
      <c r="J782">
        <v>369</v>
      </c>
      <c r="K782">
        <v>856</v>
      </c>
      <c r="L782">
        <v>431</v>
      </c>
      <c r="M782">
        <v>1500</v>
      </c>
      <c r="N782">
        <v>4070</v>
      </c>
      <c r="O782">
        <v>369</v>
      </c>
      <c r="P782">
        <v>173</v>
      </c>
      <c r="Q782">
        <v>225</v>
      </c>
      <c r="R782">
        <v>769</v>
      </c>
      <c r="S782">
        <v>360</v>
      </c>
      <c r="T782">
        <v>1690</v>
      </c>
      <c r="U782">
        <v>2050</v>
      </c>
      <c r="V782">
        <v>217</v>
      </c>
      <c r="W782">
        <v>900</v>
      </c>
      <c r="X782">
        <v>110</v>
      </c>
      <c r="Y782">
        <v>1580</v>
      </c>
      <c r="Z782">
        <v>196</v>
      </c>
      <c r="AA782">
        <v>1061</v>
      </c>
      <c r="AB782" t="s">
        <v>1677</v>
      </c>
    </row>
    <row r="783" spans="1:28" x14ac:dyDescent="0.3">
      <c r="A783">
        <v>317</v>
      </c>
      <c r="B783" t="s">
        <v>1278</v>
      </c>
      <c r="C783">
        <v>0</v>
      </c>
      <c r="D783">
        <v>1610612752</v>
      </c>
      <c r="E783" t="s">
        <v>1248</v>
      </c>
      <c r="F783">
        <v>320</v>
      </c>
      <c r="G783">
        <v>82</v>
      </c>
      <c r="H783">
        <v>100</v>
      </c>
      <c r="I783">
        <v>21880</v>
      </c>
      <c r="J783">
        <v>372</v>
      </c>
      <c r="K783">
        <v>947</v>
      </c>
      <c r="L783">
        <v>393</v>
      </c>
      <c r="M783">
        <v>1300</v>
      </c>
      <c r="N783">
        <v>3980</v>
      </c>
      <c r="O783">
        <v>327</v>
      </c>
      <c r="P783">
        <v>185</v>
      </c>
      <c r="Q783">
        <v>235</v>
      </c>
      <c r="R783">
        <v>787</v>
      </c>
      <c r="S783">
        <v>480</v>
      </c>
      <c r="T783">
        <v>1820</v>
      </c>
      <c r="U783">
        <v>2300</v>
      </c>
      <c r="V783">
        <v>219</v>
      </c>
      <c r="W783">
        <v>780</v>
      </c>
      <c r="X783">
        <v>50</v>
      </c>
      <c r="Y783">
        <v>1430</v>
      </c>
      <c r="Z783">
        <v>205</v>
      </c>
      <c r="AA783">
        <v>1059</v>
      </c>
      <c r="AB783" t="s">
        <v>1677</v>
      </c>
    </row>
    <row r="784" spans="1:28" x14ac:dyDescent="0.3">
      <c r="A784">
        <v>1629629</v>
      </c>
      <c r="B784" t="s">
        <v>1308</v>
      </c>
      <c r="C784">
        <v>0</v>
      </c>
      <c r="D784">
        <v>1610612752</v>
      </c>
      <c r="E784" t="s">
        <v>1248</v>
      </c>
      <c r="F784">
        <v>220</v>
      </c>
      <c r="G784">
        <v>15</v>
      </c>
      <c r="H784">
        <v>0</v>
      </c>
      <c r="I784">
        <v>2160</v>
      </c>
      <c r="J784">
        <v>27</v>
      </c>
      <c r="K784">
        <v>65</v>
      </c>
      <c r="L784">
        <v>415</v>
      </c>
      <c r="M784">
        <v>80</v>
      </c>
      <c r="N784">
        <v>310</v>
      </c>
      <c r="O784">
        <v>258</v>
      </c>
      <c r="P784">
        <v>29</v>
      </c>
      <c r="Q784">
        <v>32</v>
      </c>
      <c r="R784">
        <v>906</v>
      </c>
      <c r="S784">
        <v>50</v>
      </c>
      <c r="T784">
        <v>160</v>
      </c>
      <c r="U784">
        <v>210</v>
      </c>
      <c r="V784">
        <v>10</v>
      </c>
      <c r="W784">
        <v>120</v>
      </c>
      <c r="X784">
        <v>40</v>
      </c>
      <c r="Y784">
        <v>130</v>
      </c>
      <c r="Z784">
        <v>15</v>
      </c>
      <c r="AA784">
        <v>91</v>
      </c>
      <c r="AB784" t="s">
        <v>1678</v>
      </c>
    </row>
    <row r="785" spans="1:28" x14ac:dyDescent="0.3">
      <c r="A785">
        <v>1629629</v>
      </c>
      <c r="B785" t="s">
        <v>1327</v>
      </c>
      <c r="C785">
        <v>0</v>
      </c>
      <c r="D785">
        <v>1610612752</v>
      </c>
      <c r="E785" t="s">
        <v>1248</v>
      </c>
      <c r="F785">
        <v>230</v>
      </c>
      <c r="G785">
        <v>20</v>
      </c>
      <c r="H785">
        <v>80</v>
      </c>
      <c r="I785">
        <v>4380</v>
      </c>
      <c r="J785">
        <v>61</v>
      </c>
      <c r="K785">
        <v>136</v>
      </c>
      <c r="L785">
        <v>449</v>
      </c>
      <c r="M785">
        <v>170</v>
      </c>
      <c r="N785">
        <v>560</v>
      </c>
      <c r="O785">
        <v>304</v>
      </c>
      <c r="P785">
        <v>29</v>
      </c>
      <c r="Q785">
        <v>33</v>
      </c>
      <c r="R785">
        <v>879</v>
      </c>
      <c r="S785">
        <v>70</v>
      </c>
      <c r="T785">
        <v>240</v>
      </c>
      <c r="U785">
        <v>310</v>
      </c>
      <c r="V785">
        <v>20</v>
      </c>
      <c r="W785">
        <v>150</v>
      </c>
      <c r="X785">
        <v>80</v>
      </c>
      <c r="Y785">
        <v>150</v>
      </c>
      <c r="Z785">
        <v>32</v>
      </c>
      <c r="AA785">
        <v>168</v>
      </c>
      <c r="AB785" t="s">
        <v>1678</v>
      </c>
    </row>
    <row r="786" spans="1:28" x14ac:dyDescent="0.3">
      <c r="A786">
        <v>77210</v>
      </c>
      <c r="B786" t="s">
        <v>1318</v>
      </c>
      <c r="C786">
        <v>0</v>
      </c>
      <c r="D786">
        <v>1610612752</v>
      </c>
      <c r="E786" t="s">
        <v>1248</v>
      </c>
      <c r="F786">
        <v>230</v>
      </c>
      <c r="G786">
        <v>9</v>
      </c>
      <c r="I786">
        <v>910</v>
      </c>
      <c r="J786">
        <v>18</v>
      </c>
      <c r="K786">
        <v>49</v>
      </c>
      <c r="L786">
        <v>367</v>
      </c>
      <c r="P786">
        <v>8</v>
      </c>
      <c r="Q786">
        <v>12</v>
      </c>
      <c r="R786">
        <v>667</v>
      </c>
      <c r="U786">
        <v>340</v>
      </c>
      <c r="V786">
        <v>2</v>
      </c>
      <c r="Z786">
        <v>15</v>
      </c>
      <c r="AA786">
        <v>44</v>
      </c>
      <c r="AB786" t="s">
        <v>1679</v>
      </c>
    </row>
    <row r="787" spans="1:28" x14ac:dyDescent="0.3">
      <c r="A787">
        <v>77210</v>
      </c>
      <c r="B787" t="s">
        <v>1323</v>
      </c>
      <c r="C787">
        <v>0</v>
      </c>
      <c r="D787">
        <v>1610612752</v>
      </c>
      <c r="E787" t="s">
        <v>1248</v>
      </c>
      <c r="F787">
        <v>280</v>
      </c>
      <c r="G787">
        <v>76</v>
      </c>
      <c r="I787">
        <v>21950</v>
      </c>
      <c r="J787">
        <v>403</v>
      </c>
      <c r="K787">
        <v>1028</v>
      </c>
      <c r="L787">
        <v>392</v>
      </c>
      <c r="P787">
        <v>96</v>
      </c>
      <c r="Q787">
        <v>168</v>
      </c>
      <c r="R787">
        <v>571</v>
      </c>
      <c r="U787">
        <v>4820</v>
      </c>
      <c r="V787">
        <v>156</v>
      </c>
      <c r="Z787">
        <v>258</v>
      </c>
      <c r="AA787">
        <v>902</v>
      </c>
      <c r="AB787" t="s">
        <v>1679</v>
      </c>
    </row>
    <row r="788" spans="1:28" x14ac:dyDescent="0.3">
      <c r="A788">
        <v>97</v>
      </c>
      <c r="B788" t="s">
        <v>1275</v>
      </c>
      <c r="C788">
        <v>0</v>
      </c>
      <c r="D788">
        <v>1610612752</v>
      </c>
      <c r="E788" t="s">
        <v>1248</v>
      </c>
      <c r="F788">
        <v>300</v>
      </c>
      <c r="G788">
        <v>2</v>
      </c>
      <c r="H788">
        <v>0</v>
      </c>
      <c r="I788">
        <v>80</v>
      </c>
      <c r="J788">
        <v>1</v>
      </c>
      <c r="K788">
        <v>4</v>
      </c>
      <c r="L788">
        <v>25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30</v>
      </c>
      <c r="T788">
        <v>20</v>
      </c>
      <c r="U788">
        <v>50</v>
      </c>
      <c r="V788">
        <v>2</v>
      </c>
      <c r="W788">
        <v>0</v>
      </c>
      <c r="X788">
        <v>0</v>
      </c>
      <c r="Y788">
        <v>0</v>
      </c>
      <c r="Z788">
        <v>2</v>
      </c>
      <c r="AA788">
        <v>2</v>
      </c>
      <c r="AB788" t="s">
        <v>1680</v>
      </c>
    </row>
    <row r="789" spans="1:28" x14ac:dyDescent="0.3">
      <c r="A789">
        <v>97</v>
      </c>
      <c r="B789" t="s">
        <v>1276</v>
      </c>
      <c r="C789">
        <v>0</v>
      </c>
      <c r="D789">
        <v>1610612752</v>
      </c>
      <c r="E789" t="s">
        <v>1248</v>
      </c>
      <c r="F789">
        <v>310</v>
      </c>
      <c r="G789">
        <v>6</v>
      </c>
      <c r="H789">
        <v>0</v>
      </c>
      <c r="I789">
        <v>570</v>
      </c>
      <c r="J789">
        <v>7</v>
      </c>
      <c r="K789">
        <v>15</v>
      </c>
      <c r="L789">
        <v>467</v>
      </c>
      <c r="M789">
        <v>0</v>
      </c>
      <c r="N789">
        <v>0</v>
      </c>
      <c r="O789">
        <v>0</v>
      </c>
      <c r="P789">
        <v>4</v>
      </c>
      <c r="Q789">
        <v>6</v>
      </c>
      <c r="R789">
        <v>667</v>
      </c>
      <c r="S789">
        <v>50</v>
      </c>
      <c r="T789">
        <v>80</v>
      </c>
      <c r="U789">
        <v>130</v>
      </c>
      <c r="V789">
        <v>2</v>
      </c>
      <c r="W789">
        <v>40</v>
      </c>
      <c r="X789">
        <v>10</v>
      </c>
      <c r="Y789">
        <v>10</v>
      </c>
      <c r="Z789">
        <v>4</v>
      </c>
      <c r="AA789">
        <v>18</v>
      </c>
      <c r="AB789" t="s">
        <v>1680</v>
      </c>
    </row>
    <row r="790" spans="1:28" x14ac:dyDescent="0.3">
      <c r="A790">
        <v>187</v>
      </c>
      <c r="B790" t="s">
        <v>1278</v>
      </c>
      <c r="C790">
        <v>0</v>
      </c>
      <c r="D790">
        <v>1610612752</v>
      </c>
      <c r="E790" t="s">
        <v>1248</v>
      </c>
      <c r="F790">
        <v>370</v>
      </c>
      <c r="G790">
        <v>30</v>
      </c>
      <c r="H790">
        <v>10</v>
      </c>
      <c r="I790">
        <v>5290</v>
      </c>
      <c r="J790">
        <v>103</v>
      </c>
      <c r="K790">
        <v>216</v>
      </c>
      <c r="L790">
        <v>477</v>
      </c>
      <c r="M790">
        <v>0</v>
      </c>
      <c r="N790">
        <v>0</v>
      </c>
      <c r="O790">
        <v>0</v>
      </c>
      <c r="P790">
        <v>28</v>
      </c>
      <c r="Q790">
        <v>40</v>
      </c>
      <c r="R790">
        <v>7</v>
      </c>
      <c r="S790">
        <v>420</v>
      </c>
      <c r="T790">
        <v>930</v>
      </c>
      <c r="U790">
        <v>1350</v>
      </c>
      <c r="V790">
        <v>26</v>
      </c>
      <c r="W790">
        <v>160</v>
      </c>
      <c r="X790">
        <v>50</v>
      </c>
      <c r="Y790">
        <v>340</v>
      </c>
      <c r="Z790">
        <v>79</v>
      </c>
      <c r="AA790">
        <v>234</v>
      </c>
      <c r="AB790" t="s">
        <v>1681</v>
      </c>
    </row>
    <row r="791" spans="1:28" x14ac:dyDescent="0.3">
      <c r="A791">
        <v>202366</v>
      </c>
      <c r="B791" t="s">
        <v>1290</v>
      </c>
      <c r="C791">
        <v>0</v>
      </c>
      <c r="D791">
        <v>1610612752</v>
      </c>
      <c r="E791" t="s">
        <v>1248</v>
      </c>
      <c r="F791">
        <v>250</v>
      </c>
      <c r="G791">
        <v>21</v>
      </c>
      <c r="H791">
        <v>0</v>
      </c>
      <c r="I791">
        <v>1080</v>
      </c>
      <c r="J791">
        <v>17</v>
      </c>
      <c r="K791">
        <v>33</v>
      </c>
      <c r="L791">
        <v>515</v>
      </c>
      <c r="M791">
        <v>0</v>
      </c>
      <c r="N791">
        <v>0</v>
      </c>
      <c r="O791">
        <v>0</v>
      </c>
      <c r="P791">
        <v>8</v>
      </c>
      <c r="Q791">
        <v>10</v>
      </c>
      <c r="R791">
        <v>8</v>
      </c>
      <c r="S791">
        <v>140</v>
      </c>
      <c r="T791">
        <v>130</v>
      </c>
      <c r="U791">
        <v>270</v>
      </c>
      <c r="V791">
        <v>4</v>
      </c>
      <c r="W791">
        <v>10</v>
      </c>
      <c r="X791">
        <v>60</v>
      </c>
      <c r="Y791">
        <v>20</v>
      </c>
      <c r="Z791">
        <v>15</v>
      </c>
      <c r="AA791">
        <v>42</v>
      </c>
      <c r="AB791" t="s">
        <v>1682</v>
      </c>
    </row>
    <row r="792" spans="1:28" x14ac:dyDescent="0.3">
      <c r="A792">
        <v>76836</v>
      </c>
      <c r="B792" t="s">
        <v>1339</v>
      </c>
      <c r="C792">
        <v>0</v>
      </c>
      <c r="D792">
        <v>1610612752</v>
      </c>
      <c r="E792" t="s">
        <v>1248</v>
      </c>
      <c r="F792">
        <v>260</v>
      </c>
      <c r="G792">
        <v>57</v>
      </c>
      <c r="J792">
        <v>149</v>
      </c>
      <c r="K792">
        <v>494</v>
      </c>
      <c r="L792">
        <v>302</v>
      </c>
      <c r="P792">
        <v>36</v>
      </c>
      <c r="Q792">
        <v>55</v>
      </c>
      <c r="R792">
        <v>655</v>
      </c>
      <c r="V792">
        <v>24</v>
      </c>
      <c r="Z792">
        <v>71</v>
      </c>
      <c r="AA792">
        <v>334</v>
      </c>
      <c r="AB792" t="s">
        <v>1683</v>
      </c>
    </row>
    <row r="793" spans="1:28" x14ac:dyDescent="0.3">
      <c r="A793">
        <v>76836</v>
      </c>
      <c r="B793" t="s">
        <v>1297</v>
      </c>
      <c r="C793">
        <v>0</v>
      </c>
      <c r="D793">
        <v>1610612752</v>
      </c>
      <c r="E793" t="s">
        <v>1248</v>
      </c>
      <c r="F793">
        <v>270</v>
      </c>
      <c r="G793">
        <v>27</v>
      </c>
      <c r="J793">
        <v>59</v>
      </c>
      <c r="K793">
        <v>228</v>
      </c>
      <c r="L793">
        <v>259</v>
      </c>
      <c r="P793">
        <v>13</v>
      </c>
      <c r="Q793">
        <v>21</v>
      </c>
      <c r="R793">
        <v>619</v>
      </c>
      <c r="V793">
        <v>12</v>
      </c>
      <c r="Z793">
        <v>36</v>
      </c>
      <c r="AA793">
        <v>131</v>
      </c>
      <c r="AB793" t="s">
        <v>1683</v>
      </c>
    </row>
    <row r="794" spans="1:28" x14ac:dyDescent="0.3">
      <c r="A794">
        <v>76483</v>
      </c>
      <c r="B794" t="s">
        <v>1406</v>
      </c>
      <c r="C794">
        <v>0</v>
      </c>
      <c r="D794">
        <v>1610612752</v>
      </c>
      <c r="E794" t="s">
        <v>1248</v>
      </c>
      <c r="F794">
        <v>280</v>
      </c>
      <c r="G794">
        <v>63</v>
      </c>
      <c r="H794">
        <v>630</v>
      </c>
      <c r="I794">
        <v>20690</v>
      </c>
      <c r="J794">
        <v>410</v>
      </c>
      <c r="K794">
        <v>797</v>
      </c>
      <c r="L794">
        <v>514</v>
      </c>
      <c r="M794">
        <v>0</v>
      </c>
      <c r="N794">
        <v>40</v>
      </c>
      <c r="O794">
        <v>0</v>
      </c>
      <c r="P794">
        <v>177</v>
      </c>
      <c r="Q794">
        <v>227</v>
      </c>
      <c r="R794">
        <v>78</v>
      </c>
      <c r="S794">
        <v>1390</v>
      </c>
      <c r="T794">
        <v>3790</v>
      </c>
      <c r="U794">
        <v>5180</v>
      </c>
      <c r="V794">
        <v>109</v>
      </c>
      <c r="W794">
        <v>500</v>
      </c>
      <c r="X794">
        <v>170</v>
      </c>
      <c r="Y794">
        <v>1660</v>
      </c>
      <c r="Z794">
        <v>247</v>
      </c>
      <c r="AA794">
        <v>997</v>
      </c>
      <c r="AB794" t="s">
        <v>1684</v>
      </c>
    </row>
    <row r="795" spans="1:28" x14ac:dyDescent="0.3">
      <c r="A795">
        <v>76483</v>
      </c>
      <c r="B795" t="s">
        <v>1392</v>
      </c>
      <c r="C795">
        <v>0</v>
      </c>
      <c r="D795">
        <v>1610612752</v>
      </c>
      <c r="E795" t="s">
        <v>1248</v>
      </c>
      <c r="F795">
        <v>290</v>
      </c>
      <c r="G795">
        <v>31</v>
      </c>
      <c r="H795">
        <v>300</v>
      </c>
      <c r="I795">
        <v>10070</v>
      </c>
      <c r="J795">
        <v>195</v>
      </c>
      <c r="K795">
        <v>408</v>
      </c>
      <c r="L795">
        <v>478</v>
      </c>
      <c r="M795">
        <v>0</v>
      </c>
      <c r="N795">
        <v>20</v>
      </c>
      <c r="O795">
        <v>0</v>
      </c>
      <c r="P795">
        <v>97</v>
      </c>
      <c r="Q795">
        <v>139</v>
      </c>
      <c r="R795">
        <v>698</v>
      </c>
      <c r="S795">
        <v>920</v>
      </c>
      <c r="T795">
        <v>1880</v>
      </c>
      <c r="U795">
        <v>2800</v>
      </c>
      <c r="V795">
        <v>47</v>
      </c>
      <c r="W795">
        <v>270</v>
      </c>
      <c r="X795">
        <v>120</v>
      </c>
      <c r="Y795">
        <v>870</v>
      </c>
      <c r="Z795">
        <v>136</v>
      </c>
      <c r="AA795">
        <v>487</v>
      </c>
      <c r="AB795" t="s">
        <v>1684</v>
      </c>
    </row>
    <row r="796" spans="1:28" x14ac:dyDescent="0.3">
      <c r="A796">
        <v>76483</v>
      </c>
      <c r="B796" t="s">
        <v>1394</v>
      </c>
      <c r="C796">
        <v>0</v>
      </c>
      <c r="D796">
        <v>1610612752</v>
      </c>
      <c r="E796" t="s">
        <v>1248</v>
      </c>
      <c r="F796">
        <v>300</v>
      </c>
      <c r="G796">
        <v>49</v>
      </c>
      <c r="H796">
        <v>110</v>
      </c>
      <c r="I796">
        <v>10560</v>
      </c>
      <c r="J796">
        <v>172</v>
      </c>
      <c r="K796">
        <v>382</v>
      </c>
      <c r="L796">
        <v>45</v>
      </c>
      <c r="M796">
        <v>0</v>
      </c>
      <c r="N796">
        <v>0</v>
      </c>
      <c r="O796">
        <v>0</v>
      </c>
      <c r="P796">
        <v>79</v>
      </c>
      <c r="Q796">
        <v>110</v>
      </c>
      <c r="R796">
        <v>718</v>
      </c>
      <c r="S796">
        <v>1230</v>
      </c>
      <c r="T796">
        <v>1890</v>
      </c>
      <c r="U796">
        <v>3120</v>
      </c>
      <c r="V796">
        <v>38</v>
      </c>
      <c r="W796">
        <v>260</v>
      </c>
      <c r="X796">
        <v>70</v>
      </c>
      <c r="Y796">
        <v>850</v>
      </c>
      <c r="Z796">
        <v>145</v>
      </c>
      <c r="AA796">
        <v>423</v>
      </c>
      <c r="AB796" t="s">
        <v>1684</v>
      </c>
    </row>
    <row r="797" spans="1:28" x14ac:dyDescent="0.3">
      <c r="A797">
        <v>76483</v>
      </c>
      <c r="B797" t="s">
        <v>1253</v>
      </c>
      <c r="C797">
        <v>0</v>
      </c>
      <c r="D797">
        <v>1610612752</v>
      </c>
      <c r="E797" t="s">
        <v>1248</v>
      </c>
      <c r="F797">
        <v>310</v>
      </c>
      <c r="G797">
        <v>62</v>
      </c>
      <c r="H797">
        <v>90</v>
      </c>
      <c r="I797">
        <v>9460</v>
      </c>
      <c r="J797">
        <v>140</v>
      </c>
      <c r="K797">
        <v>307</v>
      </c>
      <c r="L797">
        <v>456</v>
      </c>
      <c r="M797">
        <v>0</v>
      </c>
      <c r="N797">
        <v>10</v>
      </c>
      <c r="O797">
        <v>0</v>
      </c>
      <c r="P797">
        <v>59</v>
      </c>
      <c r="Q797">
        <v>80</v>
      </c>
      <c r="R797">
        <v>738</v>
      </c>
      <c r="S797">
        <v>820</v>
      </c>
      <c r="T797">
        <v>1530</v>
      </c>
      <c r="U797">
        <v>2350</v>
      </c>
      <c r="V797">
        <v>37</v>
      </c>
      <c r="W797">
        <v>200</v>
      </c>
      <c r="X797">
        <v>100</v>
      </c>
      <c r="Y797">
        <v>650</v>
      </c>
      <c r="Z797">
        <v>143</v>
      </c>
      <c r="AA797">
        <v>339</v>
      </c>
      <c r="AB797" t="s">
        <v>1684</v>
      </c>
    </row>
    <row r="798" spans="1:28" x14ac:dyDescent="0.3">
      <c r="A798">
        <v>78133</v>
      </c>
      <c r="B798" t="s">
        <v>1263</v>
      </c>
      <c r="C798">
        <v>0</v>
      </c>
      <c r="D798">
        <v>1610612752</v>
      </c>
      <c r="E798" t="s">
        <v>1248</v>
      </c>
      <c r="F798">
        <v>210</v>
      </c>
      <c r="G798">
        <v>82</v>
      </c>
      <c r="I798">
        <v>21040</v>
      </c>
      <c r="J798">
        <v>398</v>
      </c>
      <c r="K798">
        <v>836</v>
      </c>
      <c r="L798">
        <v>476</v>
      </c>
      <c r="P798">
        <v>159</v>
      </c>
      <c r="Q798">
        <v>225</v>
      </c>
      <c r="R798">
        <v>707</v>
      </c>
      <c r="S798">
        <v>2200</v>
      </c>
      <c r="T798">
        <v>4130</v>
      </c>
      <c r="U798">
        <v>6330</v>
      </c>
      <c r="V798">
        <v>149</v>
      </c>
      <c r="W798">
        <v>1250</v>
      </c>
      <c r="X798">
        <v>980</v>
      </c>
      <c r="Z798">
        <v>363</v>
      </c>
      <c r="AA798">
        <v>955</v>
      </c>
      <c r="AB798" t="s">
        <v>1685</v>
      </c>
    </row>
    <row r="799" spans="1:28" x14ac:dyDescent="0.3">
      <c r="A799">
        <v>78133</v>
      </c>
      <c r="B799" t="s">
        <v>1264</v>
      </c>
      <c r="C799">
        <v>0</v>
      </c>
      <c r="D799">
        <v>1610612752</v>
      </c>
      <c r="E799" t="s">
        <v>1248</v>
      </c>
      <c r="F799">
        <v>220</v>
      </c>
      <c r="G799">
        <v>82</v>
      </c>
      <c r="I799">
        <v>23190</v>
      </c>
      <c r="J799">
        <v>508</v>
      </c>
      <c r="K799">
        <v>988</v>
      </c>
      <c r="L799">
        <v>514</v>
      </c>
      <c r="P799">
        <v>203</v>
      </c>
      <c r="Q799">
        <v>276</v>
      </c>
      <c r="R799">
        <v>736</v>
      </c>
      <c r="S799">
        <v>2040</v>
      </c>
      <c r="T799">
        <v>3760</v>
      </c>
      <c r="U799">
        <v>5800</v>
      </c>
      <c r="V799">
        <v>195</v>
      </c>
      <c r="W799">
        <v>1090</v>
      </c>
      <c r="X799">
        <v>1120</v>
      </c>
      <c r="Y799">
        <v>2280</v>
      </c>
      <c r="Z799">
        <v>350</v>
      </c>
      <c r="AA799">
        <v>1219</v>
      </c>
      <c r="AB799" t="s">
        <v>1685</v>
      </c>
    </row>
    <row r="800" spans="1:28" x14ac:dyDescent="0.3">
      <c r="A800">
        <v>77903</v>
      </c>
      <c r="B800" t="s">
        <v>1390</v>
      </c>
      <c r="C800">
        <v>0</v>
      </c>
      <c r="D800">
        <v>1610612752</v>
      </c>
      <c r="E800" t="s">
        <v>1248</v>
      </c>
      <c r="F800">
        <v>240</v>
      </c>
      <c r="G800">
        <v>6</v>
      </c>
      <c r="I800">
        <v>630</v>
      </c>
      <c r="J800">
        <v>3</v>
      </c>
      <c r="K800">
        <v>21</v>
      </c>
      <c r="L800">
        <v>143</v>
      </c>
      <c r="P800">
        <v>3</v>
      </c>
      <c r="Q800">
        <v>8</v>
      </c>
      <c r="R800">
        <v>375</v>
      </c>
      <c r="U800">
        <v>80</v>
      </c>
      <c r="V800">
        <v>6</v>
      </c>
      <c r="Z800">
        <v>10</v>
      </c>
      <c r="AA800">
        <v>9</v>
      </c>
      <c r="AB800" t="s">
        <v>1686</v>
      </c>
    </row>
    <row r="801" spans="1:28" x14ac:dyDescent="0.3">
      <c r="A801">
        <v>77843</v>
      </c>
      <c r="B801" t="s">
        <v>1362</v>
      </c>
      <c r="C801">
        <v>0</v>
      </c>
      <c r="D801">
        <v>1610612752</v>
      </c>
      <c r="E801" t="s">
        <v>1248</v>
      </c>
      <c r="F801">
        <v>230</v>
      </c>
      <c r="G801">
        <v>37</v>
      </c>
      <c r="I801">
        <v>5030</v>
      </c>
      <c r="J801">
        <v>62</v>
      </c>
      <c r="K801">
        <v>169</v>
      </c>
      <c r="L801">
        <v>367</v>
      </c>
      <c r="P801">
        <v>30</v>
      </c>
      <c r="Q801">
        <v>45</v>
      </c>
      <c r="R801">
        <v>667</v>
      </c>
      <c r="U801">
        <v>1540</v>
      </c>
      <c r="V801">
        <v>31</v>
      </c>
      <c r="Z801">
        <v>80</v>
      </c>
      <c r="AA801">
        <v>154</v>
      </c>
      <c r="AB801" t="s">
        <v>1687</v>
      </c>
    </row>
    <row r="802" spans="1:28" x14ac:dyDescent="0.3">
      <c r="A802">
        <v>77843</v>
      </c>
      <c r="B802" t="s">
        <v>1315</v>
      </c>
      <c r="C802">
        <v>0</v>
      </c>
      <c r="D802">
        <v>1610612752</v>
      </c>
      <c r="E802" t="s">
        <v>1248</v>
      </c>
      <c r="F802">
        <v>240</v>
      </c>
      <c r="G802">
        <v>58</v>
      </c>
      <c r="I802">
        <v>7790</v>
      </c>
      <c r="J802">
        <v>121</v>
      </c>
      <c r="K802">
        <v>303</v>
      </c>
      <c r="L802">
        <v>399</v>
      </c>
      <c r="P802">
        <v>68</v>
      </c>
      <c r="Q802">
        <v>104</v>
      </c>
      <c r="R802">
        <v>654</v>
      </c>
      <c r="U802">
        <v>2230</v>
      </c>
      <c r="V802">
        <v>44</v>
      </c>
      <c r="Z802">
        <v>123</v>
      </c>
      <c r="AA802">
        <v>310</v>
      </c>
      <c r="AB802" t="s">
        <v>1687</v>
      </c>
    </row>
    <row r="803" spans="1:28" x14ac:dyDescent="0.3">
      <c r="A803">
        <v>78162</v>
      </c>
      <c r="B803" t="s">
        <v>1394</v>
      </c>
      <c r="C803">
        <v>0</v>
      </c>
      <c r="D803">
        <v>1610612752</v>
      </c>
      <c r="E803" t="s">
        <v>1248</v>
      </c>
      <c r="F803">
        <v>250</v>
      </c>
      <c r="G803">
        <v>2</v>
      </c>
      <c r="H803">
        <v>0</v>
      </c>
      <c r="I803">
        <v>100</v>
      </c>
      <c r="J803">
        <v>2</v>
      </c>
      <c r="K803">
        <v>3</v>
      </c>
      <c r="L803">
        <v>667</v>
      </c>
      <c r="M803">
        <v>0</v>
      </c>
      <c r="N803">
        <v>10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1</v>
      </c>
      <c r="AA803">
        <v>4</v>
      </c>
      <c r="AB803" t="s">
        <v>1688</v>
      </c>
    </row>
    <row r="804" spans="1:28" x14ac:dyDescent="0.3">
      <c r="A804">
        <v>201599</v>
      </c>
      <c r="B804" t="s">
        <v>1287</v>
      </c>
      <c r="C804">
        <v>0</v>
      </c>
      <c r="D804">
        <v>1610612752</v>
      </c>
      <c r="E804" t="s">
        <v>1248</v>
      </c>
      <c r="F804">
        <v>300</v>
      </c>
      <c r="G804">
        <v>19</v>
      </c>
      <c r="H804">
        <v>190</v>
      </c>
      <c r="I804">
        <v>4930</v>
      </c>
      <c r="J804">
        <v>78</v>
      </c>
      <c r="K804">
        <v>123</v>
      </c>
      <c r="L804">
        <v>634</v>
      </c>
      <c r="M804">
        <v>0</v>
      </c>
      <c r="N804">
        <v>0</v>
      </c>
      <c r="O804">
        <v>0</v>
      </c>
      <c r="P804">
        <v>51</v>
      </c>
      <c r="Q804">
        <v>66</v>
      </c>
      <c r="R804">
        <v>773</v>
      </c>
      <c r="S804">
        <v>640</v>
      </c>
      <c r="T804">
        <v>1520</v>
      </c>
      <c r="U804">
        <v>2160</v>
      </c>
      <c r="V804">
        <v>57</v>
      </c>
      <c r="W804">
        <v>90</v>
      </c>
      <c r="X804">
        <v>200</v>
      </c>
      <c r="Y804">
        <v>420</v>
      </c>
      <c r="Z804">
        <v>42</v>
      </c>
      <c r="AA804">
        <v>207</v>
      </c>
      <c r="AB804" t="s">
        <v>1689</v>
      </c>
    </row>
    <row r="805" spans="1:28" x14ac:dyDescent="0.3">
      <c r="A805">
        <v>76830</v>
      </c>
      <c r="B805" t="s">
        <v>1264</v>
      </c>
      <c r="C805">
        <v>0</v>
      </c>
      <c r="D805">
        <v>1610612752</v>
      </c>
      <c r="E805" t="s">
        <v>1248</v>
      </c>
      <c r="F805">
        <v>220</v>
      </c>
      <c r="G805">
        <v>72</v>
      </c>
      <c r="I805">
        <v>10170</v>
      </c>
      <c r="J805">
        <v>131</v>
      </c>
      <c r="K805">
        <v>339</v>
      </c>
      <c r="L805">
        <v>386</v>
      </c>
      <c r="P805">
        <v>83</v>
      </c>
      <c r="Q805">
        <v>121</v>
      </c>
      <c r="R805">
        <v>686</v>
      </c>
      <c r="S805">
        <v>920</v>
      </c>
      <c r="T805">
        <v>1580</v>
      </c>
      <c r="U805">
        <v>2500</v>
      </c>
      <c r="V805">
        <v>83</v>
      </c>
      <c r="W805">
        <v>560</v>
      </c>
      <c r="X805">
        <v>180</v>
      </c>
      <c r="Y805">
        <v>820</v>
      </c>
      <c r="Z805">
        <v>181</v>
      </c>
      <c r="AA805">
        <v>345</v>
      </c>
      <c r="AB805" t="s">
        <v>1690</v>
      </c>
    </row>
    <row r="806" spans="1:28" x14ac:dyDescent="0.3">
      <c r="A806">
        <v>76830</v>
      </c>
      <c r="B806" t="s">
        <v>1265</v>
      </c>
      <c r="C806">
        <v>0</v>
      </c>
      <c r="D806">
        <v>1610612752</v>
      </c>
      <c r="E806" t="s">
        <v>1248</v>
      </c>
      <c r="F806">
        <v>230</v>
      </c>
      <c r="G806">
        <v>75</v>
      </c>
      <c r="I806">
        <v>16020</v>
      </c>
      <c r="J806">
        <v>161</v>
      </c>
      <c r="K806">
        <v>326</v>
      </c>
      <c r="L806">
        <v>494</v>
      </c>
      <c r="P806">
        <v>55</v>
      </c>
      <c r="Q806">
        <v>97</v>
      </c>
      <c r="R806">
        <v>567</v>
      </c>
      <c r="S806">
        <v>1470</v>
      </c>
      <c r="T806">
        <v>2770</v>
      </c>
      <c r="U806">
        <v>4240</v>
      </c>
      <c r="V806">
        <v>106</v>
      </c>
      <c r="W806">
        <v>980</v>
      </c>
      <c r="X806">
        <v>180</v>
      </c>
      <c r="Y806">
        <v>950</v>
      </c>
      <c r="Z806">
        <v>226</v>
      </c>
      <c r="AA806">
        <v>377</v>
      </c>
      <c r="AB806" t="s">
        <v>1690</v>
      </c>
    </row>
    <row r="807" spans="1:28" x14ac:dyDescent="0.3">
      <c r="A807">
        <v>201621</v>
      </c>
      <c r="B807" t="s">
        <v>1304</v>
      </c>
      <c r="C807">
        <v>0</v>
      </c>
      <c r="D807">
        <v>1610612752</v>
      </c>
      <c r="E807" t="s">
        <v>1248</v>
      </c>
      <c r="F807">
        <v>230</v>
      </c>
      <c r="G807">
        <v>2</v>
      </c>
      <c r="H807">
        <v>0</v>
      </c>
      <c r="I807">
        <v>230</v>
      </c>
      <c r="J807">
        <v>3</v>
      </c>
      <c r="K807">
        <v>10</v>
      </c>
      <c r="L807">
        <v>3</v>
      </c>
      <c r="M807">
        <v>10</v>
      </c>
      <c r="N807">
        <v>40</v>
      </c>
      <c r="O807">
        <v>25</v>
      </c>
      <c r="P807">
        <v>2</v>
      </c>
      <c r="Q807">
        <v>2</v>
      </c>
      <c r="R807">
        <v>10</v>
      </c>
      <c r="S807">
        <v>10</v>
      </c>
      <c r="T807">
        <v>30</v>
      </c>
      <c r="U807">
        <v>40</v>
      </c>
      <c r="V807">
        <v>1</v>
      </c>
      <c r="W807">
        <v>10</v>
      </c>
      <c r="X807">
        <v>0</v>
      </c>
      <c r="Y807">
        <v>0</v>
      </c>
      <c r="Z807">
        <v>2</v>
      </c>
      <c r="AA807">
        <v>9</v>
      </c>
      <c r="AB807" t="s">
        <v>1691</v>
      </c>
    </row>
    <row r="808" spans="1:28" x14ac:dyDescent="0.3">
      <c r="A808">
        <v>76233</v>
      </c>
      <c r="B808" t="s">
        <v>1414</v>
      </c>
      <c r="C808">
        <v>0</v>
      </c>
      <c r="D808">
        <v>1610612752</v>
      </c>
      <c r="E808" t="s">
        <v>1248</v>
      </c>
      <c r="F808">
        <v>240</v>
      </c>
      <c r="G808">
        <v>45</v>
      </c>
      <c r="I808">
        <v>8740</v>
      </c>
      <c r="J808">
        <v>142</v>
      </c>
      <c r="K808">
        <v>341</v>
      </c>
      <c r="L808">
        <v>416</v>
      </c>
      <c r="P808">
        <v>76</v>
      </c>
      <c r="Q808">
        <v>104</v>
      </c>
      <c r="R808">
        <v>731</v>
      </c>
      <c r="U808">
        <v>1130</v>
      </c>
      <c r="V808">
        <v>137</v>
      </c>
      <c r="Z808">
        <v>138</v>
      </c>
      <c r="AA808">
        <v>360</v>
      </c>
      <c r="AB808" t="s">
        <v>1692</v>
      </c>
    </row>
    <row r="809" spans="1:28" x14ac:dyDescent="0.3">
      <c r="A809">
        <v>76233</v>
      </c>
      <c r="B809" t="s">
        <v>1415</v>
      </c>
      <c r="C809">
        <v>0</v>
      </c>
      <c r="D809">
        <v>1610612752</v>
      </c>
      <c r="E809" t="s">
        <v>1248</v>
      </c>
      <c r="F809">
        <v>250</v>
      </c>
      <c r="G809">
        <v>82</v>
      </c>
      <c r="I809">
        <v>24130</v>
      </c>
      <c r="J809">
        <v>407</v>
      </c>
      <c r="K809">
        <v>948</v>
      </c>
      <c r="L809">
        <v>429</v>
      </c>
      <c r="P809">
        <v>206</v>
      </c>
      <c r="Q809">
        <v>253</v>
      </c>
      <c r="R809">
        <v>814</v>
      </c>
      <c r="U809">
        <v>3500</v>
      </c>
      <c r="V809">
        <v>302</v>
      </c>
      <c r="Z809">
        <v>295</v>
      </c>
      <c r="AA809">
        <v>1020</v>
      </c>
      <c r="AB809" t="s">
        <v>1692</v>
      </c>
    </row>
    <row r="810" spans="1:28" x14ac:dyDescent="0.3">
      <c r="A810">
        <v>76233</v>
      </c>
      <c r="B810" t="s">
        <v>1416</v>
      </c>
      <c r="C810">
        <v>0</v>
      </c>
      <c r="D810">
        <v>1610612752</v>
      </c>
      <c r="E810" t="s">
        <v>1248</v>
      </c>
      <c r="F810">
        <v>260</v>
      </c>
      <c r="G810">
        <v>67</v>
      </c>
      <c r="I810">
        <v>20980</v>
      </c>
      <c r="J810">
        <v>413</v>
      </c>
      <c r="K810">
        <v>897</v>
      </c>
      <c r="L810">
        <v>46</v>
      </c>
      <c r="P810">
        <v>145</v>
      </c>
      <c r="Q810">
        <v>176</v>
      </c>
      <c r="R810">
        <v>824</v>
      </c>
      <c r="U810">
        <v>2390</v>
      </c>
      <c r="V810">
        <v>268</v>
      </c>
      <c r="Z810">
        <v>219</v>
      </c>
      <c r="AA810">
        <v>971</v>
      </c>
      <c r="AB810" t="s">
        <v>1692</v>
      </c>
    </row>
    <row r="811" spans="1:28" x14ac:dyDescent="0.3">
      <c r="A811">
        <v>76233</v>
      </c>
      <c r="B811" t="s">
        <v>1417</v>
      </c>
      <c r="C811">
        <v>0</v>
      </c>
      <c r="D811">
        <v>1610612752</v>
      </c>
      <c r="E811" t="s">
        <v>1248</v>
      </c>
      <c r="F811">
        <v>270</v>
      </c>
      <c r="G811">
        <v>78</v>
      </c>
      <c r="I811">
        <v>23000</v>
      </c>
      <c r="J811">
        <v>413</v>
      </c>
      <c r="K811">
        <v>912</v>
      </c>
      <c r="L811">
        <v>453</v>
      </c>
      <c r="P811">
        <v>144</v>
      </c>
      <c r="Q811">
        <v>175</v>
      </c>
      <c r="R811">
        <v>823</v>
      </c>
      <c r="U811">
        <v>2600</v>
      </c>
      <c r="V811">
        <v>280</v>
      </c>
      <c r="Z811">
        <v>245</v>
      </c>
      <c r="AA811">
        <v>970</v>
      </c>
      <c r="AB811" t="s">
        <v>1692</v>
      </c>
    </row>
    <row r="812" spans="1:28" x14ac:dyDescent="0.3">
      <c r="A812">
        <v>76233</v>
      </c>
      <c r="B812" t="s">
        <v>1354</v>
      </c>
      <c r="C812">
        <v>0</v>
      </c>
      <c r="D812">
        <v>1610612752</v>
      </c>
      <c r="E812" t="s">
        <v>1248</v>
      </c>
      <c r="F812">
        <v>280</v>
      </c>
      <c r="G812">
        <v>78</v>
      </c>
      <c r="I812">
        <v>27800</v>
      </c>
      <c r="J812">
        <v>504</v>
      </c>
      <c r="K812">
        <v>1085</v>
      </c>
      <c r="L812">
        <v>465</v>
      </c>
      <c r="P812">
        <v>169</v>
      </c>
      <c r="Q812">
        <v>199</v>
      </c>
      <c r="R812">
        <v>849</v>
      </c>
      <c r="U812">
        <v>2500</v>
      </c>
      <c r="V812">
        <v>315</v>
      </c>
      <c r="Z812">
        <v>254</v>
      </c>
      <c r="AA812">
        <v>1177</v>
      </c>
      <c r="AB812" t="s">
        <v>1692</v>
      </c>
    </row>
    <row r="813" spans="1:28" x14ac:dyDescent="0.3">
      <c r="A813">
        <v>76233</v>
      </c>
      <c r="B813" t="s">
        <v>1356</v>
      </c>
      <c r="C813">
        <v>0</v>
      </c>
      <c r="D813">
        <v>1610612752</v>
      </c>
      <c r="E813" t="s">
        <v>1248</v>
      </c>
      <c r="F813">
        <v>290</v>
      </c>
      <c r="G813">
        <v>82</v>
      </c>
      <c r="I813">
        <v>29980</v>
      </c>
      <c r="J813">
        <v>575</v>
      </c>
      <c r="K813">
        <v>1252</v>
      </c>
      <c r="L813">
        <v>459</v>
      </c>
      <c r="P813">
        <v>169</v>
      </c>
      <c r="Q813">
        <v>194</v>
      </c>
      <c r="R813">
        <v>871</v>
      </c>
      <c r="U813">
        <v>3010</v>
      </c>
      <c r="V813">
        <v>367</v>
      </c>
      <c r="Z813">
        <v>273</v>
      </c>
      <c r="AA813">
        <v>1319</v>
      </c>
      <c r="AB813" t="s">
        <v>1692</v>
      </c>
    </row>
    <row r="814" spans="1:28" x14ac:dyDescent="0.3">
      <c r="A814">
        <v>76233</v>
      </c>
      <c r="B814" t="s">
        <v>1357</v>
      </c>
      <c r="C814">
        <v>0</v>
      </c>
      <c r="D814">
        <v>1610612752</v>
      </c>
      <c r="E814" t="s">
        <v>1248</v>
      </c>
      <c r="F814">
        <v>300</v>
      </c>
      <c r="G814">
        <v>82</v>
      </c>
      <c r="I814">
        <v>28130</v>
      </c>
      <c r="J814">
        <v>502</v>
      </c>
      <c r="K814">
        <v>1112</v>
      </c>
      <c r="L814">
        <v>451</v>
      </c>
      <c r="P814">
        <v>146</v>
      </c>
      <c r="Q814">
        <v>167</v>
      </c>
      <c r="R814">
        <v>874</v>
      </c>
      <c r="S814">
        <v>590</v>
      </c>
      <c r="T814">
        <v>1940</v>
      </c>
      <c r="U814">
        <v>2530</v>
      </c>
      <c r="V814">
        <v>242</v>
      </c>
      <c r="W814">
        <v>420</v>
      </c>
      <c r="X814">
        <v>210</v>
      </c>
      <c r="Z814">
        <v>278</v>
      </c>
      <c r="AA814">
        <v>1150</v>
      </c>
      <c r="AB814" t="s">
        <v>1692</v>
      </c>
    </row>
    <row r="815" spans="1:28" x14ac:dyDescent="0.3">
      <c r="A815">
        <v>76233</v>
      </c>
      <c r="B815" t="s">
        <v>1358</v>
      </c>
      <c r="C815">
        <v>0</v>
      </c>
      <c r="D815">
        <v>1610612752</v>
      </c>
      <c r="E815" t="s">
        <v>1248</v>
      </c>
      <c r="F815">
        <v>310</v>
      </c>
      <c r="G815">
        <v>79</v>
      </c>
      <c r="I815">
        <v>27870</v>
      </c>
      <c r="J815">
        <v>452</v>
      </c>
      <c r="K815">
        <v>1036</v>
      </c>
      <c r="L815">
        <v>436</v>
      </c>
      <c r="P815">
        <v>144</v>
      </c>
      <c r="Q815">
        <v>165</v>
      </c>
      <c r="R815">
        <v>873</v>
      </c>
      <c r="S815">
        <v>650</v>
      </c>
      <c r="T815">
        <v>1860</v>
      </c>
      <c r="U815">
        <v>2510</v>
      </c>
      <c r="V815">
        <v>247</v>
      </c>
      <c r="W815">
        <v>740</v>
      </c>
      <c r="X815">
        <v>180</v>
      </c>
      <c r="Z815">
        <v>283</v>
      </c>
      <c r="AA815">
        <v>1048</v>
      </c>
      <c r="AB815" t="s">
        <v>1692</v>
      </c>
    </row>
    <row r="816" spans="1:28" x14ac:dyDescent="0.3">
      <c r="A816">
        <v>76233</v>
      </c>
      <c r="B816" t="s">
        <v>1261</v>
      </c>
      <c r="C816">
        <v>0</v>
      </c>
      <c r="D816">
        <v>1610612752</v>
      </c>
      <c r="E816" t="s">
        <v>1248</v>
      </c>
      <c r="F816">
        <v>320</v>
      </c>
      <c r="G816">
        <v>82</v>
      </c>
      <c r="I816">
        <v>27090</v>
      </c>
      <c r="J816">
        <v>392</v>
      </c>
      <c r="K816">
        <v>906</v>
      </c>
      <c r="L816">
        <v>433</v>
      </c>
      <c r="P816">
        <v>130</v>
      </c>
      <c r="Q816">
        <v>148</v>
      </c>
      <c r="R816">
        <v>878</v>
      </c>
      <c r="S816">
        <v>470</v>
      </c>
      <c r="T816">
        <v>1870</v>
      </c>
      <c r="U816">
        <v>2340</v>
      </c>
      <c r="V816">
        <v>247</v>
      </c>
      <c r="W816">
        <v>680</v>
      </c>
      <c r="X816">
        <v>180</v>
      </c>
      <c r="Z816">
        <v>256</v>
      </c>
      <c r="AA816">
        <v>914</v>
      </c>
      <c r="AB816" t="s">
        <v>1692</v>
      </c>
    </row>
    <row r="817" spans="1:28" x14ac:dyDescent="0.3">
      <c r="A817">
        <v>76233</v>
      </c>
      <c r="B817" t="s">
        <v>1263</v>
      </c>
      <c r="C817">
        <v>0</v>
      </c>
      <c r="D817">
        <v>1610612752</v>
      </c>
      <c r="E817" t="s">
        <v>1248</v>
      </c>
      <c r="F817">
        <v>330</v>
      </c>
      <c r="G817">
        <v>67</v>
      </c>
      <c r="I817">
        <v>10270</v>
      </c>
      <c r="J817">
        <v>127</v>
      </c>
      <c r="K817">
        <v>274</v>
      </c>
      <c r="L817">
        <v>464</v>
      </c>
      <c r="P817">
        <v>34</v>
      </c>
      <c r="Q817">
        <v>42</v>
      </c>
      <c r="R817">
        <v>81</v>
      </c>
      <c r="S817">
        <v>270</v>
      </c>
      <c r="T817">
        <v>760</v>
      </c>
      <c r="U817">
        <v>1030</v>
      </c>
      <c r="V817">
        <v>128</v>
      </c>
      <c r="W817">
        <v>250</v>
      </c>
      <c r="X817">
        <v>80</v>
      </c>
      <c r="Z817">
        <v>122</v>
      </c>
      <c r="AA817">
        <v>288</v>
      </c>
      <c r="AB817" t="s">
        <v>1692</v>
      </c>
    </row>
    <row r="818" spans="1:28" x14ac:dyDescent="0.3">
      <c r="A818">
        <v>76210</v>
      </c>
      <c r="B818" t="s">
        <v>1266</v>
      </c>
      <c r="C818">
        <v>0</v>
      </c>
      <c r="D818">
        <v>1610612752</v>
      </c>
      <c r="E818" t="s">
        <v>1248</v>
      </c>
      <c r="F818">
        <v>230</v>
      </c>
      <c r="G818">
        <v>59</v>
      </c>
      <c r="J818">
        <v>204</v>
      </c>
      <c r="K818">
        <v>600</v>
      </c>
      <c r="L818">
        <v>34</v>
      </c>
      <c r="P818">
        <v>204</v>
      </c>
      <c r="Q818">
        <v>267</v>
      </c>
      <c r="R818">
        <v>764</v>
      </c>
      <c r="V818">
        <v>95</v>
      </c>
      <c r="Z818">
        <v>203</v>
      </c>
      <c r="AA818">
        <v>612</v>
      </c>
      <c r="AB818" t="s">
        <v>1693</v>
      </c>
    </row>
    <row r="819" spans="1:28" x14ac:dyDescent="0.3">
      <c r="A819">
        <v>76210</v>
      </c>
      <c r="B819" t="s">
        <v>1378</v>
      </c>
      <c r="C819">
        <v>0</v>
      </c>
      <c r="D819">
        <v>1610612752</v>
      </c>
      <c r="E819" t="s">
        <v>1248</v>
      </c>
      <c r="F819">
        <v>240</v>
      </c>
      <c r="G819">
        <v>66</v>
      </c>
      <c r="J819">
        <v>352</v>
      </c>
      <c r="K819">
        <v>867</v>
      </c>
      <c r="L819">
        <v>406</v>
      </c>
      <c r="P819">
        <v>278</v>
      </c>
      <c r="Q819">
        <v>332</v>
      </c>
      <c r="R819">
        <v>837</v>
      </c>
      <c r="U819">
        <v>2490</v>
      </c>
      <c r="V819">
        <v>182</v>
      </c>
      <c r="Z819">
        <v>244</v>
      </c>
      <c r="AA819">
        <v>982</v>
      </c>
      <c r="AB819" t="s">
        <v>1693</v>
      </c>
    </row>
    <row r="820" spans="1:28" x14ac:dyDescent="0.3">
      <c r="A820">
        <v>76210</v>
      </c>
      <c r="B820" t="s">
        <v>1247</v>
      </c>
      <c r="C820">
        <v>0</v>
      </c>
      <c r="D820">
        <v>1610612752</v>
      </c>
      <c r="E820" t="s">
        <v>1248</v>
      </c>
      <c r="F820">
        <v>250</v>
      </c>
      <c r="G820">
        <v>42</v>
      </c>
      <c r="I820">
        <v>14400</v>
      </c>
      <c r="J820">
        <v>202</v>
      </c>
      <c r="K820">
        <v>522</v>
      </c>
      <c r="L820">
        <v>387</v>
      </c>
      <c r="P820">
        <v>96</v>
      </c>
      <c r="Q820">
        <v>115</v>
      </c>
      <c r="R820">
        <v>835</v>
      </c>
      <c r="U820">
        <v>2190</v>
      </c>
      <c r="V820">
        <v>90</v>
      </c>
      <c r="Z820">
        <v>121</v>
      </c>
      <c r="AA820">
        <v>500</v>
      </c>
      <c r="AB820" t="s">
        <v>1693</v>
      </c>
    </row>
    <row r="821" spans="1:28" x14ac:dyDescent="0.3">
      <c r="A821">
        <v>76210</v>
      </c>
      <c r="B821" t="s">
        <v>1390</v>
      </c>
      <c r="C821">
        <v>0</v>
      </c>
      <c r="D821">
        <v>1610612752</v>
      </c>
      <c r="E821" t="s">
        <v>1248</v>
      </c>
      <c r="F821">
        <v>260</v>
      </c>
      <c r="G821">
        <v>66</v>
      </c>
      <c r="I821">
        <v>22000</v>
      </c>
      <c r="J821">
        <v>254</v>
      </c>
      <c r="K821">
        <v>686</v>
      </c>
      <c r="L821">
        <v>37</v>
      </c>
      <c r="P821">
        <v>165</v>
      </c>
      <c r="Q821">
        <v>201</v>
      </c>
      <c r="R821">
        <v>821</v>
      </c>
      <c r="U821">
        <v>2330</v>
      </c>
      <c r="V821">
        <v>166</v>
      </c>
      <c r="Z821">
        <v>226</v>
      </c>
      <c r="AA821">
        <v>673</v>
      </c>
      <c r="AB821" t="s">
        <v>1693</v>
      </c>
    </row>
    <row r="822" spans="1:28" x14ac:dyDescent="0.3">
      <c r="A822">
        <v>76210</v>
      </c>
      <c r="B822" t="s">
        <v>1349</v>
      </c>
      <c r="C822">
        <v>0</v>
      </c>
      <c r="D822">
        <v>1610612752</v>
      </c>
      <c r="E822" t="s">
        <v>1248</v>
      </c>
      <c r="F822">
        <v>270</v>
      </c>
      <c r="G822">
        <v>52</v>
      </c>
      <c r="I822">
        <v>15220</v>
      </c>
      <c r="J822">
        <v>175</v>
      </c>
      <c r="K822">
        <v>525</v>
      </c>
      <c r="L822">
        <v>333</v>
      </c>
      <c r="P822">
        <v>70</v>
      </c>
      <c r="Q822">
        <v>81</v>
      </c>
      <c r="R822">
        <v>864</v>
      </c>
      <c r="U822">
        <v>1300</v>
      </c>
      <c r="V822">
        <v>77</v>
      </c>
      <c r="Z822">
        <v>128</v>
      </c>
      <c r="AA822">
        <v>420</v>
      </c>
      <c r="AB822" t="s">
        <v>1693</v>
      </c>
    </row>
    <row r="823" spans="1:28" x14ac:dyDescent="0.3">
      <c r="A823">
        <v>1626171</v>
      </c>
      <c r="B823" t="s">
        <v>1288</v>
      </c>
      <c r="C823">
        <v>0</v>
      </c>
      <c r="D823">
        <v>1610612752</v>
      </c>
      <c r="E823" t="s">
        <v>1248</v>
      </c>
      <c r="F823">
        <v>250</v>
      </c>
      <c r="G823">
        <v>66</v>
      </c>
      <c r="H823">
        <v>50</v>
      </c>
      <c r="I823">
        <v>13940</v>
      </c>
      <c r="J823">
        <v>265</v>
      </c>
      <c r="K823">
        <v>589</v>
      </c>
      <c r="L823">
        <v>45</v>
      </c>
      <c r="M823">
        <v>670</v>
      </c>
      <c r="N823">
        <v>1870</v>
      </c>
      <c r="O823">
        <v>358</v>
      </c>
      <c r="P823">
        <v>71</v>
      </c>
      <c r="Q823">
        <v>93</v>
      </c>
      <c r="R823">
        <v>763</v>
      </c>
      <c r="S823">
        <v>800</v>
      </c>
      <c r="T823">
        <v>2580</v>
      </c>
      <c r="U823">
        <v>3380</v>
      </c>
      <c r="V823">
        <v>98</v>
      </c>
      <c r="W823">
        <v>320</v>
      </c>
      <c r="X823">
        <v>180</v>
      </c>
      <c r="Y823">
        <v>730</v>
      </c>
      <c r="Z823">
        <v>110</v>
      </c>
      <c r="AA823">
        <v>668</v>
      </c>
      <c r="AB823" t="s">
        <v>1694</v>
      </c>
    </row>
    <row r="824" spans="1:28" x14ac:dyDescent="0.3">
      <c r="A824">
        <v>200780</v>
      </c>
      <c r="B824" t="s">
        <v>1292</v>
      </c>
      <c r="C824">
        <v>0</v>
      </c>
      <c r="D824">
        <v>1610612752</v>
      </c>
      <c r="E824" t="s">
        <v>1248</v>
      </c>
      <c r="F824">
        <v>280</v>
      </c>
      <c r="G824">
        <v>2</v>
      </c>
      <c r="H824">
        <v>10</v>
      </c>
      <c r="I824">
        <v>260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10</v>
      </c>
      <c r="T824">
        <v>20</v>
      </c>
      <c r="U824">
        <v>30</v>
      </c>
      <c r="V824">
        <v>0</v>
      </c>
      <c r="W824">
        <v>0</v>
      </c>
      <c r="X824">
        <v>10</v>
      </c>
      <c r="Y824">
        <v>30</v>
      </c>
      <c r="Z824">
        <v>3</v>
      </c>
      <c r="AA824">
        <v>0</v>
      </c>
      <c r="AB824" t="s">
        <v>1695</v>
      </c>
    </row>
    <row r="825" spans="1:28" x14ac:dyDescent="0.3">
      <c r="A825">
        <v>76828</v>
      </c>
      <c r="B825" t="s">
        <v>1255</v>
      </c>
      <c r="C825">
        <v>0</v>
      </c>
      <c r="D825">
        <v>1610612752</v>
      </c>
      <c r="E825" t="s">
        <v>1248</v>
      </c>
      <c r="F825">
        <v>300</v>
      </c>
      <c r="G825">
        <v>73</v>
      </c>
      <c r="I825">
        <v>26700</v>
      </c>
      <c r="J825">
        <v>363</v>
      </c>
      <c r="K825">
        <v>791</v>
      </c>
      <c r="L825">
        <v>459</v>
      </c>
      <c r="P825">
        <v>170</v>
      </c>
      <c r="Q825">
        <v>219</v>
      </c>
      <c r="R825">
        <v>776</v>
      </c>
      <c r="U825">
        <v>5170</v>
      </c>
      <c r="V825">
        <v>298</v>
      </c>
      <c r="Z825">
        <v>295</v>
      </c>
      <c r="AA825">
        <v>896</v>
      </c>
      <c r="AB825" t="s">
        <v>1696</v>
      </c>
    </row>
    <row r="826" spans="1:28" x14ac:dyDescent="0.3">
      <c r="A826">
        <v>76828</v>
      </c>
      <c r="B826" t="s">
        <v>1257</v>
      </c>
      <c r="C826">
        <v>0</v>
      </c>
      <c r="D826">
        <v>1610612752</v>
      </c>
      <c r="E826" t="s">
        <v>1248</v>
      </c>
      <c r="F826">
        <v>310</v>
      </c>
      <c r="G826">
        <v>74</v>
      </c>
      <c r="I826">
        <v>21560</v>
      </c>
      <c r="J826">
        <v>258</v>
      </c>
      <c r="K826">
        <v>602</v>
      </c>
      <c r="L826">
        <v>429</v>
      </c>
      <c r="P826">
        <v>154</v>
      </c>
      <c r="Q826">
        <v>212</v>
      </c>
      <c r="R826">
        <v>726</v>
      </c>
      <c r="U826">
        <v>4690</v>
      </c>
      <c r="V826">
        <v>257</v>
      </c>
      <c r="Z826">
        <v>278</v>
      </c>
      <c r="AA826">
        <v>670</v>
      </c>
      <c r="AB826" t="s">
        <v>1696</v>
      </c>
    </row>
    <row r="827" spans="1:28" x14ac:dyDescent="0.3">
      <c r="A827">
        <v>76828</v>
      </c>
      <c r="B827" t="s">
        <v>1258</v>
      </c>
      <c r="C827">
        <v>0</v>
      </c>
      <c r="D827">
        <v>1610612752</v>
      </c>
      <c r="E827" t="s">
        <v>1248</v>
      </c>
      <c r="F827">
        <v>320</v>
      </c>
      <c r="G827">
        <v>77</v>
      </c>
      <c r="I827">
        <v>17270</v>
      </c>
      <c r="J827">
        <v>204</v>
      </c>
      <c r="K827">
        <v>455</v>
      </c>
      <c r="L827">
        <v>448</v>
      </c>
      <c r="P827">
        <v>133</v>
      </c>
      <c r="Q827">
        <v>180</v>
      </c>
      <c r="R827">
        <v>739</v>
      </c>
      <c r="U827">
        <v>3190</v>
      </c>
      <c r="V827">
        <v>220</v>
      </c>
      <c r="Z827">
        <v>269</v>
      </c>
      <c r="AA827">
        <v>541</v>
      </c>
      <c r="AB827" t="s">
        <v>1696</v>
      </c>
    </row>
    <row r="828" spans="1:28" x14ac:dyDescent="0.3">
      <c r="A828">
        <v>76828</v>
      </c>
      <c r="B828" t="s">
        <v>1412</v>
      </c>
      <c r="C828">
        <v>0</v>
      </c>
      <c r="D828">
        <v>1610612752</v>
      </c>
      <c r="E828" t="s">
        <v>1248</v>
      </c>
      <c r="F828">
        <v>330</v>
      </c>
      <c r="G828">
        <v>74</v>
      </c>
      <c r="I828">
        <v>11270</v>
      </c>
      <c r="J828">
        <v>122</v>
      </c>
      <c r="K828">
        <v>271</v>
      </c>
      <c r="L828">
        <v>45</v>
      </c>
      <c r="P828">
        <v>82</v>
      </c>
      <c r="Q828">
        <v>105</v>
      </c>
      <c r="R828">
        <v>781</v>
      </c>
      <c r="U828">
        <v>2890</v>
      </c>
      <c r="V828">
        <v>191</v>
      </c>
      <c r="Z828">
        <v>207</v>
      </c>
      <c r="AA828">
        <v>326</v>
      </c>
      <c r="AB828" t="s">
        <v>1696</v>
      </c>
    </row>
    <row r="829" spans="1:28" x14ac:dyDescent="0.3">
      <c r="A829">
        <v>2037</v>
      </c>
      <c r="B829" t="s">
        <v>1295</v>
      </c>
      <c r="C829">
        <v>0</v>
      </c>
      <c r="D829">
        <v>1610612752</v>
      </c>
      <c r="E829" t="s">
        <v>1248</v>
      </c>
      <c r="F829">
        <v>250</v>
      </c>
      <c r="G829">
        <v>70</v>
      </c>
      <c r="H829">
        <v>670</v>
      </c>
      <c r="I829">
        <v>26880</v>
      </c>
      <c r="J829">
        <v>437</v>
      </c>
      <c r="K829">
        <v>1097</v>
      </c>
      <c r="L829">
        <v>398</v>
      </c>
      <c r="M829">
        <v>1850</v>
      </c>
      <c r="N829">
        <v>5120</v>
      </c>
      <c r="O829">
        <v>361</v>
      </c>
      <c r="P829">
        <v>182</v>
      </c>
      <c r="Q829">
        <v>216</v>
      </c>
      <c r="R829">
        <v>843</v>
      </c>
      <c r="S829">
        <v>330</v>
      </c>
      <c r="T829">
        <v>1700</v>
      </c>
      <c r="U829">
        <v>2030</v>
      </c>
      <c r="V829">
        <v>302</v>
      </c>
      <c r="W829">
        <v>920</v>
      </c>
      <c r="X829">
        <v>190</v>
      </c>
      <c r="Y829">
        <v>1480</v>
      </c>
      <c r="Z829">
        <v>135</v>
      </c>
      <c r="AA829">
        <v>1241</v>
      </c>
      <c r="AB829" t="s">
        <v>1697</v>
      </c>
    </row>
    <row r="830" spans="1:28" x14ac:dyDescent="0.3">
      <c r="A830">
        <v>2037</v>
      </c>
      <c r="B830" t="s">
        <v>1300</v>
      </c>
      <c r="C830">
        <v>0</v>
      </c>
      <c r="D830">
        <v>1610612752</v>
      </c>
      <c r="E830" t="s">
        <v>1248</v>
      </c>
      <c r="F830">
        <v>260</v>
      </c>
      <c r="G830">
        <v>79</v>
      </c>
      <c r="H830">
        <v>270</v>
      </c>
      <c r="I830">
        <v>25550</v>
      </c>
      <c r="J830">
        <v>366</v>
      </c>
      <c r="K830">
        <v>879</v>
      </c>
      <c r="L830">
        <v>416</v>
      </c>
      <c r="M830">
        <v>1010</v>
      </c>
      <c r="N830">
        <v>2930</v>
      </c>
      <c r="O830">
        <v>345</v>
      </c>
      <c r="P830">
        <v>295</v>
      </c>
      <c r="Q830">
        <v>357</v>
      </c>
      <c r="R830">
        <v>826</v>
      </c>
      <c r="S830">
        <v>360</v>
      </c>
      <c r="T830">
        <v>2120</v>
      </c>
      <c r="U830">
        <v>2480</v>
      </c>
      <c r="V830">
        <v>301</v>
      </c>
      <c r="W830">
        <v>870</v>
      </c>
      <c r="X830">
        <v>150</v>
      </c>
      <c r="Y830">
        <v>1750</v>
      </c>
      <c r="Z830">
        <v>150</v>
      </c>
      <c r="AA830">
        <v>1128</v>
      </c>
      <c r="AB830" t="s">
        <v>1697</v>
      </c>
    </row>
    <row r="831" spans="1:28" x14ac:dyDescent="0.3">
      <c r="A831">
        <v>2037</v>
      </c>
      <c r="B831" t="s">
        <v>1302</v>
      </c>
      <c r="C831">
        <v>0</v>
      </c>
      <c r="D831">
        <v>1610612752</v>
      </c>
      <c r="E831" t="s">
        <v>1248</v>
      </c>
      <c r="F831">
        <v>270</v>
      </c>
      <c r="G831">
        <v>59</v>
      </c>
      <c r="H831">
        <v>360</v>
      </c>
      <c r="I831">
        <v>21980</v>
      </c>
      <c r="J831">
        <v>354</v>
      </c>
      <c r="K831">
        <v>886</v>
      </c>
      <c r="L831">
        <v>4</v>
      </c>
      <c r="M831">
        <v>1030</v>
      </c>
      <c r="N831">
        <v>3220</v>
      </c>
      <c r="O831">
        <v>32</v>
      </c>
      <c r="P831">
        <v>228</v>
      </c>
      <c r="Q831">
        <v>272</v>
      </c>
      <c r="R831">
        <v>838</v>
      </c>
      <c r="S831">
        <v>440</v>
      </c>
      <c r="T831">
        <v>1450</v>
      </c>
      <c r="U831">
        <v>1890</v>
      </c>
      <c r="V831">
        <v>259</v>
      </c>
      <c r="W831">
        <v>570</v>
      </c>
      <c r="X831">
        <v>80</v>
      </c>
      <c r="Y831">
        <v>1620</v>
      </c>
      <c r="Z831">
        <v>114</v>
      </c>
      <c r="AA831">
        <v>1039</v>
      </c>
      <c r="AB831" t="s">
        <v>1697</v>
      </c>
    </row>
    <row r="832" spans="1:28" x14ac:dyDescent="0.3">
      <c r="A832">
        <v>2037</v>
      </c>
      <c r="B832" t="s">
        <v>1303</v>
      </c>
      <c r="C832">
        <v>0</v>
      </c>
      <c r="D832">
        <v>1610612752</v>
      </c>
      <c r="E832" t="s">
        <v>1248</v>
      </c>
      <c r="F832">
        <v>280</v>
      </c>
      <c r="G832">
        <v>80</v>
      </c>
      <c r="H832">
        <v>800</v>
      </c>
      <c r="I832">
        <v>31900</v>
      </c>
      <c r="J832">
        <v>570</v>
      </c>
      <c r="K832">
        <v>1391</v>
      </c>
      <c r="L832">
        <v>41</v>
      </c>
      <c r="M832">
        <v>1760</v>
      </c>
      <c r="N832">
        <v>4940</v>
      </c>
      <c r="O832">
        <v>356</v>
      </c>
      <c r="P832">
        <v>329</v>
      </c>
      <c r="Q832">
        <v>381</v>
      </c>
      <c r="R832">
        <v>864</v>
      </c>
      <c r="S832">
        <v>370</v>
      </c>
      <c r="T832">
        <v>1700</v>
      </c>
      <c r="U832">
        <v>2070</v>
      </c>
      <c r="V832">
        <v>398</v>
      </c>
      <c r="W832">
        <v>810</v>
      </c>
      <c r="X832">
        <v>170</v>
      </c>
      <c r="Y832">
        <v>1920</v>
      </c>
      <c r="Z832">
        <v>144</v>
      </c>
      <c r="AA832">
        <v>1645</v>
      </c>
      <c r="AB832" t="s">
        <v>1697</v>
      </c>
    </row>
    <row r="833" spans="1:28" x14ac:dyDescent="0.3">
      <c r="A833">
        <v>2037</v>
      </c>
      <c r="B833" t="s">
        <v>1304</v>
      </c>
      <c r="C833">
        <v>0</v>
      </c>
      <c r="D833">
        <v>1610612752</v>
      </c>
      <c r="E833" t="s">
        <v>1248</v>
      </c>
      <c r="F833">
        <v>290</v>
      </c>
      <c r="G833">
        <v>11</v>
      </c>
      <c r="H833">
        <v>110</v>
      </c>
      <c r="I833">
        <v>3920</v>
      </c>
      <c r="J833">
        <v>73</v>
      </c>
      <c r="K833">
        <v>169</v>
      </c>
      <c r="L833">
        <v>432</v>
      </c>
      <c r="M833">
        <v>350</v>
      </c>
      <c r="N833">
        <v>770</v>
      </c>
      <c r="O833">
        <v>455</v>
      </c>
      <c r="P833">
        <v>35</v>
      </c>
      <c r="Q833">
        <v>46</v>
      </c>
      <c r="R833">
        <v>761</v>
      </c>
      <c r="S833">
        <v>20</v>
      </c>
      <c r="T833">
        <v>150</v>
      </c>
      <c r="U833">
        <v>170</v>
      </c>
      <c r="V833">
        <v>48</v>
      </c>
      <c r="W833">
        <v>90</v>
      </c>
      <c r="X833">
        <v>0</v>
      </c>
      <c r="Y833">
        <v>260</v>
      </c>
      <c r="Z833">
        <v>13</v>
      </c>
      <c r="AA833">
        <v>216</v>
      </c>
      <c r="AB833" t="s">
        <v>1697</v>
      </c>
    </row>
    <row r="834" spans="1:28" x14ac:dyDescent="0.3">
      <c r="A834">
        <v>76243</v>
      </c>
      <c r="B834" t="s">
        <v>1297</v>
      </c>
      <c r="C834">
        <v>0</v>
      </c>
      <c r="D834">
        <v>1610612752</v>
      </c>
      <c r="E834" t="s">
        <v>1248</v>
      </c>
      <c r="F834">
        <v>200</v>
      </c>
      <c r="G834">
        <v>47</v>
      </c>
      <c r="J834">
        <v>276</v>
      </c>
      <c r="K834">
        <v>854</v>
      </c>
      <c r="L834">
        <v>323</v>
      </c>
      <c r="P834">
        <v>119</v>
      </c>
      <c r="Q834">
        <v>183</v>
      </c>
      <c r="R834">
        <v>65</v>
      </c>
      <c r="V834">
        <v>61</v>
      </c>
      <c r="Z834">
        <v>102</v>
      </c>
      <c r="AA834">
        <v>671</v>
      </c>
      <c r="AB834" t="s">
        <v>1698</v>
      </c>
    </row>
    <row r="835" spans="1:28" x14ac:dyDescent="0.3">
      <c r="A835">
        <v>76243</v>
      </c>
      <c r="B835" t="s">
        <v>1299</v>
      </c>
      <c r="C835">
        <v>0</v>
      </c>
      <c r="D835">
        <v>1610612752</v>
      </c>
      <c r="E835" t="s">
        <v>1248</v>
      </c>
      <c r="F835">
        <v>210</v>
      </c>
      <c r="G835">
        <v>57</v>
      </c>
      <c r="J835">
        <v>299</v>
      </c>
      <c r="K835">
        <v>906</v>
      </c>
      <c r="L835">
        <v>33</v>
      </c>
      <c r="P835">
        <v>212</v>
      </c>
      <c r="Q835">
        <v>279</v>
      </c>
      <c r="R835">
        <v>76</v>
      </c>
      <c r="V835">
        <v>173</v>
      </c>
      <c r="Z835">
        <v>144</v>
      </c>
      <c r="AA835">
        <v>810</v>
      </c>
      <c r="AB835" t="s">
        <v>1698</v>
      </c>
    </row>
    <row r="836" spans="1:28" x14ac:dyDescent="0.3">
      <c r="A836">
        <v>76243</v>
      </c>
      <c r="B836" t="s">
        <v>1266</v>
      </c>
      <c r="C836">
        <v>0</v>
      </c>
      <c r="D836">
        <v>1610612752</v>
      </c>
      <c r="E836" t="s">
        <v>1248</v>
      </c>
      <c r="F836">
        <v>220</v>
      </c>
      <c r="G836">
        <v>67</v>
      </c>
      <c r="J836">
        <v>373</v>
      </c>
      <c r="K836">
        <v>1024</v>
      </c>
      <c r="L836">
        <v>364</v>
      </c>
      <c r="P836">
        <v>285</v>
      </c>
      <c r="Q836">
        <v>374</v>
      </c>
      <c r="R836">
        <v>762</v>
      </c>
      <c r="V836">
        <v>247</v>
      </c>
      <c r="Z836">
        <v>188</v>
      </c>
      <c r="AA836">
        <v>1031</v>
      </c>
      <c r="AB836" t="s">
        <v>1698</v>
      </c>
    </row>
    <row r="837" spans="1:28" x14ac:dyDescent="0.3">
      <c r="A837">
        <v>76243</v>
      </c>
      <c r="B837" t="s">
        <v>1390</v>
      </c>
      <c r="C837">
        <v>0</v>
      </c>
      <c r="D837">
        <v>1610612752</v>
      </c>
      <c r="E837" t="s">
        <v>1248</v>
      </c>
      <c r="F837">
        <v>250</v>
      </c>
      <c r="G837">
        <v>70</v>
      </c>
      <c r="I837">
        <v>23160</v>
      </c>
      <c r="J837">
        <v>323</v>
      </c>
      <c r="K837">
        <v>807</v>
      </c>
      <c r="L837">
        <v>4</v>
      </c>
      <c r="P837">
        <v>331</v>
      </c>
      <c r="Q837">
        <v>401</v>
      </c>
      <c r="R837">
        <v>825</v>
      </c>
      <c r="U837">
        <v>2330</v>
      </c>
      <c r="V837">
        <v>243</v>
      </c>
      <c r="Z837">
        <v>287</v>
      </c>
      <c r="AA837">
        <v>977</v>
      </c>
      <c r="AB837" t="s">
        <v>1698</v>
      </c>
    </row>
    <row r="838" spans="1:28" x14ac:dyDescent="0.3">
      <c r="A838">
        <v>76243</v>
      </c>
      <c r="B838" t="s">
        <v>1349</v>
      </c>
      <c r="C838">
        <v>0</v>
      </c>
      <c r="D838">
        <v>1610612752</v>
      </c>
      <c r="E838" t="s">
        <v>1248</v>
      </c>
      <c r="F838">
        <v>260</v>
      </c>
      <c r="G838">
        <v>72</v>
      </c>
      <c r="I838">
        <v>23730</v>
      </c>
      <c r="J838">
        <v>354</v>
      </c>
      <c r="K838">
        <v>884</v>
      </c>
      <c r="L838">
        <v>4</v>
      </c>
      <c r="P838">
        <v>354</v>
      </c>
      <c r="Q838">
        <v>429</v>
      </c>
      <c r="R838">
        <v>825</v>
      </c>
      <c r="U838">
        <v>2460</v>
      </c>
      <c r="V838">
        <v>209</v>
      </c>
      <c r="Z838">
        <v>259</v>
      </c>
      <c r="AA838">
        <v>1062</v>
      </c>
      <c r="AB838" t="s">
        <v>1698</v>
      </c>
    </row>
    <row r="839" spans="1:28" x14ac:dyDescent="0.3">
      <c r="A839">
        <v>76243</v>
      </c>
      <c r="B839" t="s">
        <v>1362</v>
      </c>
      <c r="C839">
        <v>0</v>
      </c>
      <c r="D839">
        <v>1610612752</v>
      </c>
      <c r="E839" t="s">
        <v>1248</v>
      </c>
      <c r="F839">
        <v>270</v>
      </c>
      <c r="G839">
        <v>71</v>
      </c>
      <c r="I839">
        <v>24790</v>
      </c>
      <c r="J839">
        <v>400</v>
      </c>
      <c r="K839">
        <v>1032</v>
      </c>
      <c r="L839">
        <v>388</v>
      </c>
      <c r="P839">
        <v>274</v>
      </c>
      <c r="Q839">
        <v>342</v>
      </c>
      <c r="R839">
        <v>801</v>
      </c>
      <c r="U839">
        <v>2950</v>
      </c>
      <c r="V839">
        <v>274</v>
      </c>
      <c r="Z839">
        <v>208</v>
      </c>
      <c r="AA839">
        <v>1074</v>
      </c>
      <c r="AB839" t="s">
        <v>1698</v>
      </c>
    </row>
    <row r="840" spans="1:28" x14ac:dyDescent="0.3">
      <c r="A840">
        <v>76243</v>
      </c>
      <c r="B840" t="s">
        <v>1315</v>
      </c>
      <c r="C840">
        <v>0</v>
      </c>
      <c r="D840">
        <v>1610612752</v>
      </c>
      <c r="E840" t="s">
        <v>1248</v>
      </c>
      <c r="F840">
        <v>280</v>
      </c>
      <c r="G840">
        <v>72</v>
      </c>
      <c r="I840">
        <v>23160</v>
      </c>
      <c r="J840">
        <v>396</v>
      </c>
      <c r="K840">
        <v>1064</v>
      </c>
      <c r="L840">
        <v>372</v>
      </c>
      <c r="P840">
        <v>320</v>
      </c>
      <c r="Q840">
        <v>382</v>
      </c>
      <c r="R840">
        <v>838</v>
      </c>
      <c r="U840">
        <v>2590</v>
      </c>
      <c r="V840">
        <v>298</v>
      </c>
      <c r="Z840">
        <v>215</v>
      </c>
      <c r="AA840">
        <v>1112</v>
      </c>
      <c r="AB840" t="s">
        <v>1698</v>
      </c>
    </row>
    <row r="841" spans="1:28" x14ac:dyDescent="0.3">
      <c r="A841">
        <v>76243</v>
      </c>
      <c r="B841" t="s">
        <v>1318</v>
      </c>
      <c r="C841">
        <v>0</v>
      </c>
      <c r="D841">
        <v>1610612752</v>
      </c>
      <c r="E841" t="s">
        <v>1248</v>
      </c>
      <c r="F841">
        <v>290</v>
      </c>
      <c r="G841">
        <v>72</v>
      </c>
      <c r="I841">
        <v>23450</v>
      </c>
      <c r="J841">
        <v>378</v>
      </c>
      <c r="K841">
        <v>993</v>
      </c>
      <c r="L841">
        <v>381</v>
      </c>
      <c r="P841">
        <v>245</v>
      </c>
      <c r="Q841">
        <v>303</v>
      </c>
      <c r="R841">
        <v>809</v>
      </c>
      <c r="U841">
        <v>2590</v>
      </c>
      <c r="V841">
        <v>256</v>
      </c>
      <c r="Z841">
        <v>195</v>
      </c>
      <c r="AA841">
        <v>1001</v>
      </c>
      <c r="AB841" t="s">
        <v>1698</v>
      </c>
    </row>
    <row r="842" spans="1:28" x14ac:dyDescent="0.3">
      <c r="A842">
        <v>76243</v>
      </c>
      <c r="B842" t="s">
        <v>1320</v>
      </c>
      <c r="C842">
        <v>0</v>
      </c>
      <c r="D842">
        <v>1610612752</v>
      </c>
      <c r="E842" t="s">
        <v>1248</v>
      </c>
      <c r="F842">
        <v>300</v>
      </c>
      <c r="G842">
        <v>71</v>
      </c>
      <c r="I842">
        <v>24750</v>
      </c>
      <c r="J842">
        <v>426</v>
      </c>
      <c r="K842">
        <v>1018</v>
      </c>
      <c r="L842">
        <v>418</v>
      </c>
      <c r="P842">
        <v>321</v>
      </c>
      <c r="Q842">
        <v>378</v>
      </c>
      <c r="R842">
        <v>849</v>
      </c>
      <c r="U842">
        <v>3300</v>
      </c>
      <c r="V842">
        <v>393</v>
      </c>
      <c r="Z842">
        <v>183</v>
      </c>
      <c r="AA842">
        <v>1173</v>
      </c>
      <c r="AB842" t="s">
        <v>1698</v>
      </c>
    </row>
    <row r="843" spans="1:28" x14ac:dyDescent="0.3">
      <c r="A843">
        <v>76243</v>
      </c>
      <c r="B843" t="s">
        <v>1250</v>
      </c>
      <c r="C843">
        <v>0</v>
      </c>
      <c r="D843">
        <v>1610612752</v>
      </c>
      <c r="E843" t="s">
        <v>1248</v>
      </c>
      <c r="F843">
        <v>310</v>
      </c>
      <c r="G843">
        <v>72</v>
      </c>
      <c r="I843">
        <v>19590</v>
      </c>
      <c r="J843">
        <v>287</v>
      </c>
      <c r="K843">
        <v>684</v>
      </c>
      <c r="L843">
        <v>42</v>
      </c>
      <c r="P843">
        <v>180</v>
      </c>
      <c r="Q843">
        <v>218</v>
      </c>
      <c r="R843">
        <v>826</v>
      </c>
      <c r="U843">
        <v>2510</v>
      </c>
      <c r="V843">
        <v>349</v>
      </c>
      <c r="Z843">
        <v>178</v>
      </c>
      <c r="AA843">
        <v>754</v>
      </c>
      <c r="AB843" t="s">
        <v>1698</v>
      </c>
    </row>
    <row r="844" spans="1:28" x14ac:dyDescent="0.3">
      <c r="A844">
        <v>76243</v>
      </c>
      <c r="B844" t="s">
        <v>1321</v>
      </c>
      <c r="C844">
        <v>0</v>
      </c>
      <c r="D844">
        <v>1610612752</v>
      </c>
      <c r="E844" t="s">
        <v>1248</v>
      </c>
      <c r="F844">
        <v>320</v>
      </c>
      <c r="G844">
        <v>54</v>
      </c>
      <c r="I844">
        <v>15140</v>
      </c>
      <c r="J844">
        <v>285</v>
      </c>
      <c r="K844">
        <v>659</v>
      </c>
      <c r="L844">
        <v>432</v>
      </c>
      <c r="P844">
        <v>129</v>
      </c>
      <c r="Q844">
        <v>154</v>
      </c>
      <c r="R844">
        <v>838</v>
      </c>
      <c r="U844">
        <v>1680</v>
      </c>
      <c r="V844">
        <v>270</v>
      </c>
      <c r="Z844">
        <v>127</v>
      </c>
      <c r="AA844">
        <v>699</v>
      </c>
      <c r="AB844" t="s">
        <v>1698</v>
      </c>
    </row>
    <row r="845" spans="1:28" x14ac:dyDescent="0.3">
      <c r="A845">
        <v>76243</v>
      </c>
      <c r="B845" t="s">
        <v>1322</v>
      </c>
      <c r="C845">
        <v>0</v>
      </c>
      <c r="D845">
        <v>1610612752</v>
      </c>
      <c r="E845" t="s">
        <v>1248</v>
      </c>
      <c r="F845">
        <v>330</v>
      </c>
      <c r="G845">
        <v>15</v>
      </c>
      <c r="I845">
        <v>2180</v>
      </c>
      <c r="J845">
        <v>37</v>
      </c>
      <c r="K845">
        <v>79</v>
      </c>
      <c r="L845">
        <v>468</v>
      </c>
      <c r="P845">
        <v>11</v>
      </c>
      <c r="Q845">
        <v>14</v>
      </c>
      <c r="R845">
        <v>786</v>
      </c>
      <c r="U845">
        <v>310</v>
      </c>
      <c r="V845">
        <v>48</v>
      </c>
      <c r="Z845">
        <v>29</v>
      </c>
      <c r="AA845">
        <v>85</v>
      </c>
      <c r="AB845" t="s">
        <v>1698</v>
      </c>
    </row>
    <row r="846" spans="1:28" x14ac:dyDescent="0.3">
      <c r="A846">
        <v>78238</v>
      </c>
      <c r="B846" t="s">
        <v>1412</v>
      </c>
      <c r="C846">
        <v>0</v>
      </c>
      <c r="D846">
        <v>1610612752</v>
      </c>
      <c r="E846" t="s">
        <v>1248</v>
      </c>
      <c r="F846">
        <v>240</v>
      </c>
      <c r="G846">
        <v>80</v>
      </c>
      <c r="I846">
        <v>18930</v>
      </c>
      <c r="J846">
        <v>373</v>
      </c>
      <c r="K846">
        <v>820</v>
      </c>
      <c r="L846">
        <v>455</v>
      </c>
      <c r="P846">
        <v>258</v>
      </c>
      <c r="Q846">
        <v>376</v>
      </c>
      <c r="R846">
        <v>686</v>
      </c>
      <c r="U846">
        <v>4920</v>
      </c>
      <c r="V846">
        <v>186</v>
      </c>
      <c r="Z846">
        <v>237</v>
      </c>
      <c r="AA846">
        <v>1004</v>
      </c>
      <c r="AB846" t="s">
        <v>1699</v>
      </c>
    </row>
    <row r="847" spans="1:28" x14ac:dyDescent="0.3">
      <c r="A847">
        <v>78238</v>
      </c>
      <c r="B847" t="s">
        <v>1360</v>
      </c>
      <c r="C847">
        <v>0</v>
      </c>
      <c r="D847">
        <v>1610612752</v>
      </c>
      <c r="E847" t="s">
        <v>1248</v>
      </c>
      <c r="F847">
        <v>250</v>
      </c>
      <c r="G847">
        <v>76</v>
      </c>
      <c r="I847">
        <v>18890</v>
      </c>
      <c r="J847">
        <v>380</v>
      </c>
      <c r="K847">
        <v>816</v>
      </c>
      <c r="L847">
        <v>466</v>
      </c>
      <c r="P847">
        <v>229</v>
      </c>
      <c r="Q847">
        <v>320</v>
      </c>
      <c r="R847">
        <v>716</v>
      </c>
      <c r="U847">
        <v>4720</v>
      </c>
      <c r="V847">
        <v>144</v>
      </c>
      <c r="Z847">
        <v>226</v>
      </c>
      <c r="AA847">
        <v>989</v>
      </c>
      <c r="AB847" t="s">
        <v>1699</v>
      </c>
    </row>
    <row r="848" spans="1:28" x14ac:dyDescent="0.3">
      <c r="A848">
        <v>78238</v>
      </c>
      <c r="B848" t="s">
        <v>1416</v>
      </c>
      <c r="C848">
        <v>0</v>
      </c>
      <c r="D848">
        <v>1610612752</v>
      </c>
      <c r="E848" t="s">
        <v>1248</v>
      </c>
      <c r="F848">
        <v>280</v>
      </c>
      <c r="G848">
        <v>82</v>
      </c>
      <c r="I848">
        <v>13750</v>
      </c>
      <c r="J848">
        <v>239</v>
      </c>
      <c r="K848">
        <v>557</v>
      </c>
      <c r="L848">
        <v>429</v>
      </c>
      <c r="P848">
        <v>161</v>
      </c>
      <c r="Q848">
        <v>225</v>
      </c>
      <c r="R848">
        <v>716</v>
      </c>
      <c r="U848">
        <v>3230</v>
      </c>
      <c r="V848">
        <v>139</v>
      </c>
      <c r="Z848">
        <v>194</v>
      </c>
      <c r="AA848">
        <v>639</v>
      </c>
      <c r="AB848" t="s">
        <v>1699</v>
      </c>
    </row>
    <row r="849" spans="1:28" x14ac:dyDescent="0.3">
      <c r="A849">
        <v>78238</v>
      </c>
      <c r="B849" t="s">
        <v>1417</v>
      </c>
      <c r="C849">
        <v>0</v>
      </c>
      <c r="D849">
        <v>1610612752</v>
      </c>
      <c r="E849" t="s">
        <v>1248</v>
      </c>
      <c r="F849">
        <v>290</v>
      </c>
      <c r="G849">
        <v>81</v>
      </c>
      <c r="I849">
        <v>15650</v>
      </c>
      <c r="J849">
        <v>295</v>
      </c>
      <c r="K849">
        <v>685</v>
      </c>
      <c r="L849">
        <v>431</v>
      </c>
      <c r="P849">
        <v>169</v>
      </c>
      <c r="Q849">
        <v>230</v>
      </c>
      <c r="R849">
        <v>735</v>
      </c>
      <c r="U849">
        <v>3520</v>
      </c>
      <c r="V849">
        <v>106</v>
      </c>
      <c r="Z849">
        <v>175</v>
      </c>
      <c r="AA849">
        <v>759</v>
      </c>
      <c r="AB849" t="s">
        <v>1699</v>
      </c>
    </row>
    <row r="850" spans="1:28" x14ac:dyDescent="0.3">
      <c r="A850">
        <v>78238</v>
      </c>
      <c r="B850" t="s">
        <v>1354</v>
      </c>
      <c r="C850">
        <v>0</v>
      </c>
      <c r="D850">
        <v>1610612752</v>
      </c>
      <c r="E850" t="s">
        <v>1248</v>
      </c>
      <c r="F850">
        <v>300</v>
      </c>
      <c r="G850">
        <v>14</v>
      </c>
      <c r="I850">
        <v>2250</v>
      </c>
      <c r="J850">
        <v>33</v>
      </c>
      <c r="K850">
        <v>88</v>
      </c>
      <c r="L850">
        <v>375</v>
      </c>
      <c r="P850">
        <v>29</v>
      </c>
      <c r="Q850">
        <v>35</v>
      </c>
      <c r="R850">
        <v>829</v>
      </c>
      <c r="U850">
        <v>350</v>
      </c>
      <c r="V850">
        <v>25</v>
      </c>
      <c r="Z850">
        <v>31</v>
      </c>
      <c r="AA850">
        <v>95</v>
      </c>
      <c r="AB850" t="s">
        <v>1699</v>
      </c>
    </row>
    <row r="851" spans="1:28" x14ac:dyDescent="0.3">
      <c r="A851">
        <v>78238</v>
      </c>
      <c r="B851" t="s">
        <v>1358</v>
      </c>
      <c r="C851">
        <v>0</v>
      </c>
      <c r="D851">
        <v>1610612752</v>
      </c>
      <c r="E851" t="s">
        <v>1248</v>
      </c>
      <c r="F851">
        <v>330</v>
      </c>
      <c r="G851">
        <v>7</v>
      </c>
      <c r="I851">
        <v>570</v>
      </c>
      <c r="J851">
        <v>5</v>
      </c>
      <c r="K851">
        <v>18</v>
      </c>
      <c r="L851">
        <v>278</v>
      </c>
      <c r="P851">
        <v>0</v>
      </c>
      <c r="Q851">
        <v>0</v>
      </c>
      <c r="S851">
        <v>60</v>
      </c>
      <c r="T851">
        <v>140</v>
      </c>
      <c r="U851">
        <v>200</v>
      </c>
      <c r="V851">
        <v>2</v>
      </c>
      <c r="W851">
        <v>30</v>
      </c>
      <c r="X851">
        <v>30</v>
      </c>
      <c r="Z851">
        <v>10</v>
      </c>
      <c r="AA851">
        <v>10</v>
      </c>
      <c r="AB851" t="s">
        <v>1699</v>
      </c>
    </row>
    <row r="852" spans="1:28" x14ac:dyDescent="0.3">
      <c r="A852">
        <v>2410</v>
      </c>
      <c r="B852" t="s">
        <v>1303</v>
      </c>
      <c r="C852">
        <v>0</v>
      </c>
      <c r="D852">
        <v>1610612752</v>
      </c>
      <c r="E852" t="s">
        <v>1248</v>
      </c>
      <c r="F852">
        <v>290</v>
      </c>
      <c r="G852">
        <v>70</v>
      </c>
      <c r="H852">
        <v>260</v>
      </c>
      <c r="I852">
        <v>17570</v>
      </c>
      <c r="J852">
        <v>182</v>
      </c>
      <c r="K852">
        <v>432</v>
      </c>
      <c r="L852">
        <v>421</v>
      </c>
      <c r="M852">
        <v>740</v>
      </c>
      <c r="N852">
        <v>1920</v>
      </c>
      <c r="O852">
        <v>385</v>
      </c>
      <c r="P852">
        <v>94</v>
      </c>
      <c r="Q852">
        <v>126</v>
      </c>
      <c r="R852">
        <v>746</v>
      </c>
      <c r="S852">
        <v>300</v>
      </c>
      <c r="T852">
        <v>1400</v>
      </c>
      <c r="U852">
        <v>1700</v>
      </c>
      <c r="V852">
        <v>166</v>
      </c>
      <c r="W852">
        <v>480</v>
      </c>
      <c r="X852">
        <v>180</v>
      </c>
      <c r="Y852">
        <v>780</v>
      </c>
      <c r="Z852">
        <v>140</v>
      </c>
      <c r="AA852">
        <v>532</v>
      </c>
      <c r="AB852" t="s">
        <v>1700</v>
      </c>
    </row>
    <row r="853" spans="1:28" x14ac:dyDescent="0.3">
      <c r="A853">
        <v>76822</v>
      </c>
      <c r="B853" t="s">
        <v>1265</v>
      </c>
      <c r="C853">
        <v>0</v>
      </c>
      <c r="D853">
        <v>1610612752</v>
      </c>
      <c r="E853" t="s">
        <v>1248</v>
      </c>
      <c r="F853">
        <v>230</v>
      </c>
      <c r="G853">
        <v>75</v>
      </c>
      <c r="I853">
        <v>11710</v>
      </c>
      <c r="J853">
        <v>263</v>
      </c>
      <c r="K853">
        <v>486</v>
      </c>
      <c r="L853">
        <v>541</v>
      </c>
      <c r="P853">
        <v>57</v>
      </c>
      <c r="Q853">
        <v>63</v>
      </c>
      <c r="R853">
        <v>905</v>
      </c>
      <c r="S853">
        <v>280</v>
      </c>
      <c r="T853">
        <v>540</v>
      </c>
      <c r="U853">
        <v>820</v>
      </c>
      <c r="V853">
        <v>136</v>
      </c>
      <c r="W853">
        <v>370</v>
      </c>
      <c r="X853">
        <v>60</v>
      </c>
      <c r="Y853">
        <v>640</v>
      </c>
      <c r="Z853">
        <v>113</v>
      </c>
      <c r="AA853">
        <v>583</v>
      </c>
      <c r="AB853" t="s">
        <v>1701</v>
      </c>
    </row>
    <row r="854" spans="1:28" x14ac:dyDescent="0.3">
      <c r="A854">
        <v>76822</v>
      </c>
      <c r="B854" t="s">
        <v>1359</v>
      </c>
      <c r="C854">
        <v>0</v>
      </c>
      <c r="D854">
        <v>1610612752</v>
      </c>
      <c r="E854" t="s">
        <v>1248</v>
      </c>
      <c r="F854">
        <v>240</v>
      </c>
      <c r="G854">
        <v>75</v>
      </c>
      <c r="I854">
        <v>8000</v>
      </c>
      <c r="J854">
        <v>188</v>
      </c>
      <c r="K854">
        <v>364</v>
      </c>
      <c r="L854">
        <v>516</v>
      </c>
      <c r="M854">
        <v>20</v>
      </c>
      <c r="N854">
        <v>100</v>
      </c>
      <c r="O854">
        <v>2</v>
      </c>
      <c r="P854">
        <v>63</v>
      </c>
      <c r="Q854">
        <v>73</v>
      </c>
      <c r="R854">
        <v>863</v>
      </c>
      <c r="S854">
        <v>210</v>
      </c>
      <c r="T854">
        <v>450</v>
      </c>
      <c r="U854">
        <v>660</v>
      </c>
      <c r="V854">
        <v>85</v>
      </c>
      <c r="W854">
        <v>350</v>
      </c>
      <c r="X854">
        <v>70</v>
      </c>
      <c r="Y854">
        <v>380</v>
      </c>
      <c r="Z854">
        <v>79</v>
      </c>
      <c r="AA854">
        <v>441</v>
      </c>
      <c r="AB854" t="s">
        <v>1701</v>
      </c>
    </row>
    <row r="855" spans="1:28" x14ac:dyDescent="0.3">
      <c r="A855">
        <v>76822</v>
      </c>
      <c r="B855" t="s">
        <v>1282</v>
      </c>
      <c r="C855">
        <v>0</v>
      </c>
      <c r="D855">
        <v>1610612752</v>
      </c>
      <c r="E855" t="s">
        <v>1248</v>
      </c>
      <c r="F855">
        <v>250</v>
      </c>
      <c r="G855">
        <v>82</v>
      </c>
      <c r="I855">
        <v>15060</v>
      </c>
      <c r="J855">
        <v>285</v>
      </c>
      <c r="K855">
        <v>511</v>
      </c>
      <c r="L855">
        <v>558</v>
      </c>
      <c r="M855">
        <v>40</v>
      </c>
      <c r="N855">
        <v>110</v>
      </c>
      <c r="O855">
        <v>364</v>
      </c>
      <c r="P855">
        <v>98</v>
      </c>
      <c r="Q855">
        <v>110</v>
      </c>
      <c r="R855">
        <v>891</v>
      </c>
      <c r="S855">
        <v>270</v>
      </c>
      <c r="T855">
        <v>610</v>
      </c>
      <c r="U855">
        <v>880</v>
      </c>
      <c r="V855">
        <v>108</v>
      </c>
      <c r="W855">
        <v>720</v>
      </c>
      <c r="X855">
        <v>50</v>
      </c>
      <c r="Y855">
        <v>620</v>
      </c>
      <c r="Z855">
        <v>126</v>
      </c>
      <c r="AA855">
        <v>672</v>
      </c>
      <c r="AB855" t="s">
        <v>1701</v>
      </c>
    </row>
    <row r="856" spans="1:28" x14ac:dyDescent="0.3">
      <c r="A856">
        <v>76466</v>
      </c>
      <c r="B856" t="s">
        <v>1360</v>
      </c>
      <c r="C856">
        <v>0</v>
      </c>
      <c r="D856">
        <v>1610612752</v>
      </c>
      <c r="E856" t="s">
        <v>1248</v>
      </c>
      <c r="F856">
        <v>260</v>
      </c>
      <c r="G856">
        <v>19</v>
      </c>
      <c r="I856">
        <v>1920</v>
      </c>
      <c r="J856">
        <v>44</v>
      </c>
      <c r="K856">
        <v>116</v>
      </c>
      <c r="L856">
        <v>379</v>
      </c>
      <c r="P856">
        <v>24</v>
      </c>
      <c r="Q856">
        <v>38</v>
      </c>
      <c r="R856">
        <v>632</v>
      </c>
      <c r="U856">
        <v>480</v>
      </c>
      <c r="V856">
        <v>12</v>
      </c>
      <c r="Z856">
        <v>39</v>
      </c>
      <c r="AA856">
        <v>112</v>
      </c>
      <c r="AB856" t="s">
        <v>1702</v>
      </c>
    </row>
    <row r="857" spans="1:28" x14ac:dyDescent="0.3">
      <c r="A857">
        <v>76466</v>
      </c>
      <c r="B857" t="s">
        <v>1414</v>
      </c>
      <c r="C857">
        <v>0</v>
      </c>
      <c r="D857">
        <v>1610612752</v>
      </c>
      <c r="E857" t="s">
        <v>1248</v>
      </c>
      <c r="F857">
        <v>270</v>
      </c>
      <c r="G857">
        <v>31</v>
      </c>
      <c r="I857">
        <v>4260</v>
      </c>
      <c r="J857">
        <v>65</v>
      </c>
      <c r="K857">
        <v>177</v>
      </c>
      <c r="L857">
        <v>367</v>
      </c>
      <c r="P857">
        <v>37</v>
      </c>
      <c r="Q857">
        <v>59</v>
      </c>
      <c r="R857">
        <v>627</v>
      </c>
      <c r="U857">
        <v>830</v>
      </c>
      <c r="V857">
        <v>46</v>
      </c>
      <c r="Z857">
        <v>67</v>
      </c>
      <c r="AA857">
        <v>167</v>
      </c>
      <c r="AB857" t="s">
        <v>1702</v>
      </c>
    </row>
    <row r="858" spans="1:28" x14ac:dyDescent="0.3">
      <c r="A858">
        <v>203112</v>
      </c>
      <c r="B858" t="s">
        <v>1343</v>
      </c>
      <c r="C858">
        <v>0</v>
      </c>
      <c r="D858">
        <v>1610612752</v>
      </c>
      <c r="E858" t="s">
        <v>1248</v>
      </c>
      <c r="F858">
        <v>240</v>
      </c>
      <c r="G858">
        <v>68</v>
      </c>
      <c r="H858">
        <v>220</v>
      </c>
      <c r="I858">
        <v>12870</v>
      </c>
      <c r="J858">
        <v>152</v>
      </c>
      <c r="K858">
        <v>331</v>
      </c>
      <c r="L858">
        <v>459</v>
      </c>
      <c r="M858">
        <v>180</v>
      </c>
      <c r="N858">
        <v>600</v>
      </c>
      <c r="O858">
        <v>3</v>
      </c>
      <c r="P858">
        <v>76</v>
      </c>
      <c r="Q858">
        <v>97</v>
      </c>
      <c r="R858">
        <v>784</v>
      </c>
      <c r="S858">
        <v>790</v>
      </c>
      <c r="T858">
        <v>2220</v>
      </c>
      <c r="U858">
        <v>3010</v>
      </c>
      <c r="V858">
        <v>68</v>
      </c>
      <c r="W858">
        <v>270</v>
      </c>
      <c r="X858">
        <v>220</v>
      </c>
      <c r="Y858">
        <v>600</v>
      </c>
      <c r="Z858">
        <v>147</v>
      </c>
      <c r="AA858">
        <v>398</v>
      </c>
      <c r="AB858" t="s">
        <v>1703</v>
      </c>
    </row>
    <row r="859" spans="1:28" x14ac:dyDescent="0.3">
      <c r="A859">
        <v>200754</v>
      </c>
      <c r="B859" t="s">
        <v>1304</v>
      </c>
      <c r="C859">
        <v>0</v>
      </c>
      <c r="D859">
        <v>1610612752</v>
      </c>
      <c r="E859" t="s">
        <v>1248</v>
      </c>
      <c r="F859">
        <v>230</v>
      </c>
      <c r="G859">
        <v>1</v>
      </c>
      <c r="H859">
        <v>0</v>
      </c>
      <c r="I859">
        <v>60</v>
      </c>
      <c r="J859">
        <v>1</v>
      </c>
      <c r="K859">
        <v>2</v>
      </c>
      <c r="L859">
        <v>5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10</v>
      </c>
      <c r="S859">
        <v>20</v>
      </c>
      <c r="T859">
        <v>30</v>
      </c>
      <c r="U859">
        <v>50</v>
      </c>
      <c r="V859">
        <v>0</v>
      </c>
      <c r="W859">
        <v>0</v>
      </c>
      <c r="X859">
        <v>10</v>
      </c>
      <c r="Y859">
        <v>10</v>
      </c>
      <c r="Z859">
        <v>0</v>
      </c>
      <c r="AA859">
        <v>3</v>
      </c>
      <c r="AB859" t="s">
        <v>1704</v>
      </c>
    </row>
    <row r="860" spans="1:28" x14ac:dyDescent="0.3">
      <c r="A860">
        <v>77757</v>
      </c>
      <c r="B860" t="s">
        <v>1394</v>
      </c>
      <c r="C860">
        <v>0</v>
      </c>
      <c r="D860">
        <v>1610612752</v>
      </c>
      <c r="E860" t="s">
        <v>1248</v>
      </c>
      <c r="F860">
        <v>290</v>
      </c>
      <c r="G860">
        <v>44</v>
      </c>
      <c r="H860">
        <v>90</v>
      </c>
      <c r="I860">
        <v>7760</v>
      </c>
      <c r="J860">
        <v>71</v>
      </c>
      <c r="K860">
        <v>174</v>
      </c>
      <c r="L860">
        <v>408</v>
      </c>
      <c r="M860">
        <v>0</v>
      </c>
      <c r="N860">
        <v>10</v>
      </c>
      <c r="O860">
        <v>0</v>
      </c>
      <c r="P860">
        <v>31</v>
      </c>
      <c r="Q860">
        <v>57</v>
      </c>
      <c r="R860">
        <v>544</v>
      </c>
      <c r="S860">
        <v>510</v>
      </c>
      <c r="T860">
        <v>1280</v>
      </c>
      <c r="U860">
        <v>1790</v>
      </c>
      <c r="V860">
        <v>19</v>
      </c>
      <c r="W860">
        <v>220</v>
      </c>
      <c r="X860">
        <v>710</v>
      </c>
      <c r="Y860">
        <v>480</v>
      </c>
      <c r="Z860">
        <v>95</v>
      </c>
      <c r="AA860">
        <v>173</v>
      </c>
      <c r="AB860" t="s">
        <v>1705</v>
      </c>
    </row>
    <row r="861" spans="1:28" x14ac:dyDescent="0.3">
      <c r="A861">
        <v>77161</v>
      </c>
      <c r="B861" t="s">
        <v>1360</v>
      </c>
      <c r="C861">
        <v>0</v>
      </c>
      <c r="D861">
        <v>1610612752</v>
      </c>
      <c r="E861" t="s">
        <v>1248</v>
      </c>
      <c r="F861">
        <v>240</v>
      </c>
      <c r="G861">
        <v>51</v>
      </c>
      <c r="I861">
        <v>5220</v>
      </c>
      <c r="J861">
        <v>59</v>
      </c>
      <c r="K861">
        <v>171</v>
      </c>
      <c r="L861">
        <v>345</v>
      </c>
      <c r="P861">
        <v>57</v>
      </c>
      <c r="Q861">
        <v>86</v>
      </c>
      <c r="R861">
        <v>663</v>
      </c>
      <c r="U861">
        <v>1670</v>
      </c>
      <c r="V861">
        <v>38</v>
      </c>
      <c r="Z861">
        <v>102</v>
      </c>
      <c r="AA861">
        <v>175</v>
      </c>
      <c r="AB861" t="s">
        <v>1706</v>
      </c>
    </row>
    <row r="862" spans="1:28" x14ac:dyDescent="0.3">
      <c r="A862">
        <v>77161</v>
      </c>
      <c r="B862" t="s">
        <v>1414</v>
      </c>
      <c r="C862">
        <v>0</v>
      </c>
      <c r="D862">
        <v>1610612752</v>
      </c>
      <c r="E862" t="s">
        <v>1248</v>
      </c>
      <c r="F862">
        <v>250</v>
      </c>
      <c r="G862">
        <v>43</v>
      </c>
      <c r="I862">
        <v>2860</v>
      </c>
      <c r="J862">
        <v>44</v>
      </c>
      <c r="K862">
        <v>106</v>
      </c>
      <c r="L862">
        <v>415</v>
      </c>
      <c r="P862">
        <v>23</v>
      </c>
      <c r="Q862">
        <v>48</v>
      </c>
      <c r="R862">
        <v>479</v>
      </c>
      <c r="U862">
        <v>750</v>
      </c>
      <c r="V862">
        <v>33</v>
      </c>
      <c r="Z862">
        <v>63</v>
      </c>
      <c r="AA862">
        <v>111</v>
      </c>
      <c r="AB862" t="s">
        <v>1706</v>
      </c>
    </row>
    <row r="863" spans="1:28" x14ac:dyDescent="0.3">
      <c r="A863">
        <v>201592</v>
      </c>
      <c r="B863" t="s">
        <v>1305</v>
      </c>
      <c r="C863">
        <v>0</v>
      </c>
      <c r="D863">
        <v>1610612752</v>
      </c>
      <c r="E863" t="s">
        <v>1248</v>
      </c>
      <c r="F863">
        <v>250</v>
      </c>
      <c r="G863">
        <v>11</v>
      </c>
      <c r="H863">
        <v>0</v>
      </c>
      <c r="I863">
        <v>1400</v>
      </c>
      <c r="J863">
        <v>19</v>
      </c>
      <c r="K863">
        <v>39</v>
      </c>
      <c r="L863">
        <v>487</v>
      </c>
      <c r="M863">
        <v>0</v>
      </c>
      <c r="N863">
        <v>80</v>
      </c>
      <c r="O863">
        <v>0</v>
      </c>
      <c r="P863">
        <v>7</v>
      </c>
      <c r="Q863">
        <v>11</v>
      </c>
      <c r="R863">
        <v>636</v>
      </c>
      <c r="S863">
        <v>120</v>
      </c>
      <c r="T863">
        <v>190</v>
      </c>
      <c r="U863">
        <v>310</v>
      </c>
      <c r="V863">
        <v>7</v>
      </c>
      <c r="W863">
        <v>50</v>
      </c>
      <c r="X863">
        <v>10</v>
      </c>
      <c r="Y863">
        <v>100</v>
      </c>
      <c r="Z863">
        <v>19</v>
      </c>
      <c r="AA863">
        <v>45</v>
      </c>
      <c r="AB863" t="s">
        <v>1707</v>
      </c>
    </row>
    <row r="864" spans="1:28" x14ac:dyDescent="0.3">
      <c r="A864">
        <v>76447</v>
      </c>
      <c r="B864" t="s">
        <v>1359</v>
      </c>
      <c r="C864">
        <v>0</v>
      </c>
      <c r="D864">
        <v>1610612752</v>
      </c>
      <c r="E864" t="s">
        <v>1248</v>
      </c>
      <c r="F864">
        <v>240</v>
      </c>
      <c r="G864">
        <v>75</v>
      </c>
      <c r="I864">
        <v>11420</v>
      </c>
      <c r="J864">
        <v>182</v>
      </c>
      <c r="K864">
        <v>368</v>
      </c>
      <c r="L864">
        <v>495</v>
      </c>
      <c r="M864">
        <v>0</v>
      </c>
      <c r="N864">
        <v>20</v>
      </c>
      <c r="O864">
        <v>0</v>
      </c>
      <c r="P864">
        <v>63</v>
      </c>
      <c r="Q864">
        <v>86</v>
      </c>
      <c r="R864">
        <v>733</v>
      </c>
      <c r="S864">
        <v>700</v>
      </c>
      <c r="T864">
        <v>860</v>
      </c>
      <c r="U864">
        <v>1560</v>
      </c>
      <c r="V864">
        <v>80</v>
      </c>
      <c r="W864">
        <v>610</v>
      </c>
      <c r="X864">
        <v>250</v>
      </c>
      <c r="Y864">
        <v>840</v>
      </c>
      <c r="Z864">
        <v>154</v>
      </c>
      <c r="AA864">
        <v>427</v>
      </c>
      <c r="AB864" t="s">
        <v>1708</v>
      </c>
    </row>
    <row r="865" spans="1:28" x14ac:dyDescent="0.3">
      <c r="A865">
        <v>76447</v>
      </c>
      <c r="B865" t="s">
        <v>1284</v>
      </c>
      <c r="C865">
        <v>0</v>
      </c>
      <c r="D865">
        <v>1610612752</v>
      </c>
      <c r="E865" t="s">
        <v>1248</v>
      </c>
      <c r="F865">
        <v>260</v>
      </c>
      <c r="G865">
        <v>18</v>
      </c>
      <c r="H865">
        <v>0</v>
      </c>
      <c r="I865">
        <v>1180</v>
      </c>
      <c r="J865">
        <v>16</v>
      </c>
      <c r="K865">
        <v>38</v>
      </c>
      <c r="L865">
        <v>421</v>
      </c>
      <c r="M865">
        <v>0</v>
      </c>
      <c r="N865">
        <v>0</v>
      </c>
      <c r="P865">
        <v>5</v>
      </c>
      <c r="Q865">
        <v>6</v>
      </c>
      <c r="R865">
        <v>833</v>
      </c>
      <c r="S865">
        <v>30</v>
      </c>
      <c r="T865">
        <v>20</v>
      </c>
      <c r="U865">
        <v>50</v>
      </c>
      <c r="V865">
        <v>9</v>
      </c>
      <c r="W865">
        <v>40</v>
      </c>
      <c r="X865">
        <v>20</v>
      </c>
      <c r="Y865">
        <v>40</v>
      </c>
      <c r="Z865">
        <v>19</v>
      </c>
      <c r="AA865">
        <v>37</v>
      </c>
      <c r="AB865" t="s">
        <v>1708</v>
      </c>
    </row>
    <row r="866" spans="1:28" x14ac:dyDescent="0.3">
      <c r="A866">
        <v>913</v>
      </c>
      <c r="B866" t="s">
        <v>1277</v>
      </c>
      <c r="C866">
        <v>0</v>
      </c>
      <c r="D866">
        <v>1610612752</v>
      </c>
      <c r="E866" t="s">
        <v>1248</v>
      </c>
      <c r="F866">
        <v>280</v>
      </c>
      <c r="G866">
        <v>76</v>
      </c>
      <c r="H866">
        <v>760</v>
      </c>
      <c r="I866">
        <v>26130</v>
      </c>
      <c r="J866">
        <v>376</v>
      </c>
      <c r="K866">
        <v>735</v>
      </c>
      <c r="L866">
        <v>512</v>
      </c>
      <c r="M866">
        <v>340</v>
      </c>
      <c r="N866">
        <v>1050</v>
      </c>
      <c r="O866">
        <v>324</v>
      </c>
      <c r="P866">
        <v>190</v>
      </c>
      <c r="Q866">
        <v>274</v>
      </c>
      <c r="R866">
        <v>693</v>
      </c>
      <c r="S866">
        <v>1650</v>
      </c>
      <c r="T866">
        <v>2280</v>
      </c>
      <c r="U866">
        <v>3930</v>
      </c>
      <c r="V866">
        <v>174</v>
      </c>
      <c r="W866">
        <v>640</v>
      </c>
      <c r="X866">
        <v>360</v>
      </c>
      <c r="Y866">
        <v>1360</v>
      </c>
      <c r="Z866">
        <v>249</v>
      </c>
      <c r="AA866">
        <v>976</v>
      </c>
      <c r="AB866" t="s">
        <v>1709</v>
      </c>
    </row>
    <row r="867" spans="1:28" x14ac:dyDescent="0.3">
      <c r="A867">
        <v>913</v>
      </c>
      <c r="B867" t="s">
        <v>1278</v>
      </c>
      <c r="C867">
        <v>0</v>
      </c>
      <c r="D867">
        <v>1610612752</v>
      </c>
      <c r="E867" t="s">
        <v>1248</v>
      </c>
      <c r="F867">
        <v>290</v>
      </c>
      <c r="G867">
        <v>70</v>
      </c>
      <c r="H867">
        <v>700</v>
      </c>
      <c r="I867">
        <v>24120</v>
      </c>
      <c r="J867">
        <v>429</v>
      </c>
      <c r="K867">
        <v>884</v>
      </c>
      <c r="L867">
        <v>485</v>
      </c>
      <c r="M867">
        <v>150</v>
      </c>
      <c r="N867">
        <v>630</v>
      </c>
      <c r="O867">
        <v>238</v>
      </c>
      <c r="P867">
        <v>214</v>
      </c>
      <c r="Q867">
        <v>283</v>
      </c>
      <c r="R867">
        <v>756</v>
      </c>
      <c r="S867">
        <v>1750</v>
      </c>
      <c r="T867">
        <v>2260</v>
      </c>
      <c r="U867">
        <v>4010</v>
      </c>
      <c r="V867">
        <v>150</v>
      </c>
      <c r="W867">
        <v>400</v>
      </c>
      <c r="X867">
        <v>130</v>
      </c>
      <c r="Y867">
        <v>1270</v>
      </c>
      <c r="Z867">
        <v>193</v>
      </c>
      <c r="AA867">
        <v>1087</v>
      </c>
      <c r="AB867" t="s">
        <v>1709</v>
      </c>
    </row>
    <row r="868" spans="1:28" x14ac:dyDescent="0.3">
      <c r="A868">
        <v>913</v>
      </c>
      <c r="B868" t="s">
        <v>1429</v>
      </c>
      <c r="C868">
        <v>0</v>
      </c>
      <c r="D868">
        <v>1610612752</v>
      </c>
      <c r="E868" t="s">
        <v>1248</v>
      </c>
      <c r="F868">
        <v>300</v>
      </c>
      <c r="G868">
        <v>49</v>
      </c>
      <c r="H868">
        <v>480</v>
      </c>
      <c r="I868">
        <v>16390</v>
      </c>
      <c r="J868">
        <v>210</v>
      </c>
      <c r="K868">
        <v>458</v>
      </c>
      <c r="L868">
        <v>459</v>
      </c>
      <c r="M868">
        <v>330</v>
      </c>
      <c r="N868">
        <v>920</v>
      </c>
      <c r="O868">
        <v>359</v>
      </c>
      <c r="P868">
        <v>134</v>
      </c>
      <c r="Q868">
        <v>164</v>
      </c>
      <c r="R868">
        <v>817</v>
      </c>
      <c r="S868">
        <v>910</v>
      </c>
      <c r="T868">
        <v>1930</v>
      </c>
      <c r="U868">
        <v>2840</v>
      </c>
      <c r="V868">
        <v>119</v>
      </c>
      <c r="W868">
        <v>340</v>
      </c>
      <c r="X868">
        <v>100</v>
      </c>
      <c r="Y868">
        <v>890</v>
      </c>
      <c r="Z868">
        <v>147</v>
      </c>
      <c r="AA868">
        <v>587</v>
      </c>
      <c r="AB868" t="s">
        <v>1709</v>
      </c>
    </row>
    <row r="869" spans="1:28" x14ac:dyDescent="0.3">
      <c r="A869">
        <v>913</v>
      </c>
      <c r="B869" t="s">
        <v>1464</v>
      </c>
      <c r="C869">
        <v>0</v>
      </c>
      <c r="D869">
        <v>1610612752</v>
      </c>
      <c r="E869" t="s">
        <v>1248</v>
      </c>
      <c r="F869">
        <v>310</v>
      </c>
      <c r="G869">
        <v>70</v>
      </c>
      <c r="H869">
        <v>680</v>
      </c>
      <c r="I869">
        <v>22810</v>
      </c>
      <c r="J869">
        <v>282</v>
      </c>
      <c r="K869">
        <v>652</v>
      </c>
      <c r="L869">
        <v>433</v>
      </c>
      <c r="M869">
        <v>580</v>
      </c>
      <c r="N869">
        <v>1740</v>
      </c>
      <c r="O869">
        <v>333</v>
      </c>
      <c r="P869">
        <v>128</v>
      </c>
      <c r="Q869">
        <v>167</v>
      </c>
      <c r="R869">
        <v>766</v>
      </c>
      <c r="S869">
        <v>870</v>
      </c>
      <c r="T869">
        <v>2930</v>
      </c>
      <c r="U869">
        <v>3800</v>
      </c>
      <c r="V869">
        <v>175</v>
      </c>
      <c r="W869">
        <v>420</v>
      </c>
      <c r="X869">
        <v>70</v>
      </c>
      <c r="Y869">
        <v>940</v>
      </c>
      <c r="Z869">
        <v>205</v>
      </c>
      <c r="AA869">
        <v>750</v>
      </c>
      <c r="AB869" t="s">
        <v>1709</v>
      </c>
    </row>
    <row r="870" spans="1:28" x14ac:dyDescent="0.3">
      <c r="A870">
        <v>913</v>
      </c>
      <c r="B870" t="s">
        <v>1465</v>
      </c>
      <c r="C870">
        <v>0</v>
      </c>
      <c r="D870">
        <v>1610612752</v>
      </c>
      <c r="E870" t="s">
        <v>1248</v>
      </c>
      <c r="F870">
        <v>320</v>
      </c>
      <c r="G870">
        <v>65</v>
      </c>
      <c r="H870">
        <v>650</v>
      </c>
      <c r="I870">
        <v>21080</v>
      </c>
      <c r="J870">
        <v>246</v>
      </c>
      <c r="K870">
        <v>598</v>
      </c>
      <c r="L870">
        <v>411</v>
      </c>
      <c r="M870">
        <v>510</v>
      </c>
      <c r="N870">
        <v>1630</v>
      </c>
      <c r="O870">
        <v>313</v>
      </c>
      <c r="P870">
        <v>102</v>
      </c>
      <c r="Q870">
        <v>128</v>
      </c>
      <c r="R870">
        <v>797</v>
      </c>
      <c r="S870">
        <v>900</v>
      </c>
      <c r="T870">
        <v>2730</v>
      </c>
      <c r="U870">
        <v>3630</v>
      </c>
      <c r="V870">
        <v>127</v>
      </c>
      <c r="W870">
        <v>390</v>
      </c>
      <c r="X870">
        <v>290</v>
      </c>
      <c r="Y870">
        <v>970</v>
      </c>
      <c r="Z870">
        <v>209</v>
      </c>
      <c r="AA870">
        <v>645</v>
      </c>
      <c r="AB870" t="s">
        <v>1709</v>
      </c>
    </row>
    <row r="871" spans="1:28" x14ac:dyDescent="0.3">
      <c r="A871">
        <v>201959</v>
      </c>
      <c r="B871" t="s">
        <v>1288</v>
      </c>
      <c r="C871">
        <v>0</v>
      </c>
      <c r="D871">
        <v>1610612752</v>
      </c>
      <c r="E871" t="s">
        <v>1248</v>
      </c>
      <c r="F871">
        <v>350</v>
      </c>
      <c r="G871">
        <v>62</v>
      </c>
      <c r="H871">
        <v>560</v>
      </c>
      <c r="I871">
        <v>10250</v>
      </c>
      <c r="J871">
        <v>167</v>
      </c>
      <c r="K871">
        <v>286</v>
      </c>
      <c r="L871">
        <v>584</v>
      </c>
      <c r="M871">
        <v>40</v>
      </c>
      <c r="N871">
        <v>140</v>
      </c>
      <c r="O871">
        <v>286</v>
      </c>
      <c r="P871">
        <v>41</v>
      </c>
      <c r="Q871">
        <v>56</v>
      </c>
      <c r="R871">
        <v>732</v>
      </c>
      <c r="S871">
        <v>1110</v>
      </c>
      <c r="T871">
        <v>1560</v>
      </c>
      <c r="U871">
        <v>2670</v>
      </c>
      <c r="V871">
        <v>52</v>
      </c>
      <c r="W871">
        <v>270</v>
      </c>
      <c r="X871">
        <v>300</v>
      </c>
      <c r="Y871">
        <v>470</v>
      </c>
      <c r="Z871">
        <v>122</v>
      </c>
      <c r="AA871">
        <v>379</v>
      </c>
      <c r="AB871" t="s">
        <v>1710</v>
      </c>
    </row>
    <row r="872" spans="1:28" x14ac:dyDescent="0.3">
      <c r="A872">
        <v>201959</v>
      </c>
      <c r="B872" t="s">
        <v>1289</v>
      </c>
      <c r="C872">
        <v>0</v>
      </c>
      <c r="D872">
        <v>1610612752</v>
      </c>
      <c r="E872" t="s">
        <v>1248</v>
      </c>
      <c r="F872">
        <v>360</v>
      </c>
      <c r="G872">
        <v>45</v>
      </c>
      <c r="H872">
        <v>30</v>
      </c>
      <c r="I872">
        <v>9360</v>
      </c>
      <c r="J872">
        <v>99</v>
      </c>
      <c r="K872">
        <v>158</v>
      </c>
      <c r="L872">
        <v>627</v>
      </c>
      <c r="M872">
        <v>30</v>
      </c>
      <c r="N872">
        <v>150</v>
      </c>
      <c r="O872">
        <v>2</v>
      </c>
      <c r="P872">
        <v>40</v>
      </c>
      <c r="Q872">
        <v>55</v>
      </c>
      <c r="R872">
        <v>727</v>
      </c>
      <c r="S872">
        <v>990</v>
      </c>
      <c r="T872">
        <v>1510</v>
      </c>
      <c r="U872">
        <v>2500</v>
      </c>
      <c r="V872">
        <v>36</v>
      </c>
      <c r="W872">
        <v>310</v>
      </c>
      <c r="X872">
        <v>490</v>
      </c>
      <c r="Y872">
        <v>220</v>
      </c>
      <c r="Z872">
        <v>99</v>
      </c>
      <c r="AA872">
        <v>241</v>
      </c>
      <c r="AB872" t="s">
        <v>1710</v>
      </c>
    </row>
    <row r="873" spans="1:28" x14ac:dyDescent="0.3">
      <c r="A873">
        <v>201959</v>
      </c>
      <c r="B873" t="s">
        <v>1308</v>
      </c>
      <c r="C873">
        <v>0</v>
      </c>
      <c r="D873">
        <v>1610612752</v>
      </c>
      <c r="E873" t="s">
        <v>1248</v>
      </c>
      <c r="F873">
        <v>370</v>
      </c>
      <c r="G873">
        <v>52</v>
      </c>
      <c r="H873">
        <v>40</v>
      </c>
      <c r="I873">
        <v>9460</v>
      </c>
      <c r="J873">
        <v>86</v>
      </c>
      <c r="K873">
        <v>166</v>
      </c>
      <c r="L873">
        <v>518</v>
      </c>
      <c r="M873">
        <v>150</v>
      </c>
      <c r="N873">
        <v>380</v>
      </c>
      <c r="O873">
        <v>395</v>
      </c>
      <c r="P873">
        <v>42</v>
      </c>
      <c r="Q873">
        <v>52</v>
      </c>
      <c r="R873">
        <v>808</v>
      </c>
      <c r="S873">
        <v>880</v>
      </c>
      <c r="T873">
        <v>1410</v>
      </c>
      <c r="U873">
        <v>2290</v>
      </c>
      <c r="V873">
        <v>32</v>
      </c>
      <c r="W873">
        <v>220</v>
      </c>
      <c r="X873">
        <v>400</v>
      </c>
      <c r="Y873">
        <v>270</v>
      </c>
      <c r="Z873">
        <v>137</v>
      </c>
      <c r="AA873">
        <v>229</v>
      </c>
      <c r="AB873" t="s">
        <v>1710</v>
      </c>
    </row>
    <row r="874" spans="1:28" x14ac:dyDescent="0.3">
      <c r="A874">
        <v>201959</v>
      </c>
      <c r="B874" t="s">
        <v>1369</v>
      </c>
      <c r="C874">
        <v>0</v>
      </c>
      <c r="D874">
        <v>1610612752</v>
      </c>
      <c r="E874" t="s">
        <v>1248</v>
      </c>
      <c r="F874">
        <v>390</v>
      </c>
      <c r="G874">
        <v>16</v>
      </c>
      <c r="H874">
        <v>10</v>
      </c>
      <c r="I874">
        <v>1650</v>
      </c>
      <c r="J874">
        <v>7</v>
      </c>
      <c r="K874">
        <v>23</v>
      </c>
      <c r="L874">
        <v>304</v>
      </c>
      <c r="M874">
        <v>0</v>
      </c>
      <c r="N874">
        <v>60</v>
      </c>
      <c r="O874">
        <v>0</v>
      </c>
      <c r="P874">
        <v>2</v>
      </c>
      <c r="Q874">
        <v>2</v>
      </c>
      <c r="R874">
        <v>10</v>
      </c>
      <c r="S874">
        <v>100</v>
      </c>
      <c r="T874">
        <v>180</v>
      </c>
      <c r="U874">
        <v>280</v>
      </c>
      <c r="V874">
        <v>9</v>
      </c>
      <c r="W874">
        <v>20</v>
      </c>
      <c r="X874">
        <v>60</v>
      </c>
      <c r="Y874">
        <v>50</v>
      </c>
      <c r="Z874">
        <v>28</v>
      </c>
      <c r="AA874">
        <v>16</v>
      </c>
      <c r="AB874" t="s">
        <v>1710</v>
      </c>
    </row>
    <row r="875" spans="1:28" x14ac:dyDescent="0.3">
      <c r="A875">
        <v>203142</v>
      </c>
      <c r="B875" t="s">
        <v>1292</v>
      </c>
      <c r="C875">
        <v>0</v>
      </c>
      <c r="D875">
        <v>1610612752</v>
      </c>
      <c r="E875" t="s">
        <v>1248</v>
      </c>
      <c r="F875">
        <v>290</v>
      </c>
      <c r="G875">
        <v>56</v>
      </c>
      <c r="H875">
        <v>130</v>
      </c>
      <c r="I875">
        <v>8620</v>
      </c>
      <c r="J875">
        <v>182</v>
      </c>
      <c r="K875">
        <v>380</v>
      </c>
      <c r="L875">
        <v>479</v>
      </c>
      <c r="M875">
        <v>590</v>
      </c>
      <c r="N875">
        <v>1400</v>
      </c>
      <c r="O875">
        <v>421</v>
      </c>
      <c r="P875">
        <v>63</v>
      </c>
      <c r="Q875">
        <v>83</v>
      </c>
      <c r="R875">
        <v>759</v>
      </c>
      <c r="S875">
        <v>340</v>
      </c>
      <c r="T875">
        <v>850</v>
      </c>
      <c r="U875">
        <v>1190</v>
      </c>
      <c r="V875">
        <v>27</v>
      </c>
      <c r="W875">
        <v>160</v>
      </c>
      <c r="X875">
        <v>120</v>
      </c>
      <c r="Y875">
        <v>500</v>
      </c>
      <c r="Z875">
        <v>104</v>
      </c>
      <c r="AA875">
        <v>486</v>
      </c>
      <c r="AB875" t="s">
        <v>1711</v>
      </c>
    </row>
    <row r="876" spans="1:28" x14ac:dyDescent="0.3">
      <c r="A876">
        <v>2035</v>
      </c>
      <c r="B876" t="s">
        <v>1293</v>
      </c>
      <c r="C876">
        <v>0</v>
      </c>
      <c r="D876">
        <v>1610612752</v>
      </c>
      <c r="E876" t="s">
        <v>1248</v>
      </c>
      <c r="F876">
        <v>240</v>
      </c>
      <c r="G876">
        <v>21</v>
      </c>
      <c r="H876">
        <v>10</v>
      </c>
      <c r="I876">
        <v>2870</v>
      </c>
      <c r="J876">
        <v>36</v>
      </c>
      <c r="K876">
        <v>97</v>
      </c>
      <c r="L876">
        <v>371</v>
      </c>
      <c r="M876">
        <v>130</v>
      </c>
      <c r="N876">
        <v>360</v>
      </c>
      <c r="O876">
        <v>361</v>
      </c>
      <c r="P876">
        <v>28</v>
      </c>
      <c r="Q876">
        <v>31</v>
      </c>
      <c r="R876">
        <v>903</v>
      </c>
      <c r="S876">
        <v>50</v>
      </c>
      <c r="T876">
        <v>340</v>
      </c>
      <c r="U876">
        <v>390</v>
      </c>
      <c r="V876">
        <v>11</v>
      </c>
      <c r="W876">
        <v>80</v>
      </c>
      <c r="X876">
        <v>70</v>
      </c>
      <c r="Y876">
        <v>160</v>
      </c>
      <c r="Z876">
        <v>32</v>
      </c>
      <c r="AA876">
        <v>113</v>
      </c>
      <c r="AB876" t="s">
        <v>1712</v>
      </c>
    </row>
    <row r="877" spans="1:28" x14ac:dyDescent="0.3">
      <c r="A877">
        <v>76806</v>
      </c>
      <c r="B877" t="s">
        <v>1356</v>
      </c>
      <c r="C877">
        <v>0</v>
      </c>
      <c r="D877">
        <v>1610612752</v>
      </c>
      <c r="E877" t="s">
        <v>1248</v>
      </c>
      <c r="F877">
        <v>230</v>
      </c>
      <c r="G877">
        <v>52</v>
      </c>
      <c r="I877">
        <v>5160</v>
      </c>
      <c r="J877">
        <v>79</v>
      </c>
      <c r="K877">
        <v>175</v>
      </c>
      <c r="L877">
        <v>451</v>
      </c>
      <c r="P877">
        <v>23</v>
      </c>
      <c r="Q877">
        <v>33</v>
      </c>
      <c r="R877">
        <v>697</v>
      </c>
      <c r="U877">
        <v>1500</v>
      </c>
      <c r="V877">
        <v>25</v>
      </c>
      <c r="Z877">
        <v>72</v>
      </c>
      <c r="AA877">
        <v>181</v>
      </c>
      <c r="AB877" t="s">
        <v>1713</v>
      </c>
    </row>
    <row r="878" spans="1:28" x14ac:dyDescent="0.3">
      <c r="A878">
        <v>76806</v>
      </c>
      <c r="B878" t="s">
        <v>1357</v>
      </c>
      <c r="C878">
        <v>0</v>
      </c>
      <c r="D878">
        <v>1610612752</v>
      </c>
      <c r="E878" t="s">
        <v>1248</v>
      </c>
      <c r="F878">
        <v>240</v>
      </c>
      <c r="G878">
        <v>70</v>
      </c>
      <c r="I878">
        <v>14230</v>
      </c>
      <c r="J878">
        <v>208</v>
      </c>
      <c r="K878">
        <v>434</v>
      </c>
      <c r="L878">
        <v>479</v>
      </c>
      <c r="P878">
        <v>92</v>
      </c>
      <c r="Q878">
        <v>121</v>
      </c>
      <c r="R878">
        <v>76</v>
      </c>
      <c r="S878">
        <v>1100</v>
      </c>
      <c r="T878">
        <v>2330</v>
      </c>
      <c r="U878">
        <v>3430</v>
      </c>
      <c r="V878">
        <v>77</v>
      </c>
      <c r="W878">
        <v>230</v>
      </c>
      <c r="X878">
        <v>420</v>
      </c>
      <c r="Z878">
        <v>159</v>
      </c>
      <c r="AA878">
        <v>508</v>
      </c>
      <c r="AB878" t="s">
        <v>1713</v>
      </c>
    </row>
    <row r="879" spans="1:28" x14ac:dyDescent="0.3">
      <c r="A879">
        <v>76806</v>
      </c>
      <c r="B879" t="s">
        <v>1358</v>
      </c>
      <c r="C879">
        <v>0</v>
      </c>
      <c r="D879">
        <v>1610612752</v>
      </c>
      <c r="E879" t="s">
        <v>1248</v>
      </c>
      <c r="F879">
        <v>250</v>
      </c>
      <c r="G879">
        <v>80</v>
      </c>
      <c r="I879">
        <v>27970</v>
      </c>
      <c r="J879">
        <v>343</v>
      </c>
      <c r="K879">
        <v>726</v>
      </c>
      <c r="L879">
        <v>472</v>
      </c>
      <c r="P879">
        <v>135</v>
      </c>
      <c r="Q879">
        <v>195</v>
      </c>
      <c r="R879">
        <v>692</v>
      </c>
      <c r="S879">
        <v>2140</v>
      </c>
      <c r="T879">
        <v>4750</v>
      </c>
      <c r="U879">
        <v>6890</v>
      </c>
      <c r="V879">
        <v>163</v>
      </c>
      <c r="W879">
        <v>380</v>
      </c>
      <c r="X879">
        <v>1180</v>
      </c>
      <c r="Z879">
        <v>263</v>
      </c>
      <c r="AA879">
        <v>821</v>
      </c>
      <c r="AB879" t="s">
        <v>1713</v>
      </c>
    </row>
    <row r="880" spans="1:28" x14ac:dyDescent="0.3">
      <c r="A880">
        <v>76806</v>
      </c>
      <c r="B880" t="s">
        <v>1261</v>
      </c>
      <c r="C880">
        <v>0</v>
      </c>
      <c r="D880">
        <v>1610612752</v>
      </c>
      <c r="E880" t="s">
        <v>1248</v>
      </c>
      <c r="F880">
        <v>260</v>
      </c>
      <c r="G880">
        <v>82</v>
      </c>
      <c r="I880">
        <v>23320</v>
      </c>
      <c r="J880">
        <v>325</v>
      </c>
      <c r="K880">
        <v>687</v>
      </c>
      <c r="L880">
        <v>473</v>
      </c>
      <c r="P880">
        <v>114</v>
      </c>
      <c r="Q880">
        <v>160</v>
      </c>
      <c r="R880">
        <v>713</v>
      </c>
      <c r="S880">
        <v>1870</v>
      </c>
      <c r="T880">
        <v>3650</v>
      </c>
      <c r="U880">
        <v>5520</v>
      </c>
      <c r="V880">
        <v>115</v>
      </c>
      <c r="W880">
        <v>250</v>
      </c>
      <c r="X880">
        <v>620</v>
      </c>
      <c r="Z880">
        <v>194</v>
      </c>
      <c r="AA880">
        <v>764</v>
      </c>
      <c r="AB880" t="s">
        <v>1713</v>
      </c>
    </row>
    <row r="881" spans="1:28" x14ac:dyDescent="0.3">
      <c r="A881">
        <v>76806</v>
      </c>
      <c r="B881" t="s">
        <v>1263</v>
      </c>
      <c r="C881">
        <v>0</v>
      </c>
      <c r="D881">
        <v>1610612752</v>
      </c>
      <c r="E881" t="s">
        <v>1248</v>
      </c>
      <c r="F881">
        <v>270</v>
      </c>
      <c r="G881">
        <v>19</v>
      </c>
      <c r="I881">
        <v>6300</v>
      </c>
      <c r="J881">
        <v>86</v>
      </c>
      <c r="K881">
        <v>182</v>
      </c>
      <c r="L881">
        <v>473</v>
      </c>
      <c r="P881">
        <v>35</v>
      </c>
      <c r="Q881">
        <v>48</v>
      </c>
      <c r="R881">
        <v>729</v>
      </c>
      <c r="S881">
        <v>600</v>
      </c>
      <c r="T881">
        <v>1180</v>
      </c>
      <c r="U881">
        <v>1780</v>
      </c>
      <c r="V881">
        <v>26</v>
      </c>
      <c r="W881">
        <v>140</v>
      </c>
      <c r="X881">
        <v>280</v>
      </c>
      <c r="Z881">
        <v>54</v>
      </c>
      <c r="AA881">
        <v>207</v>
      </c>
      <c r="AB881" t="s">
        <v>1713</v>
      </c>
    </row>
    <row r="882" spans="1:28" x14ac:dyDescent="0.3">
      <c r="A882">
        <v>76434</v>
      </c>
      <c r="B882" t="s">
        <v>1362</v>
      </c>
      <c r="C882">
        <v>0</v>
      </c>
      <c r="D882">
        <v>1610612752</v>
      </c>
      <c r="E882" t="s">
        <v>1248</v>
      </c>
      <c r="F882">
        <v>260</v>
      </c>
      <c r="G882">
        <v>37</v>
      </c>
      <c r="I882">
        <v>4240</v>
      </c>
      <c r="J882">
        <v>42</v>
      </c>
      <c r="K882">
        <v>133</v>
      </c>
      <c r="L882">
        <v>316</v>
      </c>
      <c r="P882">
        <v>34</v>
      </c>
      <c r="Q882">
        <v>50</v>
      </c>
      <c r="R882">
        <v>68</v>
      </c>
      <c r="U882">
        <v>720</v>
      </c>
      <c r="V882">
        <v>33</v>
      </c>
      <c r="Z882">
        <v>39</v>
      </c>
      <c r="AA882">
        <v>118</v>
      </c>
      <c r="AB882" t="s">
        <v>1714</v>
      </c>
    </row>
    <row r="883" spans="1:28" x14ac:dyDescent="0.3">
      <c r="A883">
        <v>1746</v>
      </c>
      <c r="B883" t="s">
        <v>1464</v>
      </c>
      <c r="C883">
        <v>0</v>
      </c>
      <c r="D883">
        <v>1610612752</v>
      </c>
      <c r="E883" t="s">
        <v>1248</v>
      </c>
      <c r="F883">
        <v>240</v>
      </c>
      <c r="G883">
        <v>5</v>
      </c>
      <c r="H883">
        <v>0</v>
      </c>
      <c r="I883">
        <v>370</v>
      </c>
      <c r="J883">
        <v>3</v>
      </c>
      <c r="K883">
        <v>9</v>
      </c>
      <c r="L883">
        <v>333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30</v>
      </c>
      <c r="T883">
        <v>40</v>
      </c>
      <c r="U883">
        <v>70</v>
      </c>
      <c r="V883">
        <v>0</v>
      </c>
      <c r="W883">
        <v>10</v>
      </c>
      <c r="X883">
        <v>0</v>
      </c>
      <c r="Y883">
        <v>30</v>
      </c>
      <c r="Z883">
        <v>5</v>
      </c>
      <c r="AA883">
        <v>6</v>
      </c>
      <c r="AB883" t="s">
        <v>1715</v>
      </c>
    </row>
    <row r="884" spans="1:28" x14ac:dyDescent="0.3">
      <c r="A884">
        <v>76800</v>
      </c>
      <c r="B884" t="s">
        <v>1321</v>
      </c>
      <c r="C884">
        <v>0</v>
      </c>
      <c r="D884">
        <v>1610612752</v>
      </c>
      <c r="E884" t="s">
        <v>1248</v>
      </c>
      <c r="F884">
        <v>310</v>
      </c>
      <c r="G884">
        <v>69</v>
      </c>
      <c r="I884">
        <v>16040</v>
      </c>
      <c r="J884">
        <v>250</v>
      </c>
      <c r="K884">
        <v>650</v>
      </c>
      <c r="L884">
        <v>385</v>
      </c>
      <c r="P884">
        <v>155</v>
      </c>
      <c r="Q884">
        <v>202</v>
      </c>
      <c r="R884">
        <v>767</v>
      </c>
      <c r="U884">
        <v>1970</v>
      </c>
      <c r="V884">
        <v>240</v>
      </c>
      <c r="Z884">
        <v>148</v>
      </c>
      <c r="AA884">
        <v>655</v>
      </c>
      <c r="AB884" t="s">
        <v>1716</v>
      </c>
    </row>
    <row r="885" spans="1:28" x14ac:dyDescent="0.3">
      <c r="A885">
        <v>76800</v>
      </c>
      <c r="B885" t="s">
        <v>1322</v>
      </c>
      <c r="C885">
        <v>0</v>
      </c>
      <c r="D885">
        <v>1610612752</v>
      </c>
      <c r="E885" t="s">
        <v>1248</v>
      </c>
      <c r="F885">
        <v>320</v>
      </c>
      <c r="G885">
        <v>16</v>
      </c>
      <c r="I885">
        <v>2680</v>
      </c>
      <c r="J885">
        <v>31</v>
      </c>
      <c r="K885">
        <v>93</v>
      </c>
      <c r="L885">
        <v>333</v>
      </c>
      <c r="P885">
        <v>20</v>
      </c>
      <c r="Q885">
        <v>30</v>
      </c>
      <c r="R885">
        <v>667</v>
      </c>
      <c r="U885">
        <v>320</v>
      </c>
      <c r="V885">
        <v>39</v>
      </c>
      <c r="Z885">
        <v>37</v>
      </c>
      <c r="AA885">
        <v>82</v>
      </c>
      <c r="AB885" t="s">
        <v>1716</v>
      </c>
    </row>
    <row r="886" spans="1:28" x14ac:dyDescent="0.3">
      <c r="A886">
        <v>76428</v>
      </c>
      <c r="B886" t="s">
        <v>1255</v>
      </c>
      <c r="C886">
        <v>0</v>
      </c>
      <c r="D886">
        <v>1610612752</v>
      </c>
      <c r="E886" t="s">
        <v>1248</v>
      </c>
      <c r="F886">
        <v>320</v>
      </c>
      <c r="G886">
        <v>70</v>
      </c>
      <c r="I886">
        <v>15440</v>
      </c>
      <c r="J886">
        <v>254</v>
      </c>
      <c r="K886">
        <v>651</v>
      </c>
      <c r="L886">
        <v>39</v>
      </c>
      <c r="P886">
        <v>122</v>
      </c>
      <c r="Q886">
        <v>186</v>
      </c>
      <c r="R886">
        <v>656</v>
      </c>
      <c r="U886">
        <v>4690</v>
      </c>
      <c r="V886">
        <v>70</v>
      </c>
      <c r="Z886">
        <v>263</v>
      </c>
      <c r="AA886">
        <v>630</v>
      </c>
      <c r="AB886" t="s">
        <v>1717</v>
      </c>
    </row>
    <row r="887" spans="1:28" x14ac:dyDescent="0.3">
      <c r="A887">
        <v>76428</v>
      </c>
      <c r="B887" t="s">
        <v>1257</v>
      </c>
      <c r="C887">
        <v>0</v>
      </c>
      <c r="D887">
        <v>1610612752</v>
      </c>
      <c r="E887" t="s">
        <v>1248</v>
      </c>
      <c r="F887">
        <v>330</v>
      </c>
      <c r="G887">
        <v>46</v>
      </c>
      <c r="I887">
        <v>5510</v>
      </c>
      <c r="J887">
        <v>74</v>
      </c>
      <c r="K887">
        <v>189</v>
      </c>
      <c r="L887">
        <v>392</v>
      </c>
      <c r="P887">
        <v>44</v>
      </c>
      <c r="Q887">
        <v>65</v>
      </c>
      <c r="R887">
        <v>677</v>
      </c>
      <c r="U887">
        <v>1560</v>
      </c>
      <c r="V887">
        <v>21</v>
      </c>
      <c r="Z887">
        <v>124</v>
      </c>
      <c r="AA887">
        <v>192</v>
      </c>
      <c r="AB887" t="s">
        <v>1717</v>
      </c>
    </row>
    <row r="888" spans="1:28" x14ac:dyDescent="0.3">
      <c r="A888">
        <v>202697</v>
      </c>
      <c r="B888" t="s">
        <v>1290</v>
      </c>
      <c r="C888">
        <v>0</v>
      </c>
      <c r="D888">
        <v>1610612752</v>
      </c>
      <c r="E888" t="s">
        <v>1248</v>
      </c>
      <c r="F888">
        <v>220</v>
      </c>
      <c r="G888">
        <v>59</v>
      </c>
      <c r="H888">
        <v>350</v>
      </c>
      <c r="I888">
        <v>17050</v>
      </c>
      <c r="J888">
        <v>214</v>
      </c>
      <c r="K888">
        <v>534</v>
      </c>
      <c r="L888">
        <v>401</v>
      </c>
      <c r="M888">
        <v>480</v>
      </c>
      <c r="N888">
        <v>1570</v>
      </c>
      <c r="O888">
        <v>306</v>
      </c>
      <c r="P888">
        <v>87</v>
      </c>
      <c r="Q888">
        <v>109</v>
      </c>
      <c r="R888">
        <v>798</v>
      </c>
      <c r="S888">
        <v>420</v>
      </c>
      <c r="T888">
        <v>1440</v>
      </c>
      <c r="U888">
        <v>1860</v>
      </c>
      <c r="V888">
        <v>164</v>
      </c>
      <c r="W888">
        <v>1010</v>
      </c>
      <c r="X888">
        <v>80</v>
      </c>
      <c r="Y888">
        <v>1110</v>
      </c>
      <c r="Z888">
        <v>173</v>
      </c>
      <c r="AA888">
        <v>563</v>
      </c>
      <c r="AB888" t="s">
        <v>1718</v>
      </c>
    </row>
    <row r="889" spans="1:28" x14ac:dyDescent="0.3">
      <c r="A889">
        <v>202697</v>
      </c>
      <c r="B889" t="s">
        <v>1292</v>
      </c>
      <c r="C889">
        <v>0</v>
      </c>
      <c r="D889">
        <v>1610612752</v>
      </c>
      <c r="E889" t="s">
        <v>1248</v>
      </c>
      <c r="F889">
        <v>230</v>
      </c>
      <c r="G889">
        <v>45</v>
      </c>
      <c r="H889">
        <v>450</v>
      </c>
      <c r="I889">
        <v>9960</v>
      </c>
      <c r="J889">
        <v>109</v>
      </c>
      <c r="K889">
        <v>275</v>
      </c>
      <c r="L889">
        <v>396</v>
      </c>
      <c r="M889">
        <v>510</v>
      </c>
      <c r="N889">
        <v>1270</v>
      </c>
      <c r="O889">
        <v>402</v>
      </c>
      <c r="P889">
        <v>36</v>
      </c>
      <c r="Q889">
        <v>47</v>
      </c>
      <c r="R889">
        <v>766</v>
      </c>
      <c r="S889">
        <v>310</v>
      </c>
      <c r="T889">
        <v>1050</v>
      </c>
      <c r="U889">
        <v>1360</v>
      </c>
      <c r="V889">
        <v>75</v>
      </c>
      <c r="W889">
        <v>430</v>
      </c>
      <c r="X889">
        <v>70</v>
      </c>
      <c r="Y889">
        <v>370</v>
      </c>
      <c r="Z889">
        <v>99</v>
      </c>
      <c r="AA889">
        <v>305</v>
      </c>
      <c r="AB889" t="s">
        <v>1718</v>
      </c>
    </row>
    <row r="890" spans="1:28" x14ac:dyDescent="0.3">
      <c r="A890">
        <v>202697</v>
      </c>
      <c r="B890" t="s">
        <v>1337</v>
      </c>
      <c r="C890">
        <v>0</v>
      </c>
      <c r="D890">
        <v>1610612752</v>
      </c>
      <c r="E890" t="s">
        <v>1248</v>
      </c>
      <c r="F890">
        <v>240</v>
      </c>
      <c r="G890">
        <v>74</v>
      </c>
      <c r="H890">
        <v>580</v>
      </c>
      <c r="I890">
        <v>19620</v>
      </c>
      <c r="J890">
        <v>183</v>
      </c>
      <c r="K890">
        <v>484</v>
      </c>
      <c r="L890">
        <v>378</v>
      </c>
      <c r="M890">
        <v>760</v>
      </c>
      <c r="N890">
        <v>2280</v>
      </c>
      <c r="O890">
        <v>333</v>
      </c>
      <c r="P890">
        <v>53</v>
      </c>
      <c r="Q890">
        <v>71</v>
      </c>
      <c r="R890">
        <v>746</v>
      </c>
      <c r="S890">
        <v>810</v>
      </c>
      <c r="T890">
        <v>2270</v>
      </c>
      <c r="U890">
        <v>3080</v>
      </c>
      <c r="V890">
        <v>129</v>
      </c>
      <c r="W890">
        <v>920</v>
      </c>
      <c r="X890">
        <v>130</v>
      </c>
      <c r="Y890">
        <v>790</v>
      </c>
      <c r="Z890">
        <v>209</v>
      </c>
      <c r="AA890">
        <v>495</v>
      </c>
      <c r="AB890" t="s">
        <v>1718</v>
      </c>
    </row>
    <row r="891" spans="1:28" x14ac:dyDescent="0.3">
      <c r="A891">
        <v>202697</v>
      </c>
      <c r="B891" t="s">
        <v>1343</v>
      </c>
      <c r="C891">
        <v>0</v>
      </c>
      <c r="D891">
        <v>1610612752</v>
      </c>
      <c r="E891" t="s">
        <v>1248</v>
      </c>
      <c r="F891">
        <v>250</v>
      </c>
      <c r="G891">
        <v>24</v>
      </c>
      <c r="H891">
        <v>240</v>
      </c>
      <c r="I891">
        <v>6250</v>
      </c>
      <c r="J891">
        <v>88</v>
      </c>
      <c r="K891">
        <v>215</v>
      </c>
      <c r="L891">
        <v>409</v>
      </c>
      <c r="M891">
        <v>230</v>
      </c>
      <c r="N891">
        <v>660</v>
      </c>
      <c r="O891">
        <v>348</v>
      </c>
      <c r="P891">
        <v>25</v>
      </c>
      <c r="Q891">
        <v>37</v>
      </c>
      <c r="R891">
        <v>676</v>
      </c>
      <c r="S891">
        <v>220</v>
      </c>
      <c r="T891">
        <v>590</v>
      </c>
      <c r="U891">
        <v>810</v>
      </c>
      <c r="V891">
        <v>78</v>
      </c>
      <c r="W891">
        <v>300</v>
      </c>
      <c r="X891">
        <v>30</v>
      </c>
      <c r="Y891">
        <v>420</v>
      </c>
      <c r="Z891">
        <v>67</v>
      </c>
      <c r="AA891">
        <v>224</v>
      </c>
      <c r="AB891" t="s">
        <v>1718</v>
      </c>
    </row>
    <row r="892" spans="1:28" x14ac:dyDescent="0.3">
      <c r="A892">
        <v>1137</v>
      </c>
      <c r="B892" t="s">
        <v>1277</v>
      </c>
      <c r="C892">
        <v>0</v>
      </c>
      <c r="D892">
        <v>1610612752</v>
      </c>
      <c r="E892" t="s">
        <v>1248</v>
      </c>
      <c r="F892">
        <v>270</v>
      </c>
      <c r="G892">
        <v>3</v>
      </c>
      <c r="H892">
        <v>0</v>
      </c>
      <c r="I892">
        <v>90</v>
      </c>
      <c r="J892">
        <v>2</v>
      </c>
      <c r="K892">
        <v>6</v>
      </c>
      <c r="L892">
        <v>333</v>
      </c>
      <c r="M892">
        <v>20</v>
      </c>
      <c r="N892">
        <v>30</v>
      </c>
      <c r="O892">
        <v>667</v>
      </c>
      <c r="P892">
        <v>0</v>
      </c>
      <c r="Q892">
        <v>0</v>
      </c>
      <c r="R892">
        <v>0</v>
      </c>
      <c r="S892">
        <v>10</v>
      </c>
      <c r="T892">
        <v>0</v>
      </c>
      <c r="U892">
        <v>10</v>
      </c>
      <c r="V892">
        <v>1</v>
      </c>
      <c r="W892">
        <v>0</v>
      </c>
      <c r="X892">
        <v>0</v>
      </c>
      <c r="Y892">
        <v>0</v>
      </c>
      <c r="Z892">
        <v>2</v>
      </c>
      <c r="AA892">
        <v>6</v>
      </c>
      <c r="AB892" t="s">
        <v>1719</v>
      </c>
    </row>
    <row r="893" spans="1:28" x14ac:dyDescent="0.3">
      <c r="A893">
        <v>76788</v>
      </c>
      <c r="B893" t="s">
        <v>1357</v>
      </c>
      <c r="C893">
        <v>0</v>
      </c>
      <c r="D893">
        <v>1610612752</v>
      </c>
      <c r="E893" t="s">
        <v>1248</v>
      </c>
      <c r="F893">
        <v>270</v>
      </c>
      <c r="G893">
        <v>25</v>
      </c>
      <c r="I893">
        <v>2390</v>
      </c>
      <c r="J893">
        <v>32</v>
      </c>
      <c r="K893">
        <v>91</v>
      </c>
      <c r="L893">
        <v>352</v>
      </c>
      <c r="P893">
        <v>10</v>
      </c>
      <c r="Q893">
        <v>13</v>
      </c>
      <c r="R893">
        <v>769</v>
      </c>
      <c r="S893">
        <v>100</v>
      </c>
      <c r="T893">
        <v>160</v>
      </c>
      <c r="U893">
        <v>260</v>
      </c>
      <c r="V893">
        <v>14</v>
      </c>
      <c r="W893">
        <v>70</v>
      </c>
      <c r="X893">
        <v>10</v>
      </c>
      <c r="Z893">
        <v>41</v>
      </c>
      <c r="AA893">
        <v>74</v>
      </c>
      <c r="AB893" t="s">
        <v>1720</v>
      </c>
    </row>
    <row r="894" spans="1:28" x14ac:dyDescent="0.3">
      <c r="A894">
        <v>76422</v>
      </c>
      <c r="B894" t="s">
        <v>1299</v>
      </c>
      <c r="C894">
        <v>0</v>
      </c>
      <c r="D894">
        <v>1610612752</v>
      </c>
      <c r="E894" t="s">
        <v>1248</v>
      </c>
      <c r="F894">
        <v>230</v>
      </c>
      <c r="G894">
        <v>15</v>
      </c>
      <c r="J894">
        <v>35</v>
      </c>
      <c r="K894">
        <v>113</v>
      </c>
      <c r="L894">
        <v>31</v>
      </c>
      <c r="P894">
        <v>13</v>
      </c>
      <c r="Q894">
        <v>19</v>
      </c>
      <c r="R894">
        <v>684</v>
      </c>
      <c r="V894">
        <v>9</v>
      </c>
      <c r="Z894">
        <v>25</v>
      </c>
      <c r="AA894">
        <v>83</v>
      </c>
      <c r="AB894" t="s">
        <v>1721</v>
      </c>
    </row>
    <row r="895" spans="1:28" x14ac:dyDescent="0.3">
      <c r="A895">
        <v>78223</v>
      </c>
      <c r="B895" t="s">
        <v>1320</v>
      </c>
      <c r="C895">
        <v>0</v>
      </c>
      <c r="D895">
        <v>1610612752</v>
      </c>
      <c r="E895" t="s">
        <v>1248</v>
      </c>
      <c r="F895">
        <v>250</v>
      </c>
      <c r="G895">
        <v>72</v>
      </c>
      <c r="I895">
        <v>16610</v>
      </c>
      <c r="J895">
        <v>318</v>
      </c>
      <c r="K895">
        <v>838</v>
      </c>
      <c r="L895">
        <v>379</v>
      </c>
      <c r="P895">
        <v>165</v>
      </c>
      <c r="Q895">
        <v>257</v>
      </c>
      <c r="R895">
        <v>642</v>
      </c>
      <c r="U895">
        <v>4610</v>
      </c>
      <c r="V895">
        <v>69</v>
      </c>
      <c r="Z895">
        <v>232</v>
      </c>
      <c r="AA895">
        <v>801</v>
      </c>
      <c r="AB895" t="s">
        <v>1722</v>
      </c>
    </row>
    <row r="896" spans="1:28" x14ac:dyDescent="0.3">
      <c r="A896">
        <v>78223</v>
      </c>
      <c r="B896" t="s">
        <v>1250</v>
      </c>
      <c r="C896">
        <v>0</v>
      </c>
      <c r="D896">
        <v>1610612752</v>
      </c>
      <c r="E896" t="s">
        <v>1248</v>
      </c>
      <c r="F896">
        <v>260</v>
      </c>
      <c r="G896">
        <v>67</v>
      </c>
      <c r="I896">
        <v>8420</v>
      </c>
      <c r="J896">
        <v>129</v>
      </c>
      <c r="K896">
        <v>406</v>
      </c>
      <c r="L896">
        <v>318</v>
      </c>
      <c r="P896">
        <v>78</v>
      </c>
      <c r="Q896">
        <v>138</v>
      </c>
      <c r="R896">
        <v>565</v>
      </c>
      <c r="U896">
        <v>2440</v>
      </c>
      <c r="V896">
        <v>67</v>
      </c>
      <c r="Z896">
        <v>158</v>
      </c>
      <c r="AA896">
        <v>336</v>
      </c>
      <c r="AB896" t="s">
        <v>1722</v>
      </c>
    </row>
    <row r="897" spans="1:28" x14ac:dyDescent="0.3">
      <c r="A897">
        <v>203147</v>
      </c>
      <c r="B897" t="s">
        <v>1337</v>
      </c>
      <c r="C897">
        <v>0</v>
      </c>
      <c r="D897">
        <v>1610612752</v>
      </c>
      <c r="E897" t="s">
        <v>1248</v>
      </c>
      <c r="F897">
        <v>260</v>
      </c>
      <c r="G897">
        <v>2</v>
      </c>
      <c r="H897">
        <v>0</v>
      </c>
      <c r="I897">
        <v>20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1723</v>
      </c>
    </row>
    <row r="898" spans="1:28" x14ac:dyDescent="0.3">
      <c r="A898">
        <v>202360</v>
      </c>
      <c r="B898" t="s">
        <v>1312</v>
      </c>
      <c r="C898">
        <v>0</v>
      </c>
      <c r="D898">
        <v>1610612752</v>
      </c>
      <c r="E898" t="s">
        <v>1248</v>
      </c>
      <c r="F898">
        <v>240</v>
      </c>
      <c r="G898">
        <v>5</v>
      </c>
      <c r="H898">
        <v>0</v>
      </c>
      <c r="I898">
        <v>240</v>
      </c>
      <c r="J898">
        <v>3</v>
      </c>
      <c r="K898">
        <v>7</v>
      </c>
      <c r="L898">
        <v>429</v>
      </c>
      <c r="M898">
        <v>10</v>
      </c>
      <c r="N898">
        <v>40</v>
      </c>
      <c r="O898">
        <v>25</v>
      </c>
      <c r="P898">
        <v>1</v>
      </c>
      <c r="Q898">
        <v>2</v>
      </c>
      <c r="R898">
        <v>5</v>
      </c>
      <c r="S898">
        <v>0</v>
      </c>
      <c r="T898">
        <v>10</v>
      </c>
      <c r="U898">
        <v>10</v>
      </c>
      <c r="V898">
        <v>3</v>
      </c>
      <c r="W898">
        <v>10</v>
      </c>
      <c r="X898">
        <v>0</v>
      </c>
      <c r="Y898">
        <v>70</v>
      </c>
      <c r="Z898">
        <v>0</v>
      </c>
      <c r="AA898">
        <v>8</v>
      </c>
      <c r="AB898" t="s">
        <v>1724</v>
      </c>
    </row>
    <row r="899" spans="1:28" x14ac:dyDescent="0.3">
      <c r="A899">
        <v>201943</v>
      </c>
      <c r="B899" t="s">
        <v>1281</v>
      </c>
      <c r="C899">
        <v>0</v>
      </c>
      <c r="D899">
        <v>1610612752</v>
      </c>
      <c r="E899" t="s">
        <v>1248</v>
      </c>
      <c r="F899">
        <v>270</v>
      </c>
      <c r="G899">
        <v>58</v>
      </c>
      <c r="H899">
        <v>110</v>
      </c>
      <c r="I899">
        <v>14280</v>
      </c>
      <c r="J899">
        <v>163</v>
      </c>
      <c r="K899">
        <v>429</v>
      </c>
      <c r="L899">
        <v>38</v>
      </c>
      <c r="M899">
        <v>680</v>
      </c>
      <c r="N899">
        <v>2000</v>
      </c>
      <c r="O899">
        <v>34</v>
      </c>
      <c r="P899">
        <v>102</v>
      </c>
      <c r="Q899">
        <v>135</v>
      </c>
      <c r="R899">
        <v>756</v>
      </c>
      <c r="S899">
        <v>210</v>
      </c>
      <c r="T899">
        <v>1310</v>
      </c>
      <c r="U899">
        <v>1520</v>
      </c>
      <c r="V899">
        <v>287</v>
      </c>
      <c r="W899">
        <v>550</v>
      </c>
      <c r="X899">
        <v>40</v>
      </c>
      <c r="Y899">
        <v>1060</v>
      </c>
      <c r="Z899">
        <v>84</v>
      </c>
      <c r="AA899">
        <v>496</v>
      </c>
      <c r="AB899" t="s">
        <v>1725</v>
      </c>
    </row>
    <row r="900" spans="1:28" x14ac:dyDescent="0.3">
      <c r="A900">
        <v>1628656</v>
      </c>
      <c r="B900" t="s">
        <v>1287</v>
      </c>
      <c r="C900">
        <v>0</v>
      </c>
      <c r="D900">
        <v>1610612752</v>
      </c>
      <c r="E900" t="s">
        <v>1248</v>
      </c>
      <c r="F900">
        <v>240</v>
      </c>
      <c r="G900">
        <v>4</v>
      </c>
      <c r="H900">
        <v>0</v>
      </c>
      <c r="I900">
        <v>630</v>
      </c>
      <c r="J900">
        <v>11</v>
      </c>
      <c r="K900">
        <v>27</v>
      </c>
      <c r="L900">
        <v>407</v>
      </c>
      <c r="M900">
        <v>0</v>
      </c>
      <c r="N900">
        <v>80</v>
      </c>
      <c r="O900">
        <v>0</v>
      </c>
      <c r="P900">
        <v>4</v>
      </c>
      <c r="Q900">
        <v>4</v>
      </c>
      <c r="R900">
        <v>10</v>
      </c>
      <c r="S900">
        <v>0</v>
      </c>
      <c r="T900">
        <v>30</v>
      </c>
      <c r="U900">
        <v>30</v>
      </c>
      <c r="V900">
        <v>7</v>
      </c>
      <c r="W900">
        <v>10</v>
      </c>
      <c r="X900">
        <v>10</v>
      </c>
      <c r="Y900">
        <v>20</v>
      </c>
      <c r="Z900">
        <v>3</v>
      </c>
      <c r="AA900">
        <v>26</v>
      </c>
      <c r="AB900" t="s">
        <v>1726</v>
      </c>
    </row>
    <row r="901" spans="1:28" x14ac:dyDescent="0.3">
      <c r="A901">
        <v>200776</v>
      </c>
      <c r="B901" t="s">
        <v>1302</v>
      </c>
      <c r="C901">
        <v>0</v>
      </c>
      <c r="D901">
        <v>1610612752</v>
      </c>
      <c r="E901" t="s">
        <v>1248</v>
      </c>
      <c r="F901">
        <v>220</v>
      </c>
      <c r="G901">
        <v>52</v>
      </c>
      <c r="H901">
        <v>90</v>
      </c>
      <c r="I901">
        <v>7770</v>
      </c>
      <c r="J901">
        <v>87</v>
      </c>
      <c r="K901">
        <v>228</v>
      </c>
      <c r="L901">
        <v>382</v>
      </c>
      <c r="M901">
        <v>130</v>
      </c>
      <c r="N901">
        <v>470</v>
      </c>
      <c r="O901">
        <v>277</v>
      </c>
      <c r="P901">
        <v>48</v>
      </c>
      <c r="Q901">
        <v>82</v>
      </c>
      <c r="R901">
        <v>585</v>
      </c>
      <c r="S901">
        <v>280</v>
      </c>
      <c r="T901">
        <v>760</v>
      </c>
      <c r="U901">
        <v>1040</v>
      </c>
      <c r="V901">
        <v>83</v>
      </c>
      <c r="W901">
        <v>320</v>
      </c>
      <c r="X901">
        <v>30</v>
      </c>
      <c r="Y901">
        <v>570</v>
      </c>
      <c r="Z901">
        <v>75</v>
      </c>
      <c r="AA901">
        <v>235</v>
      </c>
      <c r="AB901" t="s">
        <v>1727</v>
      </c>
    </row>
    <row r="902" spans="1:28" x14ac:dyDescent="0.3">
      <c r="A902">
        <v>200776</v>
      </c>
      <c r="B902" t="s">
        <v>1303</v>
      </c>
      <c r="C902">
        <v>0</v>
      </c>
      <c r="D902">
        <v>1610612752</v>
      </c>
      <c r="E902" t="s">
        <v>1248</v>
      </c>
      <c r="F902">
        <v>230</v>
      </c>
      <c r="G902">
        <v>46</v>
      </c>
      <c r="H902">
        <v>80</v>
      </c>
      <c r="I902">
        <v>6340</v>
      </c>
      <c r="J902">
        <v>57</v>
      </c>
      <c r="K902">
        <v>175</v>
      </c>
      <c r="L902">
        <v>326</v>
      </c>
      <c r="M902">
        <v>80</v>
      </c>
      <c r="N902">
        <v>320</v>
      </c>
      <c r="O902">
        <v>25</v>
      </c>
      <c r="P902">
        <v>23</v>
      </c>
      <c r="Q902">
        <v>38</v>
      </c>
      <c r="R902">
        <v>605</v>
      </c>
      <c r="S902">
        <v>190</v>
      </c>
      <c r="T902">
        <v>560</v>
      </c>
      <c r="U902">
        <v>750</v>
      </c>
      <c r="V902">
        <v>89</v>
      </c>
      <c r="W902">
        <v>240</v>
      </c>
      <c r="X902">
        <v>80</v>
      </c>
      <c r="Y902">
        <v>560</v>
      </c>
      <c r="Z902">
        <v>56</v>
      </c>
      <c r="AA902">
        <v>145</v>
      </c>
      <c r="AB902" t="s">
        <v>1727</v>
      </c>
    </row>
    <row r="903" spans="1:28" x14ac:dyDescent="0.3">
      <c r="A903">
        <v>200776</v>
      </c>
      <c r="B903" t="s">
        <v>1304</v>
      </c>
      <c r="C903">
        <v>0</v>
      </c>
      <c r="D903">
        <v>1610612752</v>
      </c>
      <c r="E903" t="s">
        <v>1248</v>
      </c>
      <c r="F903">
        <v>240</v>
      </c>
      <c r="G903">
        <v>9</v>
      </c>
      <c r="H903">
        <v>0</v>
      </c>
      <c r="I903">
        <v>750</v>
      </c>
      <c r="J903">
        <v>8</v>
      </c>
      <c r="K903">
        <v>23</v>
      </c>
      <c r="L903">
        <v>348</v>
      </c>
      <c r="M903">
        <v>0</v>
      </c>
      <c r="N903">
        <v>30</v>
      </c>
      <c r="O903">
        <v>0</v>
      </c>
      <c r="P903">
        <v>4</v>
      </c>
      <c r="Q903">
        <v>9</v>
      </c>
      <c r="R903">
        <v>444</v>
      </c>
      <c r="S903">
        <v>20</v>
      </c>
      <c r="T903">
        <v>60</v>
      </c>
      <c r="U903">
        <v>80</v>
      </c>
      <c r="V903">
        <v>10</v>
      </c>
      <c r="W903">
        <v>20</v>
      </c>
      <c r="X903">
        <v>0</v>
      </c>
      <c r="Y903">
        <v>50</v>
      </c>
      <c r="Z903">
        <v>7</v>
      </c>
      <c r="AA903">
        <v>20</v>
      </c>
      <c r="AB903" t="s">
        <v>1727</v>
      </c>
    </row>
    <row r="904" spans="1:28" x14ac:dyDescent="0.3">
      <c r="A904">
        <v>203098</v>
      </c>
      <c r="B904" t="s">
        <v>1287</v>
      </c>
      <c r="C904">
        <v>0</v>
      </c>
      <c r="D904">
        <v>1610612752</v>
      </c>
      <c r="E904" t="s">
        <v>1248</v>
      </c>
      <c r="F904">
        <v>280</v>
      </c>
      <c r="G904">
        <v>22</v>
      </c>
      <c r="H904">
        <v>0</v>
      </c>
      <c r="I904">
        <v>3190</v>
      </c>
      <c r="J904">
        <v>40</v>
      </c>
      <c r="K904">
        <v>103</v>
      </c>
      <c r="L904">
        <v>388</v>
      </c>
      <c r="M904">
        <v>200</v>
      </c>
      <c r="N904">
        <v>560</v>
      </c>
      <c r="O904">
        <v>357</v>
      </c>
      <c r="P904">
        <v>15</v>
      </c>
      <c r="Q904">
        <v>18</v>
      </c>
      <c r="R904">
        <v>833</v>
      </c>
      <c r="S904">
        <v>60</v>
      </c>
      <c r="T904">
        <v>300</v>
      </c>
      <c r="U904">
        <v>360</v>
      </c>
      <c r="V904">
        <v>21</v>
      </c>
      <c r="W904">
        <v>0</v>
      </c>
      <c r="X904">
        <v>20</v>
      </c>
      <c r="Y904">
        <v>90</v>
      </c>
      <c r="Z904">
        <v>10</v>
      </c>
      <c r="AA904">
        <v>115</v>
      </c>
      <c r="AB904" t="s">
        <v>1728</v>
      </c>
    </row>
    <row r="905" spans="1:28" x14ac:dyDescent="0.3">
      <c r="A905">
        <v>76783</v>
      </c>
      <c r="B905" t="s">
        <v>1322</v>
      </c>
      <c r="C905">
        <v>0</v>
      </c>
      <c r="D905">
        <v>1610612752</v>
      </c>
      <c r="E905" t="s">
        <v>1248</v>
      </c>
      <c r="F905">
        <v>280</v>
      </c>
      <c r="G905">
        <v>71</v>
      </c>
      <c r="I905">
        <v>22380</v>
      </c>
      <c r="J905">
        <v>415</v>
      </c>
      <c r="K905">
        <v>943</v>
      </c>
      <c r="L905">
        <v>44</v>
      </c>
      <c r="P905">
        <v>275</v>
      </c>
      <c r="Q905">
        <v>358</v>
      </c>
      <c r="R905">
        <v>768</v>
      </c>
      <c r="U905">
        <v>2770</v>
      </c>
      <c r="V905">
        <v>220</v>
      </c>
      <c r="Z905">
        <v>240</v>
      </c>
      <c r="AA905">
        <v>1105</v>
      </c>
      <c r="AB905" t="s">
        <v>1729</v>
      </c>
    </row>
    <row r="906" spans="1:28" x14ac:dyDescent="0.3">
      <c r="A906">
        <v>76411</v>
      </c>
      <c r="B906" t="s">
        <v>1392</v>
      </c>
      <c r="C906">
        <v>0</v>
      </c>
      <c r="D906">
        <v>1610612752</v>
      </c>
      <c r="E906" t="s">
        <v>1248</v>
      </c>
      <c r="F906">
        <v>240</v>
      </c>
      <c r="G906">
        <v>45</v>
      </c>
      <c r="H906">
        <v>10</v>
      </c>
      <c r="I906">
        <v>4690</v>
      </c>
      <c r="J906">
        <v>75</v>
      </c>
      <c r="K906">
        <v>184</v>
      </c>
      <c r="L906">
        <v>408</v>
      </c>
      <c r="M906">
        <v>30</v>
      </c>
      <c r="N906">
        <v>150</v>
      </c>
      <c r="O906">
        <v>2</v>
      </c>
      <c r="P906">
        <v>12</v>
      </c>
      <c r="Q906">
        <v>20</v>
      </c>
      <c r="R906">
        <v>6</v>
      </c>
      <c r="S906">
        <v>60</v>
      </c>
      <c r="T906">
        <v>400</v>
      </c>
      <c r="U906">
        <v>460</v>
      </c>
      <c r="V906">
        <v>82</v>
      </c>
      <c r="W906">
        <v>200</v>
      </c>
      <c r="X906">
        <v>30</v>
      </c>
      <c r="Y906">
        <v>490</v>
      </c>
      <c r="Z906">
        <v>65</v>
      </c>
      <c r="AA906">
        <v>165</v>
      </c>
      <c r="AB906" t="s">
        <v>1730</v>
      </c>
    </row>
    <row r="907" spans="1:28" x14ac:dyDescent="0.3">
      <c r="A907">
        <v>77966</v>
      </c>
      <c r="B907" t="s">
        <v>1415</v>
      </c>
      <c r="C907">
        <v>0</v>
      </c>
      <c r="D907">
        <v>1610612752</v>
      </c>
      <c r="E907" t="s">
        <v>1248</v>
      </c>
      <c r="F907">
        <v>230</v>
      </c>
      <c r="G907">
        <v>54</v>
      </c>
      <c r="I907">
        <v>3970</v>
      </c>
      <c r="J907">
        <v>49</v>
      </c>
      <c r="K907">
        <v>144</v>
      </c>
      <c r="L907">
        <v>34</v>
      </c>
      <c r="P907">
        <v>28</v>
      </c>
      <c r="Q907">
        <v>42</v>
      </c>
      <c r="R907">
        <v>667</v>
      </c>
      <c r="U907">
        <v>570</v>
      </c>
      <c r="V907">
        <v>46</v>
      </c>
      <c r="Z907">
        <v>93</v>
      </c>
      <c r="AA907">
        <v>126</v>
      </c>
      <c r="AB907" t="s">
        <v>1731</v>
      </c>
    </row>
    <row r="908" spans="1:28" x14ac:dyDescent="0.3">
      <c r="A908">
        <v>77966</v>
      </c>
      <c r="B908" t="s">
        <v>1416</v>
      </c>
      <c r="C908">
        <v>0</v>
      </c>
      <c r="D908">
        <v>1610612752</v>
      </c>
      <c r="E908" t="s">
        <v>1248</v>
      </c>
      <c r="F908">
        <v>240</v>
      </c>
      <c r="G908">
        <v>81</v>
      </c>
      <c r="I908">
        <v>16770</v>
      </c>
      <c r="J908">
        <v>255</v>
      </c>
      <c r="K908">
        <v>549</v>
      </c>
      <c r="L908">
        <v>464</v>
      </c>
      <c r="P908">
        <v>114</v>
      </c>
      <c r="Q908">
        <v>165</v>
      </c>
      <c r="R908">
        <v>691</v>
      </c>
      <c r="U908">
        <v>1940</v>
      </c>
      <c r="V908">
        <v>201</v>
      </c>
      <c r="Z908">
        <v>192</v>
      </c>
      <c r="AA908">
        <v>624</v>
      </c>
      <c r="AB908" t="s">
        <v>1731</v>
      </c>
    </row>
    <row r="909" spans="1:28" x14ac:dyDescent="0.3">
      <c r="A909">
        <v>77966</v>
      </c>
      <c r="B909" t="s">
        <v>1417</v>
      </c>
      <c r="C909">
        <v>0</v>
      </c>
      <c r="D909">
        <v>1610612752</v>
      </c>
      <c r="E909" t="s">
        <v>1248</v>
      </c>
      <c r="F909">
        <v>250</v>
      </c>
      <c r="G909">
        <v>82</v>
      </c>
      <c r="I909">
        <v>13200</v>
      </c>
      <c r="J909">
        <v>162</v>
      </c>
      <c r="K909">
        <v>388</v>
      </c>
      <c r="L909">
        <v>418</v>
      </c>
      <c r="P909">
        <v>67</v>
      </c>
      <c r="Q909">
        <v>108</v>
      </c>
      <c r="R909">
        <v>62</v>
      </c>
      <c r="U909">
        <v>1690</v>
      </c>
      <c r="V909">
        <v>121</v>
      </c>
      <c r="Z909">
        <v>151</v>
      </c>
      <c r="AA909">
        <v>391</v>
      </c>
      <c r="AB909" t="s">
        <v>1731</v>
      </c>
    </row>
    <row r="910" spans="1:28" x14ac:dyDescent="0.3">
      <c r="A910">
        <v>77966</v>
      </c>
      <c r="B910" t="s">
        <v>1354</v>
      </c>
      <c r="C910">
        <v>0</v>
      </c>
      <c r="D910">
        <v>1610612752</v>
      </c>
      <c r="E910" t="s">
        <v>1248</v>
      </c>
      <c r="F910">
        <v>260</v>
      </c>
      <c r="G910">
        <v>4</v>
      </c>
      <c r="I910">
        <v>330</v>
      </c>
      <c r="J910">
        <v>4</v>
      </c>
      <c r="K910">
        <v>11</v>
      </c>
      <c r="L910">
        <v>364</v>
      </c>
      <c r="P910">
        <v>0</v>
      </c>
      <c r="Q910">
        <v>1</v>
      </c>
      <c r="R910">
        <v>0</v>
      </c>
      <c r="U910">
        <v>10</v>
      </c>
      <c r="V910">
        <v>2</v>
      </c>
      <c r="Z910">
        <v>2</v>
      </c>
      <c r="AA910">
        <v>8</v>
      </c>
      <c r="AB910" t="s">
        <v>1731</v>
      </c>
    </row>
    <row r="911" spans="1:28" x14ac:dyDescent="0.3">
      <c r="A911">
        <v>77894</v>
      </c>
      <c r="B911" t="s">
        <v>1354</v>
      </c>
      <c r="C911">
        <v>0</v>
      </c>
      <c r="D911">
        <v>1610612752</v>
      </c>
      <c r="E911" t="s">
        <v>1248</v>
      </c>
      <c r="F911">
        <v>260</v>
      </c>
      <c r="G911">
        <v>62</v>
      </c>
      <c r="I911">
        <v>6180</v>
      </c>
      <c r="J911">
        <v>92</v>
      </c>
      <c r="K911">
        <v>215</v>
      </c>
      <c r="L911">
        <v>428</v>
      </c>
      <c r="P911">
        <v>49</v>
      </c>
      <c r="Q911">
        <v>84</v>
      </c>
      <c r="R911">
        <v>583</v>
      </c>
      <c r="U911">
        <v>1870</v>
      </c>
      <c r="V911">
        <v>18</v>
      </c>
      <c r="Z911">
        <v>104</v>
      </c>
      <c r="AA911">
        <v>233</v>
      </c>
      <c r="AB911" t="s">
        <v>1732</v>
      </c>
    </row>
    <row r="912" spans="1:28" x14ac:dyDescent="0.3">
      <c r="A912">
        <v>77894</v>
      </c>
      <c r="B912" t="s">
        <v>1356</v>
      </c>
      <c r="C912">
        <v>0</v>
      </c>
      <c r="D912">
        <v>1610612752</v>
      </c>
      <c r="E912" t="s">
        <v>1248</v>
      </c>
      <c r="F912">
        <v>270</v>
      </c>
      <c r="G912">
        <v>1</v>
      </c>
      <c r="I912">
        <v>20</v>
      </c>
      <c r="J912">
        <v>0</v>
      </c>
      <c r="K912">
        <v>0</v>
      </c>
      <c r="P912">
        <v>0</v>
      </c>
      <c r="Q912">
        <v>0</v>
      </c>
      <c r="U912">
        <v>10</v>
      </c>
      <c r="V912">
        <v>0</v>
      </c>
      <c r="Z912">
        <v>2</v>
      </c>
      <c r="AA912">
        <v>0</v>
      </c>
      <c r="AB912" t="s">
        <v>1732</v>
      </c>
    </row>
    <row r="913" spans="1:28" x14ac:dyDescent="0.3">
      <c r="A913">
        <v>203658</v>
      </c>
      <c r="B913" t="s">
        <v>1289</v>
      </c>
      <c r="C913">
        <v>0</v>
      </c>
      <c r="D913">
        <v>1610612752</v>
      </c>
      <c r="E913" t="s">
        <v>1248</v>
      </c>
      <c r="F913">
        <v>280</v>
      </c>
      <c r="G913">
        <v>9</v>
      </c>
      <c r="H913">
        <v>0</v>
      </c>
      <c r="I913">
        <v>520</v>
      </c>
      <c r="J913">
        <v>5</v>
      </c>
      <c r="K913">
        <v>7</v>
      </c>
      <c r="L913">
        <v>714</v>
      </c>
      <c r="M913">
        <v>0</v>
      </c>
      <c r="N913">
        <v>0</v>
      </c>
      <c r="O913">
        <v>0</v>
      </c>
      <c r="P913">
        <v>1</v>
      </c>
      <c r="Q913">
        <v>2</v>
      </c>
      <c r="R913">
        <v>5</v>
      </c>
      <c r="S913">
        <v>20</v>
      </c>
      <c r="T913">
        <v>90</v>
      </c>
      <c r="U913">
        <v>110</v>
      </c>
      <c r="V913">
        <v>1</v>
      </c>
      <c r="W913">
        <v>10</v>
      </c>
      <c r="X913">
        <v>60</v>
      </c>
      <c r="Y913">
        <v>0</v>
      </c>
      <c r="Z913">
        <v>4</v>
      </c>
      <c r="AA913">
        <v>11</v>
      </c>
      <c r="AB913" t="s">
        <v>1733</v>
      </c>
    </row>
    <row r="914" spans="1:28" x14ac:dyDescent="0.3">
      <c r="A914">
        <v>2407</v>
      </c>
      <c r="B914" t="s">
        <v>1302</v>
      </c>
      <c r="C914">
        <v>0</v>
      </c>
      <c r="D914">
        <v>1610612752</v>
      </c>
      <c r="E914" t="s">
        <v>1248</v>
      </c>
      <c r="F914">
        <v>250</v>
      </c>
      <c r="G914">
        <v>55</v>
      </c>
      <c r="H914">
        <v>430</v>
      </c>
      <c r="I914">
        <v>13070</v>
      </c>
      <c r="J914">
        <v>95</v>
      </c>
      <c r="K914">
        <v>206</v>
      </c>
      <c r="L914">
        <v>461</v>
      </c>
      <c r="M914">
        <v>20</v>
      </c>
      <c r="N914">
        <v>200</v>
      </c>
      <c r="O914">
        <v>1</v>
      </c>
      <c r="P914">
        <v>31</v>
      </c>
      <c r="Q914">
        <v>68</v>
      </c>
      <c r="R914">
        <v>456</v>
      </c>
      <c r="S914">
        <v>1110</v>
      </c>
      <c r="T914">
        <v>1270</v>
      </c>
      <c r="U914">
        <v>2380</v>
      </c>
      <c r="V914">
        <v>67</v>
      </c>
      <c r="W914">
        <v>440</v>
      </c>
      <c r="X914">
        <v>300</v>
      </c>
      <c r="Y914">
        <v>610</v>
      </c>
      <c r="Z914">
        <v>150</v>
      </c>
      <c r="AA914">
        <v>223</v>
      </c>
      <c r="AB914" t="s">
        <v>1734</v>
      </c>
    </row>
    <row r="915" spans="1:28" x14ac:dyDescent="0.3">
      <c r="A915">
        <v>2407</v>
      </c>
      <c r="B915" t="s">
        <v>1303</v>
      </c>
      <c r="C915">
        <v>0</v>
      </c>
      <c r="D915">
        <v>1610612752</v>
      </c>
      <c r="E915" t="s">
        <v>1248</v>
      </c>
      <c r="F915">
        <v>260</v>
      </c>
      <c r="G915">
        <v>73</v>
      </c>
      <c r="H915">
        <v>190</v>
      </c>
      <c r="I915">
        <v>13250</v>
      </c>
      <c r="J915">
        <v>108</v>
      </c>
      <c r="K915">
        <v>270</v>
      </c>
      <c r="L915">
        <v>4</v>
      </c>
      <c r="M915">
        <v>40</v>
      </c>
      <c r="N915">
        <v>250</v>
      </c>
      <c r="O915">
        <v>16</v>
      </c>
      <c r="P915">
        <v>49</v>
      </c>
      <c r="Q915">
        <v>93</v>
      </c>
      <c r="R915">
        <v>527</v>
      </c>
      <c r="S915">
        <v>1180</v>
      </c>
      <c r="T915">
        <v>1250</v>
      </c>
      <c r="U915">
        <v>2430</v>
      </c>
      <c r="V915">
        <v>66</v>
      </c>
      <c r="W915">
        <v>360</v>
      </c>
      <c r="X915">
        <v>230</v>
      </c>
      <c r="Y915">
        <v>640</v>
      </c>
      <c r="Z915">
        <v>132</v>
      </c>
      <c r="AA915">
        <v>269</v>
      </c>
      <c r="AB915" t="s">
        <v>1734</v>
      </c>
    </row>
    <row r="916" spans="1:28" x14ac:dyDescent="0.3">
      <c r="A916">
        <v>2407</v>
      </c>
      <c r="B916" t="s">
        <v>1304</v>
      </c>
      <c r="C916">
        <v>0</v>
      </c>
      <c r="D916">
        <v>1610612752</v>
      </c>
      <c r="E916" t="s">
        <v>1248</v>
      </c>
      <c r="F916">
        <v>270</v>
      </c>
      <c r="G916">
        <v>56</v>
      </c>
      <c r="H916">
        <v>360</v>
      </c>
      <c r="I916">
        <v>13100</v>
      </c>
      <c r="J916">
        <v>120</v>
      </c>
      <c r="K916">
        <v>273</v>
      </c>
      <c r="L916">
        <v>44</v>
      </c>
      <c r="M916">
        <v>10</v>
      </c>
      <c r="N916">
        <v>120</v>
      </c>
      <c r="O916">
        <v>83</v>
      </c>
      <c r="P916">
        <v>55</v>
      </c>
      <c r="Q916">
        <v>90</v>
      </c>
      <c r="R916">
        <v>611</v>
      </c>
      <c r="S916">
        <v>1280</v>
      </c>
      <c r="T916">
        <v>1030</v>
      </c>
      <c r="U916">
        <v>2310</v>
      </c>
      <c r="V916">
        <v>80</v>
      </c>
      <c r="W916">
        <v>470</v>
      </c>
      <c r="X916">
        <v>330</v>
      </c>
      <c r="Y916">
        <v>650</v>
      </c>
      <c r="Z916">
        <v>153</v>
      </c>
      <c r="AA916">
        <v>296</v>
      </c>
      <c r="AB916" t="s">
        <v>1734</v>
      </c>
    </row>
    <row r="917" spans="1:28" x14ac:dyDescent="0.3">
      <c r="A917">
        <v>2407</v>
      </c>
      <c r="B917" t="s">
        <v>1305</v>
      </c>
      <c r="C917">
        <v>0</v>
      </c>
      <c r="D917">
        <v>1610612752</v>
      </c>
      <c r="E917" t="s">
        <v>1248</v>
      </c>
      <c r="F917">
        <v>280</v>
      </c>
      <c r="G917">
        <v>52</v>
      </c>
      <c r="H917">
        <v>370</v>
      </c>
      <c r="I917">
        <v>14620</v>
      </c>
      <c r="J917">
        <v>102</v>
      </c>
      <c r="K917">
        <v>230</v>
      </c>
      <c r="L917">
        <v>443</v>
      </c>
      <c r="M917">
        <v>200</v>
      </c>
      <c r="N917">
        <v>620</v>
      </c>
      <c r="O917">
        <v>323</v>
      </c>
      <c r="P917">
        <v>60</v>
      </c>
      <c r="Q917">
        <v>93</v>
      </c>
      <c r="R917">
        <v>645</v>
      </c>
      <c r="S917">
        <v>990</v>
      </c>
      <c r="T917">
        <v>1240</v>
      </c>
      <c r="U917">
        <v>2230</v>
      </c>
      <c r="V917">
        <v>83</v>
      </c>
      <c r="W917">
        <v>530</v>
      </c>
      <c r="X917">
        <v>580</v>
      </c>
      <c r="Y917">
        <v>620</v>
      </c>
      <c r="Z917">
        <v>157</v>
      </c>
      <c r="AA917">
        <v>284</v>
      </c>
      <c r="AB917" t="s">
        <v>1734</v>
      </c>
    </row>
    <row r="918" spans="1:28" x14ac:dyDescent="0.3">
      <c r="A918">
        <v>2407</v>
      </c>
      <c r="B918" t="s">
        <v>1312</v>
      </c>
      <c r="C918">
        <v>0</v>
      </c>
      <c r="D918">
        <v>1610612752</v>
      </c>
      <c r="E918" t="s">
        <v>1248</v>
      </c>
      <c r="F918">
        <v>290</v>
      </c>
      <c r="G918">
        <v>24</v>
      </c>
      <c r="H918">
        <v>90</v>
      </c>
      <c r="I918">
        <v>4630</v>
      </c>
      <c r="J918">
        <v>19</v>
      </c>
      <c r="K918">
        <v>50</v>
      </c>
      <c r="L918">
        <v>38</v>
      </c>
      <c r="M918">
        <v>10</v>
      </c>
      <c r="N918">
        <v>30</v>
      </c>
      <c r="O918">
        <v>333</v>
      </c>
      <c r="P918">
        <v>8</v>
      </c>
      <c r="Q918">
        <v>19</v>
      </c>
      <c r="R918">
        <v>421</v>
      </c>
      <c r="S918">
        <v>420</v>
      </c>
      <c r="T918">
        <v>390</v>
      </c>
      <c r="U918">
        <v>810</v>
      </c>
      <c r="V918">
        <v>25</v>
      </c>
      <c r="W918">
        <v>240</v>
      </c>
      <c r="X918">
        <v>140</v>
      </c>
      <c r="Y918">
        <v>170</v>
      </c>
      <c r="Z918">
        <v>54</v>
      </c>
      <c r="AA918">
        <v>47</v>
      </c>
      <c r="AB918" t="s">
        <v>1734</v>
      </c>
    </row>
    <row r="919" spans="1:28" x14ac:dyDescent="0.3">
      <c r="A919">
        <v>2407</v>
      </c>
      <c r="B919" t="s">
        <v>1290</v>
      </c>
      <c r="C919">
        <v>0</v>
      </c>
      <c r="D919">
        <v>1610612752</v>
      </c>
      <c r="E919" t="s">
        <v>1248</v>
      </c>
      <c r="F919">
        <v>300</v>
      </c>
      <c r="G919">
        <v>39</v>
      </c>
      <c r="H919">
        <v>40</v>
      </c>
      <c r="I919">
        <v>7290</v>
      </c>
      <c r="J919">
        <v>59</v>
      </c>
      <c r="K919">
        <v>144</v>
      </c>
      <c r="L919">
        <v>41</v>
      </c>
      <c r="M919">
        <v>30</v>
      </c>
      <c r="N919">
        <v>160</v>
      </c>
      <c r="O919">
        <v>188</v>
      </c>
      <c r="P919">
        <v>49</v>
      </c>
      <c r="Q919">
        <v>72</v>
      </c>
      <c r="R919">
        <v>681</v>
      </c>
      <c r="S919">
        <v>690</v>
      </c>
      <c r="T919">
        <v>830</v>
      </c>
      <c r="U919">
        <v>1520</v>
      </c>
      <c r="V919">
        <v>26</v>
      </c>
      <c r="W919">
        <v>290</v>
      </c>
      <c r="X919">
        <v>250</v>
      </c>
      <c r="Y919">
        <v>290</v>
      </c>
      <c r="Z919">
        <v>89</v>
      </c>
      <c r="AA919">
        <v>170</v>
      </c>
      <c r="AB919" t="s">
        <v>1734</v>
      </c>
    </row>
    <row r="920" spans="1:28" x14ac:dyDescent="0.3">
      <c r="A920">
        <v>204038</v>
      </c>
      <c r="B920" t="s">
        <v>1343</v>
      </c>
      <c r="C920">
        <v>0</v>
      </c>
      <c r="D920">
        <v>1610612752</v>
      </c>
      <c r="E920" t="s">
        <v>1248</v>
      </c>
      <c r="F920">
        <v>230</v>
      </c>
      <c r="G920">
        <v>45</v>
      </c>
      <c r="H920">
        <v>410</v>
      </c>
      <c r="I920">
        <v>14570</v>
      </c>
      <c r="J920">
        <v>204</v>
      </c>
      <c r="K920">
        <v>511</v>
      </c>
      <c r="L920">
        <v>399</v>
      </c>
      <c r="M920">
        <v>620</v>
      </c>
      <c r="N920">
        <v>1760</v>
      </c>
      <c r="O920">
        <v>352</v>
      </c>
      <c r="P920">
        <v>63</v>
      </c>
      <c r="Q920">
        <v>78</v>
      </c>
      <c r="R920">
        <v>808</v>
      </c>
      <c r="S920">
        <v>370</v>
      </c>
      <c r="T920">
        <v>1530</v>
      </c>
      <c r="U920">
        <v>1900</v>
      </c>
      <c r="V920">
        <v>150</v>
      </c>
      <c r="W920">
        <v>520</v>
      </c>
      <c r="X920">
        <v>120</v>
      </c>
      <c r="Y920">
        <v>610</v>
      </c>
      <c r="Z920">
        <v>129</v>
      </c>
      <c r="AA920">
        <v>533</v>
      </c>
      <c r="AB920" t="s">
        <v>1735</v>
      </c>
    </row>
    <row r="921" spans="1:28" x14ac:dyDescent="0.3">
      <c r="A921">
        <v>204038</v>
      </c>
      <c r="B921" t="s">
        <v>1279</v>
      </c>
      <c r="C921">
        <v>0</v>
      </c>
      <c r="D921">
        <v>1610612752</v>
      </c>
      <c r="E921" t="s">
        <v>1248</v>
      </c>
      <c r="F921">
        <v>240</v>
      </c>
      <c r="G921">
        <v>82</v>
      </c>
      <c r="H921">
        <v>70</v>
      </c>
      <c r="I921">
        <v>20330</v>
      </c>
      <c r="J921">
        <v>231</v>
      </c>
      <c r="K921">
        <v>588</v>
      </c>
      <c r="L921">
        <v>393</v>
      </c>
      <c r="M921">
        <v>770</v>
      </c>
      <c r="N921">
        <v>2240</v>
      </c>
      <c r="O921">
        <v>344</v>
      </c>
      <c r="P921">
        <v>86</v>
      </c>
      <c r="Q921">
        <v>114</v>
      </c>
      <c r="R921">
        <v>754</v>
      </c>
      <c r="S921">
        <v>430</v>
      </c>
      <c r="T921">
        <v>2450</v>
      </c>
      <c r="U921">
        <v>2880</v>
      </c>
      <c r="V921">
        <v>207</v>
      </c>
      <c r="W921">
        <v>770</v>
      </c>
      <c r="X921">
        <v>220</v>
      </c>
      <c r="Y921">
        <v>610</v>
      </c>
      <c r="Z921">
        <v>177</v>
      </c>
      <c r="AA921">
        <v>625</v>
      </c>
      <c r="AB921" t="s">
        <v>1735</v>
      </c>
    </row>
    <row r="922" spans="1:28" x14ac:dyDescent="0.3">
      <c r="A922">
        <v>76408</v>
      </c>
      <c r="B922" t="s">
        <v>1339</v>
      </c>
      <c r="C922">
        <v>0</v>
      </c>
      <c r="D922">
        <v>1610612752</v>
      </c>
      <c r="E922" t="s">
        <v>1248</v>
      </c>
      <c r="F922">
        <v>290</v>
      </c>
      <c r="G922">
        <v>54</v>
      </c>
      <c r="J922">
        <v>93</v>
      </c>
      <c r="K922">
        <v>356</v>
      </c>
      <c r="L922">
        <v>261</v>
      </c>
      <c r="P922">
        <v>52</v>
      </c>
      <c r="Q922">
        <v>91</v>
      </c>
      <c r="R922">
        <v>571</v>
      </c>
      <c r="V922">
        <v>22</v>
      </c>
      <c r="Z922">
        <v>113</v>
      </c>
      <c r="AA922">
        <v>238</v>
      </c>
      <c r="AB922" t="s">
        <v>1736</v>
      </c>
    </row>
    <row r="923" spans="1:28" x14ac:dyDescent="0.3">
      <c r="A923">
        <v>76228</v>
      </c>
      <c r="B923" t="s">
        <v>1284</v>
      </c>
      <c r="C923">
        <v>0</v>
      </c>
      <c r="D923">
        <v>1610612752</v>
      </c>
      <c r="E923" t="s">
        <v>1248</v>
      </c>
      <c r="F923">
        <v>220</v>
      </c>
      <c r="G923">
        <v>39</v>
      </c>
      <c r="H923">
        <v>0</v>
      </c>
      <c r="I923">
        <v>3310</v>
      </c>
      <c r="J923">
        <v>54</v>
      </c>
      <c r="K923">
        <v>103</v>
      </c>
      <c r="L923">
        <v>524</v>
      </c>
      <c r="M923">
        <v>0</v>
      </c>
      <c r="N923">
        <v>10</v>
      </c>
      <c r="O923">
        <v>0</v>
      </c>
      <c r="P923">
        <v>29</v>
      </c>
      <c r="Q923">
        <v>48</v>
      </c>
      <c r="R923">
        <v>604</v>
      </c>
      <c r="S923">
        <v>310</v>
      </c>
      <c r="T923">
        <v>340</v>
      </c>
      <c r="U923">
        <v>650</v>
      </c>
      <c r="V923">
        <v>11</v>
      </c>
      <c r="W923">
        <v>120</v>
      </c>
      <c r="X923">
        <v>50</v>
      </c>
      <c r="Y923">
        <v>280</v>
      </c>
      <c r="Z923">
        <v>37</v>
      </c>
      <c r="AA923">
        <v>137</v>
      </c>
      <c r="AB923" t="s">
        <v>1737</v>
      </c>
    </row>
    <row r="924" spans="1:28" x14ac:dyDescent="0.3">
      <c r="A924">
        <v>2405</v>
      </c>
      <c r="B924" t="s">
        <v>1312</v>
      </c>
      <c r="C924">
        <v>0</v>
      </c>
      <c r="D924">
        <v>1610612752</v>
      </c>
      <c r="E924" t="s">
        <v>1248</v>
      </c>
      <c r="F924">
        <v>280</v>
      </c>
      <c r="G924">
        <v>78</v>
      </c>
      <c r="H924">
        <v>780</v>
      </c>
      <c r="I924">
        <v>28700</v>
      </c>
      <c r="J924">
        <v>744</v>
      </c>
      <c r="K924">
        <v>1482</v>
      </c>
      <c r="L924">
        <v>502</v>
      </c>
      <c r="M924">
        <v>100</v>
      </c>
      <c r="N924">
        <v>230</v>
      </c>
      <c r="O924">
        <v>435</v>
      </c>
      <c r="P924">
        <v>473</v>
      </c>
      <c r="Q924">
        <v>597</v>
      </c>
      <c r="R924">
        <v>792</v>
      </c>
      <c r="S924">
        <v>1980</v>
      </c>
      <c r="T924">
        <v>4380</v>
      </c>
      <c r="U924">
        <v>6360</v>
      </c>
      <c r="V924">
        <v>202</v>
      </c>
      <c r="W924">
        <v>710</v>
      </c>
      <c r="X924">
        <v>1500</v>
      </c>
      <c r="Y924">
        <v>2500</v>
      </c>
      <c r="Z924">
        <v>274</v>
      </c>
      <c r="AA924">
        <v>1971</v>
      </c>
      <c r="AB924" t="s">
        <v>1738</v>
      </c>
    </row>
    <row r="925" spans="1:28" x14ac:dyDescent="0.3">
      <c r="A925">
        <v>2405</v>
      </c>
      <c r="B925" t="s">
        <v>1290</v>
      </c>
      <c r="C925">
        <v>0</v>
      </c>
      <c r="D925">
        <v>1610612752</v>
      </c>
      <c r="E925" t="s">
        <v>1248</v>
      </c>
      <c r="F925">
        <v>290</v>
      </c>
      <c r="G925">
        <v>47</v>
      </c>
      <c r="H925">
        <v>470</v>
      </c>
      <c r="I925">
        <v>15430</v>
      </c>
      <c r="J925">
        <v>316</v>
      </c>
      <c r="K925">
        <v>654</v>
      </c>
      <c r="L925">
        <v>483</v>
      </c>
      <c r="M925">
        <v>50</v>
      </c>
      <c r="N925">
        <v>210</v>
      </c>
      <c r="O925">
        <v>238</v>
      </c>
      <c r="P925">
        <v>186</v>
      </c>
      <c r="Q925">
        <v>243</v>
      </c>
      <c r="R925">
        <v>765</v>
      </c>
      <c r="S925">
        <v>1060</v>
      </c>
      <c r="T925">
        <v>2610</v>
      </c>
      <c r="U925">
        <v>3670</v>
      </c>
      <c r="V925">
        <v>52</v>
      </c>
      <c r="W925">
        <v>380</v>
      </c>
      <c r="X925">
        <v>450</v>
      </c>
      <c r="Y925">
        <v>1120</v>
      </c>
      <c r="Z925">
        <v>138</v>
      </c>
      <c r="AA925">
        <v>823</v>
      </c>
      <c r="AB925" t="s">
        <v>1738</v>
      </c>
    </row>
    <row r="926" spans="1:28" x14ac:dyDescent="0.3">
      <c r="A926">
        <v>2405</v>
      </c>
      <c r="B926" t="s">
        <v>1292</v>
      </c>
      <c r="C926">
        <v>0</v>
      </c>
      <c r="D926">
        <v>1610612752</v>
      </c>
      <c r="E926" t="s">
        <v>1248</v>
      </c>
      <c r="F926">
        <v>300</v>
      </c>
      <c r="G926">
        <v>29</v>
      </c>
      <c r="H926">
        <v>0</v>
      </c>
      <c r="I926">
        <v>6820</v>
      </c>
      <c r="J926">
        <v>154</v>
      </c>
      <c r="K926">
        <v>267</v>
      </c>
      <c r="L926">
        <v>577</v>
      </c>
      <c r="M926">
        <v>0</v>
      </c>
      <c r="N926">
        <v>0</v>
      </c>
      <c r="O926">
        <v>0</v>
      </c>
      <c r="P926">
        <v>105</v>
      </c>
      <c r="Q926">
        <v>130</v>
      </c>
      <c r="R926">
        <v>808</v>
      </c>
      <c r="S926">
        <v>600</v>
      </c>
      <c r="T926">
        <v>850</v>
      </c>
      <c r="U926">
        <v>1450</v>
      </c>
      <c r="V926">
        <v>13</v>
      </c>
      <c r="W926">
        <v>100</v>
      </c>
      <c r="X926">
        <v>210</v>
      </c>
      <c r="Y926">
        <v>500</v>
      </c>
      <c r="Z926">
        <v>89</v>
      </c>
      <c r="AA926">
        <v>413</v>
      </c>
      <c r="AB926" t="s">
        <v>1738</v>
      </c>
    </row>
    <row r="927" spans="1:28" x14ac:dyDescent="0.3">
      <c r="A927">
        <v>2405</v>
      </c>
      <c r="B927" t="s">
        <v>1337</v>
      </c>
      <c r="C927">
        <v>0</v>
      </c>
      <c r="D927">
        <v>1610612752</v>
      </c>
      <c r="E927" t="s">
        <v>1248</v>
      </c>
      <c r="F927">
        <v>310</v>
      </c>
      <c r="G927">
        <v>65</v>
      </c>
      <c r="H927">
        <v>210</v>
      </c>
      <c r="I927">
        <v>14660</v>
      </c>
      <c r="J927">
        <v>311</v>
      </c>
      <c r="K927">
        <v>558</v>
      </c>
      <c r="L927">
        <v>557</v>
      </c>
      <c r="M927">
        <v>0</v>
      </c>
      <c r="N927">
        <v>0</v>
      </c>
      <c r="O927">
        <v>0</v>
      </c>
      <c r="P927">
        <v>150</v>
      </c>
      <c r="Q927">
        <v>203</v>
      </c>
      <c r="R927">
        <v>739</v>
      </c>
      <c r="S927">
        <v>1120</v>
      </c>
      <c r="T927">
        <v>2080</v>
      </c>
      <c r="U927">
        <v>3200</v>
      </c>
      <c r="V927">
        <v>34</v>
      </c>
      <c r="W927">
        <v>230</v>
      </c>
      <c r="X927">
        <v>370</v>
      </c>
      <c r="Y927">
        <v>910</v>
      </c>
      <c r="Z927">
        <v>159</v>
      </c>
      <c r="AA927">
        <v>772</v>
      </c>
      <c r="AB927" t="s">
        <v>1738</v>
      </c>
    </row>
    <row r="928" spans="1:28" x14ac:dyDescent="0.3">
      <c r="A928">
        <v>2405</v>
      </c>
      <c r="B928" t="s">
        <v>1343</v>
      </c>
      <c r="C928">
        <v>0</v>
      </c>
      <c r="D928">
        <v>1610612752</v>
      </c>
      <c r="E928" t="s">
        <v>1248</v>
      </c>
      <c r="F928">
        <v>320</v>
      </c>
      <c r="G928">
        <v>36</v>
      </c>
      <c r="H928">
        <v>140</v>
      </c>
      <c r="I928">
        <v>8650</v>
      </c>
      <c r="J928">
        <v>169</v>
      </c>
      <c r="K928">
        <v>311</v>
      </c>
      <c r="L928">
        <v>543</v>
      </c>
      <c r="M928">
        <v>0</v>
      </c>
      <c r="N928">
        <v>30</v>
      </c>
      <c r="O928">
        <v>0</v>
      </c>
      <c r="P928">
        <v>94</v>
      </c>
      <c r="Q928">
        <v>127</v>
      </c>
      <c r="R928">
        <v>74</v>
      </c>
      <c r="S928">
        <v>830</v>
      </c>
      <c r="T928">
        <v>1620</v>
      </c>
      <c r="U928">
        <v>2450</v>
      </c>
      <c r="V928">
        <v>37</v>
      </c>
      <c r="W928">
        <v>200</v>
      </c>
      <c r="X928">
        <v>340</v>
      </c>
      <c r="Y928">
        <v>630</v>
      </c>
      <c r="Z928">
        <v>111</v>
      </c>
      <c r="AA928">
        <v>432</v>
      </c>
      <c r="AB928" t="s">
        <v>1738</v>
      </c>
    </row>
    <row r="929" spans="1:28" x14ac:dyDescent="0.3">
      <c r="A929">
        <v>76404</v>
      </c>
      <c r="B929" t="s">
        <v>1378</v>
      </c>
      <c r="C929">
        <v>0</v>
      </c>
      <c r="D929">
        <v>1610612752</v>
      </c>
      <c r="E929" t="s">
        <v>1248</v>
      </c>
      <c r="F929">
        <v>280</v>
      </c>
      <c r="G929">
        <v>65</v>
      </c>
      <c r="J929">
        <v>211</v>
      </c>
      <c r="K929">
        <v>656</v>
      </c>
      <c r="L929">
        <v>322</v>
      </c>
      <c r="P929">
        <v>140</v>
      </c>
      <c r="Q929">
        <v>263</v>
      </c>
      <c r="R929">
        <v>532</v>
      </c>
      <c r="U929">
        <v>4910</v>
      </c>
      <c r="V929">
        <v>162</v>
      </c>
      <c r="Z929">
        <v>269</v>
      </c>
      <c r="AA929">
        <v>562</v>
      </c>
      <c r="AB929" t="s">
        <v>1739</v>
      </c>
    </row>
    <row r="930" spans="1:28" x14ac:dyDescent="0.3">
      <c r="A930">
        <v>76404</v>
      </c>
      <c r="B930" t="s">
        <v>1247</v>
      </c>
      <c r="C930">
        <v>0</v>
      </c>
      <c r="D930">
        <v>1610612752</v>
      </c>
      <c r="E930" t="s">
        <v>1248</v>
      </c>
      <c r="F930">
        <v>290</v>
      </c>
      <c r="G930">
        <v>62</v>
      </c>
      <c r="I930">
        <v>21010</v>
      </c>
      <c r="J930">
        <v>244</v>
      </c>
      <c r="K930">
        <v>729</v>
      </c>
      <c r="L930">
        <v>335</v>
      </c>
      <c r="P930">
        <v>170</v>
      </c>
      <c r="Q930">
        <v>256</v>
      </c>
      <c r="R930">
        <v>664</v>
      </c>
      <c r="U930">
        <v>7310</v>
      </c>
      <c r="V930">
        <v>209</v>
      </c>
      <c r="Z930">
        <v>227</v>
      </c>
      <c r="AA930">
        <v>658</v>
      </c>
      <c r="AB930" t="s">
        <v>1739</v>
      </c>
    </row>
    <row r="931" spans="1:28" x14ac:dyDescent="0.3">
      <c r="A931">
        <v>76404</v>
      </c>
      <c r="B931" t="s">
        <v>1390</v>
      </c>
      <c r="C931">
        <v>0</v>
      </c>
      <c r="D931">
        <v>1610612752</v>
      </c>
      <c r="E931" t="s">
        <v>1248</v>
      </c>
      <c r="F931">
        <v>300</v>
      </c>
      <c r="G931">
        <v>70</v>
      </c>
      <c r="I931">
        <v>24960</v>
      </c>
      <c r="J931">
        <v>272</v>
      </c>
      <c r="K931">
        <v>794</v>
      </c>
      <c r="L931">
        <v>343</v>
      </c>
      <c r="P931">
        <v>200</v>
      </c>
      <c r="Q931">
        <v>343</v>
      </c>
      <c r="R931">
        <v>583</v>
      </c>
      <c r="U931">
        <v>7610</v>
      </c>
      <c r="V931">
        <v>231</v>
      </c>
      <c r="Z931">
        <v>274</v>
      </c>
      <c r="AA931">
        <v>744</v>
      </c>
      <c r="AB931" t="s">
        <v>1739</v>
      </c>
    </row>
    <row r="932" spans="1:28" x14ac:dyDescent="0.3">
      <c r="A932">
        <v>76404</v>
      </c>
      <c r="B932" t="s">
        <v>1349</v>
      </c>
      <c r="C932">
        <v>0</v>
      </c>
      <c r="D932">
        <v>1610612752</v>
      </c>
      <c r="E932" t="s">
        <v>1248</v>
      </c>
      <c r="F932">
        <v>310</v>
      </c>
      <c r="G932">
        <v>72</v>
      </c>
      <c r="I932">
        <v>21790</v>
      </c>
      <c r="J932">
        <v>257</v>
      </c>
      <c r="K932">
        <v>699</v>
      </c>
      <c r="L932">
        <v>368</v>
      </c>
      <c r="P932">
        <v>174</v>
      </c>
      <c r="Q932">
        <v>277</v>
      </c>
      <c r="R932">
        <v>628</v>
      </c>
      <c r="U932">
        <v>5280</v>
      </c>
      <c r="V932">
        <v>176</v>
      </c>
      <c r="Z932">
        <v>215</v>
      </c>
      <c r="AA932">
        <v>688</v>
      </c>
      <c r="AB932" t="s">
        <v>1739</v>
      </c>
    </row>
    <row r="933" spans="1:28" x14ac:dyDescent="0.3">
      <c r="A933">
        <v>76404</v>
      </c>
      <c r="B933" t="s">
        <v>1362</v>
      </c>
      <c r="C933">
        <v>0</v>
      </c>
      <c r="D933">
        <v>1610612752</v>
      </c>
      <c r="E933" t="s">
        <v>1248</v>
      </c>
      <c r="F933">
        <v>320</v>
      </c>
      <c r="G933">
        <v>72</v>
      </c>
      <c r="I933">
        <v>23900</v>
      </c>
      <c r="J933">
        <v>360</v>
      </c>
      <c r="K933">
        <v>932</v>
      </c>
      <c r="L933">
        <v>386</v>
      </c>
      <c r="P933">
        <v>224</v>
      </c>
      <c r="Q933">
        <v>328</v>
      </c>
      <c r="R933">
        <v>683</v>
      </c>
      <c r="U933">
        <v>6120</v>
      </c>
      <c r="V933">
        <v>198</v>
      </c>
      <c r="Z933">
        <v>221</v>
      </c>
      <c r="AA933">
        <v>944</v>
      </c>
      <c r="AB933" t="s">
        <v>1739</v>
      </c>
    </row>
    <row r="934" spans="1:28" x14ac:dyDescent="0.3">
      <c r="A934">
        <v>76404</v>
      </c>
      <c r="B934" t="s">
        <v>1315</v>
      </c>
      <c r="C934">
        <v>0</v>
      </c>
      <c r="D934">
        <v>1610612752</v>
      </c>
      <c r="E934" t="s">
        <v>1248</v>
      </c>
      <c r="F934">
        <v>330</v>
      </c>
      <c r="G934">
        <v>64</v>
      </c>
      <c r="I934">
        <v>15370</v>
      </c>
      <c r="J934">
        <v>213</v>
      </c>
      <c r="K934">
        <v>541</v>
      </c>
      <c r="L934">
        <v>394</v>
      </c>
      <c r="P934">
        <v>135</v>
      </c>
      <c r="Q934">
        <v>191</v>
      </c>
      <c r="R934">
        <v>707</v>
      </c>
      <c r="U934">
        <v>3860</v>
      </c>
      <c r="V934">
        <v>151</v>
      </c>
      <c r="Z934">
        <v>189</v>
      </c>
      <c r="AA934">
        <v>561</v>
      </c>
      <c r="AB934" t="s">
        <v>1739</v>
      </c>
    </row>
    <row r="935" spans="1:28" x14ac:dyDescent="0.3">
      <c r="A935">
        <v>76404</v>
      </c>
      <c r="B935" t="s">
        <v>1318</v>
      </c>
      <c r="C935">
        <v>0</v>
      </c>
      <c r="D935">
        <v>1610612752</v>
      </c>
      <c r="E935" t="s">
        <v>1248</v>
      </c>
      <c r="F935">
        <v>340</v>
      </c>
      <c r="G935">
        <v>71</v>
      </c>
      <c r="I935">
        <v>22310</v>
      </c>
      <c r="J935">
        <v>308</v>
      </c>
      <c r="K935">
        <v>818</v>
      </c>
      <c r="L935">
        <v>377</v>
      </c>
      <c r="P935">
        <v>146</v>
      </c>
      <c r="Q935">
        <v>217</v>
      </c>
      <c r="R935">
        <v>673</v>
      </c>
      <c r="U935">
        <v>5570</v>
      </c>
      <c r="V935">
        <v>164</v>
      </c>
      <c r="Z935">
        <v>243</v>
      </c>
      <c r="AA935">
        <v>762</v>
      </c>
      <c r="AB935" t="s">
        <v>1739</v>
      </c>
    </row>
    <row r="936" spans="1:28" x14ac:dyDescent="0.3">
      <c r="A936">
        <v>201568</v>
      </c>
      <c r="B936" t="s">
        <v>1304</v>
      </c>
      <c r="C936">
        <v>0</v>
      </c>
      <c r="D936">
        <v>1610612752</v>
      </c>
      <c r="E936" t="s">
        <v>1248</v>
      </c>
      <c r="F936">
        <v>200</v>
      </c>
      <c r="G936">
        <v>28</v>
      </c>
      <c r="H936">
        <v>20</v>
      </c>
      <c r="I936">
        <v>4120</v>
      </c>
      <c r="J936">
        <v>56</v>
      </c>
      <c r="K936">
        <v>125</v>
      </c>
      <c r="L936">
        <v>448</v>
      </c>
      <c r="M936">
        <v>320</v>
      </c>
      <c r="N936">
        <v>720</v>
      </c>
      <c r="O936">
        <v>444</v>
      </c>
      <c r="P936">
        <v>26</v>
      </c>
      <c r="Q936">
        <v>27</v>
      </c>
      <c r="R936">
        <v>963</v>
      </c>
      <c r="S936">
        <v>130</v>
      </c>
      <c r="T936">
        <v>420</v>
      </c>
      <c r="U936">
        <v>550</v>
      </c>
      <c r="V936">
        <v>15</v>
      </c>
      <c r="W936">
        <v>140</v>
      </c>
      <c r="X936">
        <v>40</v>
      </c>
      <c r="Y936">
        <v>150</v>
      </c>
      <c r="Z936">
        <v>48</v>
      </c>
      <c r="AA936">
        <v>170</v>
      </c>
      <c r="AB936" t="s">
        <v>1740</v>
      </c>
    </row>
    <row r="937" spans="1:28" x14ac:dyDescent="0.3">
      <c r="A937">
        <v>201568</v>
      </c>
      <c r="B937" t="s">
        <v>1305</v>
      </c>
      <c r="C937">
        <v>0</v>
      </c>
      <c r="D937">
        <v>1610612752</v>
      </c>
      <c r="E937" t="s">
        <v>1248</v>
      </c>
      <c r="F937">
        <v>210</v>
      </c>
      <c r="G937">
        <v>81</v>
      </c>
      <c r="H937">
        <v>740</v>
      </c>
      <c r="I937">
        <v>27470</v>
      </c>
      <c r="J937">
        <v>392</v>
      </c>
      <c r="K937">
        <v>927</v>
      </c>
      <c r="L937">
        <v>423</v>
      </c>
      <c r="M937">
        <v>1860</v>
      </c>
      <c r="N937">
        <v>4880</v>
      </c>
      <c r="O937">
        <v>381</v>
      </c>
      <c r="P937">
        <v>251</v>
      </c>
      <c r="Q937">
        <v>307</v>
      </c>
      <c r="R937">
        <v>818</v>
      </c>
      <c r="S937">
        <v>650</v>
      </c>
      <c r="T937">
        <v>3330</v>
      </c>
      <c r="U937">
        <v>3980</v>
      </c>
      <c r="V937">
        <v>135</v>
      </c>
      <c r="W937">
        <v>750</v>
      </c>
      <c r="X937">
        <v>580</v>
      </c>
      <c r="Y937">
        <v>1100</v>
      </c>
      <c r="Z937">
        <v>191</v>
      </c>
      <c r="AA937">
        <v>1221</v>
      </c>
      <c r="AB937" t="s">
        <v>1740</v>
      </c>
    </row>
    <row r="938" spans="1:28" x14ac:dyDescent="0.3">
      <c r="A938">
        <v>201568</v>
      </c>
      <c r="B938" t="s">
        <v>1312</v>
      </c>
      <c r="C938">
        <v>0</v>
      </c>
      <c r="D938">
        <v>1610612752</v>
      </c>
      <c r="E938" t="s">
        <v>1248</v>
      </c>
      <c r="F938">
        <v>220</v>
      </c>
      <c r="G938">
        <v>48</v>
      </c>
      <c r="H938">
        <v>480</v>
      </c>
      <c r="I938">
        <v>16710</v>
      </c>
      <c r="J938">
        <v>211</v>
      </c>
      <c r="K938">
        <v>509</v>
      </c>
      <c r="L938">
        <v>415</v>
      </c>
      <c r="M938">
        <v>830</v>
      </c>
      <c r="N938">
        <v>2390</v>
      </c>
      <c r="O938">
        <v>347</v>
      </c>
      <c r="P938">
        <v>259</v>
      </c>
      <c r="Q938">
        <v>290</v>
      </c>
      <c r="R938">
        <v>893</v>
      </c>
      <c r="S938">
        <v>480</v>
      </c>
      <c r="T938">
        <v>1810</v>
      </c>
      <c r="U938">
        <v>2290</v>
      </c>
      <c r="V938">
        <v>82</v>
      </c>
      <c r="W938">
        <v>380</v>
      </c>
      <c r="X938">
        <v>180</v>
      </c>
      <c r="Y938">
        <v>580</v>
      </c>
      <c r="Z938">
        <v>117</v>
      </c>
      <c r="AA938">
        <v>764</v>
      </c>
      <c r="AB938" t="s">
        <v>1740</v>
      </c>
    </row>
    <row r="939" spans="1:28" x14ac:dyDescent="0.3">
      <c r="A939">
        <v>1629610</v>
      </c>
      <c r="B939" t="s">
        <v>1369</v>
      </c>
      <c r="C939">
        <v>0</v>
      </c>
      <c r="D939">
        <v>1610612752</v>
      </c>
      <c r="E939" t="s">
        <v>1248</v>
      </c>
      <c r="F939">
        <v>260</v>
      </c>
      <c r="G939">
        <v>17</v>
      </c>
      <c r="H939">
        <v>0</v>
      </c>
      <c r="I939">
        <v>460</v>
      </c>
      <c r="J939">
        <v>6</v>
      </c>
      <c r="K939">
        <v>17</v>
      </c>
      <c r="L939">
        <v>353</v>
      </c>
      <c r="M939">
        <v>20</v>
      </c>
      <c r="N939">
        <v>100</v>
      </c>
      <c r="O939">
        <v>2</v>
      </c>
      <c r="P939">
        <v>0</v>
      </c>
      <c r="Q939">
        <v>2</v>
      </c>
      <c r="R939">
        <v>0</v>
      </c>
      <c r="S939">
        <v>0</v>
      </c>
      <c r="T939">
        <v>50</v>
      </c>
      <c r="U939">
        <v>50</v>
      </c>
      <c r="V939">
        <v>5</v>
      </c>
      <c r="W939">
        <v>0</v>
      </c>
      <c r="X939">
        <v>10</v>
      </c>
      <c r="Y939">
        <v>30</v>
      </c>
      <c r="Z939">
        <v>2</v>
      </c>
      <c r="AA939">
        <v>14</v>
      </c>
      <c r="AB939" t="s">
        <v>1741</v>
      </c>
    </row>
    <row r="940" spans="1:28" x14ac:dyDescent="0.3">
      <c r="A940">
        <v>76182</v>
      </c>
      <c r="B940" t="s">
        <v>1323</v>
      </c>
      <c r="C940">
        <v>0</v>
      </c>
      <c r="D940">
        <v>1610612752</v>
      </c>
      <c r="E940" t="s">
        <v>1248</v>
      </c>
      <c r="F940">
        <v>220</v>
      </c>
      <c r="G940">
        <v>36</v>
      </c>
      <c r="I940">
        <v>3630</v>
      </c>
      <c r="J940">
        <v>54</v>
      </c>
      <c r="K940">
        <v>142</v>
      </c>
      <c r="L940">
        <v>38</v>
      </c>
      <c r="P940">
        <v>9</v>
      </c>
      <c r="Q940">
        <v>17</v>
      </c>
      <c r="R940">
        <v>529</v>
      </c>
      <c r="U940">
        <v>360</v>
      </c>
      <c r="V940">
        <v>45</v>
      </c>
      <c r="Z940">
        <v>34</v>
      </c>
      <c r="AA940">
        <v>117</v>
      </c>
      <c r="AB940" t="s">
        <v>1742</v>
      </c>
    </row>
    <row r="941" spans="1:28" x14ac:dyDescent="0.3">
      <c r="A941">
        <v>1744</v>
      </c>
      <c r="B941" t="s">
        <v>1300</v>
      </c>
      <c r="C941">
        <v>0</v>
      </c>
      <c r="D941">
        <v>1610612752</v>
      </c>
      <c r="E941" t="s">
        <v>1248</v>
      </c>
      <c r="F941">
        <v>300</v>
      </c>
      <c r="G941">
        <v>45</v>
      </c>
      <c r="H941">
        <v>90</v>
      </c>
      <c r="I941">
        <v>4060</v>
      </c>
      <c r="J941">
        <v>56</v>
      </c>
      <c r="K941">
        <v>121</v>
      </c>
      <c r="L941">
        <v>463</v>
      </c>
      <c r="M941">
        <v>0</v>
      </c>
      <c r="N941">
        <v>0</v>
      </c>
      <c r="O941">
        <v>0</v>
      </c>
      <c r="P941">
        <v>25</v>
      </c>
      <c r="Q941">
        <v>40</v>
      </c>
      <c r="R941">
        <v>625</v>
      </c>
      <c r="S941">
        <v>390</v>
      </c>
      <c r="T941">
        <v>520</v>
      </c>
      <c r="U941">
        <v>910</v>
      </c>
      <c r="V941">
        <v>12</v>
      </c>
      <c r="W941">
        <v>30</v>
      </c>
      <c r="X941">
        <v>230</v>
      </c>
      <c r="Y941">
        <v>510</v>
      </c>
      <c r="Z941">
        <v>104</v>
      </c>
      <c r="AA941">
        <v>137</v>
      </c>
      <c r="AB941" t="s">
        <v>1743</v>
      </c>
    </row>
    <row r="942" spans="1:28" x14ac:dyDescent="0.3">
      <c r="A942">
        <v>1744</v>
      </c>
      <c r="B942" t="s">
        <v>1302</v>
      </c>
      <c r="C942">
        <v>0</v>
      </c>
      <c r="D942">
        <v>1610612752</v>
      </c>
      <c r="E942" t="s">
        <v>1248</v>
      </c>
      <c r="F942">
        <v>310</v>
      </c>
      <c r="G942">
        <v>41</v>
      </c>
      <c r="H942">
        <v>110</v>
      </c>
      <c r="I942">
        <v>2730</v>
      </c>
      <c r="J942">
        <v>33</v>
      </c>
      <c r="K942">
        <v>79</v>
      </c>
      <c r="L942">
        <v>418</v>
      </c>
      <c r="M942">
        <v>0</v>
      </c>
      <c r="N942">
        <v>0</v>
      </c>
      <c r="O942">
        <v>0</v>
      </c>
      <c r="P942">
        <v>10</v>
      </c>
      <c r="Q942">
        <v>18</v>
      </c>
      <c r="R942">
        <v>556</v>
      </c>
      <c r="S942">
        <v>210</v>
      </c>
      <c r="T942">
        <v>450</v>
      </c>
      <c r="U942">
        <v>660</v>
      </c>
      <c r="V942">
        <v>3</v>
      </c>
      <c r="W942">
        <v>60</v>
      </c>
      <c r="X942">
        <v>150</v>
      </c>
      <c r="Y942">
        <v>230</v>
      </c>
      <c r="Z942">
        <v>73</v>
      </c>
      <c r="AA942">
        <v>76</v>
      </c>
      <c r="AB942" t="s">
        <v>1743</v>
      </c>
    </row>
    <row r="943" spans="1:28" x14ac:dyDescent="0.3">
      <c r="A943">
        <v>1744</v>
      </c>
      <c r="B943" t="s">
        <v>1303</v>
      </c>
      <c r="C943">
        <v>0</v>
      </c>
      <c r="D943">
        <v>1610612752</v>
      </c>
      <c r="E943" t="s">
        <v>1248</v>
      </c>
      <c r="F943">
        <v>320</v>
      </c>
      <c r="G943">
        <v>2</v>
      </c>
      <c r="H943">
        <v>0</v>
      </c>
      <c r="I943">
        <v>50</v>
      </c>
      <c r="J943">
        <v>1</v>
      </c>
      <c r="K943">
        <v>1</v>
      </c>
      <c r="L943">
        <v>10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10</v>
      </c>
      <c r="S943">
        <v>0</v>
      </c>
      <c r="T943">
        <v>30</v>
      </c>
      <c r="U943">
        <v>30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</v>
      </c>
      <c r="AB943" t="s">
        <v>1743</v>
      </c>
    </row>
    <row r="944" spans="1:28" x14ac:dyDescent="0.3">
      <c r="A944">
        <v>1744</v>
      </c>
      <c r="B944" t="s">
        <v>1304</v>
      </c>
      <c r="C944">
        <v>0</v>
      </c>
      <c r="D944">
        <v>1610612752</v>
      </c>
      <c r="E944" t="s">
        <v>1248</v>
      </c>
      <c r="F944">
        <v>330</v>
      </c>
      <c r="G944">
        <v>2</v>
      </c>
      <c r="H944">
        <v>0</v>
      </c>
      <c r="I944">
        <v>100</v>
      </c>
      <c r="J944">
        <v>3</v>
      </c>
      <c r="K944">
        <v>8</v>
      </c>
      <c r="L944">
        <v>375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10</v>
      </c>
      <c r="T944">
        <v>20</v>
      </c>
      <c r="U944">
        <v>30</v>
      </c>
      <c r="V944">
        <v>0</v>
      </c>
      <c r="W944">
        <v>10</v>
      </c>
      <c r="X944">
        <v>10</v>
      </c>
      <c r="Y944">
        <v>10</v>
      </c>
      <c r="Z944">
        <v>2</v>
      </c>
      <c r="AA944">
        <v>6</v>
      </c>
      <c r="AB944" t="s">
        <v>1743</v>
      </c>
    </row>
    <row r="945" spans="1:28" x14ac:dyDescent="0.3">
      <c r="A945">
        <v>76773</v>
      </c>
      <c r="B945" t="s">
        <v>1299</v>
      </c>
      <c r="C945">
        <v>0</v>
      </c>
      <c r="D945">
        <v>1610612752</v>
      </c>
      <c r="E945" t="s">
        <v>1248</v>
      </c>
      <c r="F945">
        <v>220</v>
      </c>
      <c r="G945">
        <v>52</v>
      </c>
      <c r="J945">
        <v>157</v>
      </c>
      <c r="K945">
        <v>479</v>
      </c>
      <c r="L945">
        <v>328</v>
      </c>
      <c r="P945">
        <v>120</v>
      </c>
      <c r="Q945">
        <v>169</v>
      </c>
      <c r="R945">
        <v>71</v>
      </c>
      <c r="V945">
        <v>63</v>
      </c>
      <c r="Z945">
        <v>127</v>
      </c>
      <c r="AA945">
        <v>434</v>
      </c>
      <c r="AB945" t="s">
        <v>1744</v>
      </c>
    </row>
    <row r="946" spans="1:28" x14ac:dyDescent="0.3">
      <c r="A946">
        <v>76773</v>
      </c>
      <c r="B946" t="s">
        <v>1266</v>
      </c>
      <c r="C946">
        <v>0</v>
      </c>
      <c r="D946">
        <v>1610612752</v>
      </c>
      <c r="E946" t="s">
        <v>1248</v>
      </c>
      <c r="F946">
        <v>230</v>
      </c>
      <c r="G946">
        <v>68</v>
      </c>
      <c r="J946">
        <v>263</v>
      </c>
      <c r="K946">
        <v>664</v>
      </c>
      <c r="L946">
        <v>396</v>
      </c>
      <c r="P946">
        <v>277</v>
      </c>
      <c r="Q946">
        <v>366</v>
      </c>
      <c r="R946">
        <v>757</v>
      </c>
      <c r="V946">
        <v>56</v>
      </c>
      <c r="Z946">
        <v>215</v>
      </c>
      <c r="AA946">
        <v>803</v>
      </c>
      <c r="AB946" t="s">
        <v>1744</v>
      </c>
    </row>
    <row r="947" spans="1:28" x14ac:dyDescent="0.3">
      <c r="A947">
        <v>76773</v>
      </c>
      <c r="B947" t="s">
        <v>1378</v>
      </c>
      <c r="C947">
        <v>0</v>
      </c>
      <c r="D947">
        <v>1610612752</v>
      </c>
      <c r="E947" t="s">
        <v>1248</v>
      </c>
      <c r="F947">
        <v>240</v>
      </c>
      <c r="G947">
        <v>66</v>
      </c>
      <c r="J947">
        <v>293</v>
      </c>
      <c r="K947">
        <v>705</v>
      </c>
      <c r="L947">
        <v>416</v>
      </c>
      <c r="P947">
        <v>259</v>
      </c>
      <c r="Q947">
        <v>354</v>
      </c>
      <c r="R947">
        <v>732</v>
      </c>
      <c r="U947">
        <v>8000</v>
      </c>
      <c r="V947">
        <v>180</v>
      </c>
      <c r="Z947">
        <v>244</v>
      </c>
      <c r="AA947">
        <v>845</v>
      </c>
      <c r="AB947" t="s">
        <v>1744</v>
      </c>
    </row>
    <row r="948" spans="1:28" x14ac:dyDescent="0.3">
      <c r="A948">
        <v>76773</v>
      </c>
      <c r="B948" t="s">
        <v>1247</v>
      </c>
      <c r="C948">
        <v>0</v>
      </c>
      <c r="D948">
        <v>1610612752</v>
      </c>
      <c r="E948" t="s">
        <v>1248</v>
      </c>
      <c r="F948">
        <v>250</v>
      </c>
      <c r="G948">
        <v>66</v>
      </c>
      <c r="I948">
        <v>19310</v>
      </c>
      <c r="J948">
        <v>233</v>
      </c>
      <c r="K948">
        <v>527</v>
      </c>
      <c r="L948">
        <v>442</v>
      </c>
      <c r="P948">
        <v>275</v>
      </c>
      <c r="Q948">
        <v>341</v>
      </c>
      <c r="R948">
        <v>806</v>
      </c>
      <c r="U948">
        <v>6610</v>
      </c>
      <c r="V948">
        <v>115</v>
      </c>
      <c r="Z948">
        <v>223</v>
      </c>
      <c r="AA948">
        <v>741</v>
      </c>
      <c r="AB948" t="s">
        <v>1744</v>
      </c>
    </row>
    <row r="949" spans="1:28" x14ac:dyDescent="0.3">
      <c r="A949">
        <v>76773</v>
      </c>
      <c r="B949" t="s">
        <v>1390</v>
      </c>
      <c r="C949">
        <v>0</v>
      </c>
      <c r="D949">
        <v>1610612752</v>
      </c>
      <c r="E949" t="s">
        <v>1248</v>
      </c>
      <c r="F949">
        <v>260</v>
      </c>
      <c r="G949">
        <v>70</v>
      </c>
      <c r="I949">
        <v>23330</v>
      </c>
      <c r="J949">
        <v>282</v>
      </c>
      <c r="K949">
        <v>635</v>
      </c>
      <c r="L949">
        <v>444</v>
      </c>
      <c r="P949">
        <v>301</v>
      </c>
      <c r="Q949">
        <v>430</v>
      </c>
      <c r="R949">
        <v>7</v>
      </c>
      <c r="U949">
        <v>9160</v>
      </c>
      <c r="V949">
        <v>126</v>
      </c>
      <c r="Z949">
        <v>224</v>
      </c>
      <c r="AA949">
        <v>865</v>
      </c>
      <c r="AB949" t="s">
        <v>1744</v>
      </c>
    </row>
    <row r="950" spans="1:28" x14ac:dyDescent="0.3">
      <c r="A950">
        <v>76773</v>
      </c>
      <c r="B950" t="s">
        <v>1349</v>
      </c>
      <c r="C950">
        <v>0</v>
      </c>
      <c r="D950">
        <v>1610612752</v>
      </c>
      <c r="E950" t="s">
        <v>1248</v>
      </c>
      <c r="F950">
        <v>270</v>
      </c>
      <c r="G950">
        <v>72</v>
      </c>
      <c r="I950">
        <v>26900</v>
      </c>
      <c r="J950">
        <v>258</v>
      </c>
      <c r="K950">
        <v>639</v>
      </c>
      <c r="L950">
        <v>404</v>
      </c>
      <c r="P950">
        <v>433</v>
      </c>
      <c r="Q950">
        <v>552</v>
      </c>
      <c r="R950">
        <v>784</v>
      </c>
      <c r="U950">
        <v>10980</v>
      </c>
      <c r="V950">
        <v>153</v>
      </c>
      <c r="Z950">
        <v>208</v>
      </c>
      <c r="AA950">
        <v>949</v>
      </c>
      <c r="AB950" t="s">
        <v>1744</v>
      </c>
    </row>
    <row r="951" spans="1:28" x14ac:dyDescent="0.3">
      <c r="A951">
        <v>76773</v>
      </c>
      <c r="B951" t="s">
        <v>1362</v>
      </c>
      <c r="C951">
        <v>0</v>
      </c>
      <c r="D951">
        <v>1610612752</v>
      </c>
      <c r="E951" t="s">
        <v>1248</v>
      </c>
      <c r="F951">
        <v>280</v>
      </c>
      <c r="G951">
        <v>72</v>
      </c>
      <c r="I951">
        <v>25480</v>
      </c>
      <c r="J951">
        <v>330</v>
      </c>
      <c r="K951">
        <v>859</v>
      </c>
      <c r="L951">
        <v>384</v>
      </c>
      <c r="P951">
        <v>393</v>
      </c>
      <c r="Q951">
        <v>483</v>
      </c>
      <c r="R951">
        <v>814</v>
      </c>
      <c r="U951">
        <v>9950</v>
      </c>
      <c r="V951">
        <v>176</v>
      </c>
      <c r="Z951">
        <v>206</v>
      </c>
      <c r="AA951">
        <v>1053</v>
      </c>
      <c r="AB951" t="s">
        <v>1744</v>
      </c>
    </row>
    <row r="952" spans="1:28" x14ac:dyDescent="0.3">
      <c r="A952">
        <v>76773</v>
      </c>
      <c r="B952" t="s">
        <v>1315</v>
      </c>
      <c r="C952">
        <v>0</v>
      </c>
      <c r="D952">
        <v>1610612752</v>
      </c>
      <c r="E952" t="s">
        <v>1248</v>
      </c>
      <c r="F952">
        <v>290</v>
      </c>
      <c r="G952">
        <v>72</v>
      </c>
      <c r="I952">
        <v>23780</v>
      </c>
      <c r="J952">
        <v>322</v>
      </c>
      <c r="K952">
        <v>834</v>
      </c>
      <c r="L952">
        <v>386</v>
      </c>
      <c r="P952">
        <v>358</v>
      </c>
      <c r="Q952">
        <v>455</v>
      </c>
      <c r="R952">
        <v>787</v>
      </c>
      <c r="U952">
        <v>7400</v>
      </c>
      <c r="V952">
        <v>168</v>
      </c>
      <c r="Z952">
        <v>220</v>
      </c>
      <c r="AA952">
        <v>1002</v>
      </c>
      <c r="AB952" t="s">
        <v>1744</v>
      </c>
    </row>
    <row r="953" spans="1:28" x14ac:dyDescent="0.3">
      <c r="A953">
        <v>76773</v>
      </c>
      <c r="B953" t="s">
        <v>1318</v>
      </c>
      <c r="C953">
        <v>0</v>
      </c>
      <c r="D953">
        <v>1610612752</v>
      </c>
      <c r="E953" t="s">
        <v>1248</v>
      </c>
      <c r="F953">
        <v>300</v>
      </c>
      <c r="G953">
        <v>72</v>
      </c>
      <c r="I953">
        <v>19430</v>
      </c>
      <c r="J953">
        <v>332</v>
      </c>
      <c r="K953">
        <v>817</v>
      </c>
      <c r="L953">
        <v>406</v>
      </c>
      <c r="P953">
        <v>415</v>
      </c>
      <c r="Q953">
        <v>519</v>
      </c>
      <c r="R953">
        <v>8</v>
      </c>
      <c r="U953">
        <v>7250</v>
      </c>
      <c r="V953">
        <v>85</v>
      </c>
      <c r="Z953">
        <v>202</v>
      </c>
      <c r="AA953">
        <v>1079</v>
      </c>
      <c r="AB953" t="s">
        <v>1744</v>
      </c>
    </row>
    <row r="954" spans="1:28" x14ac:dyDescent="0.3">
      <c r="A954">
        <v>76403</v>
      </c>
      <c r="B954" t="s">
        <v>1412</v>
      </c>
      <c r="C954">
        <v>0</v>
      </c>
      <c r="D954">
        <v>1610612752</v>
      </c>
      <c r="E954" t="s">
        <v>1248</v>
      </c>
      <c r="F954">
        <v>230</v>
      </c>
      <c r="G954">
        <v>70</v>
      </c>
      <c r="I954">
        <v>8770</v>
      </c>
      <c r="J954">
        <v>161</v>
      </c>
      <c r="K954">
        <v>391</v>
      </c>
      <c r="L954">
        <v>412</v>
      </c>
      <c r="P954">
        <v>54</v>
      </c>
      <c r="Q954">
        <v>78</v>
      </c>
      <c r="R954">
        <v>692</v>
      </c>
      <c r="U954">
        <v>1830</v>
      </c>
      <c r="V954">
        <v>67</v>
      </c>
      <c r="Z954">
        <v>113</v>
      </c>
      <c r="AA954">
        <v>376</v>
      </c>
      <c r="AB954" t="s">
        <v>1745</v>
      </c>
    </row>
    <row r="955" spans="1:28" x14ac:dyDescent="0.3">
      <c r="A955">
        <v>76162</v>
      </c>
      <c r="B955" t="s">
        <v>1356</v>
      </c>
      <c r="C955">
        <v>0</v>
      </c>
      <c r="D955">
        <v>1610612752</v>
      </c>
      <c r="E955" t="s">
        <v>1248</v>
      </c>
      <c r="F955">
        <v>230</v>
      </c>
      <c r="G955">
        <v>55</v>
      </c>
      <c r="I955">
        <v>4750</v>
      </c>
      <c r="J955">
        <v>78</v>
      </c>
      <c r="K955">
        <v>205</v>
      </c>
      <c r="L955">
        <v>38</v>
      </c>
      <c r="P955">
        <v>73</v>
      </c>
      <c r="Q955">
        <v>86</v>
      </c>
      <c r="R955">
        <v>849</v>
      </c>
      <c r="U955">
        <v>820</v>
      </c>
      <c r="V955">
        <v>64</v>
      </c>
      <c r="Z955">
        <v>67</v>
      </c>
      <c r="AA955">
        <v>229</v>
      </c>
      <c r="AB955" t="s">
        <v>1746</v>
      </c>
    </row>
    <row r="956" spans="1:28" x14ac:dyDescent="0.3">
      <c r="A956">
        <v>76162</v>
      </c>
      <c r="B956" t="s">
        <v>1357</v>
      </c>
      <c r="C956">
        <v>0</v>
      </c>
      <c r="D956">
        <v>1610612752</v>
      </c>
      <c r="E956" t="s">
        <v>1248</v>
      </c>
      <c r="F956">
        <v>240</v>
      </c>
      <c r="G956">
        <v>66</v>
      </c>
      <c r="I956">
        <v>9860</v>
      </c>
      <c r="J956">
        <v>210</v>
      </c>
      <c r="K956">
        <v>465</v>
      </c>
      <c r="L956">
        <v>452</v>
      </c>
      <c r="P956">
        <v>73</v>
      </c>
      <c r="Q956">
        <v>88</v>
      </c>
      <c r="R956">
        <v>83</v>
      </c>
      <c r="S956">
        <v>480</v>
      </c>
      <c r="T956">
        <v>850</v>
      </c>
      <c r="U956">
        <v>1330</v>
      </c>
      <c r="V956">
        <v>91</v>
      </c>
      <c r="W956">
        <v>650</v>
      </c>
      <c r="X956">
        <v>20</v>
      </c>
      <c r="Z956">
        <v>123</v>
      </c>
      <c r="AA956">
        <v>493</v>
      </c>
      <c r="AB956" t="s">
        <v>1746</v>
      </c>
    </row>
    <row r="957" spans="1:28" x14ac:dyDescent="0.3">
      <c r="A957">
        <v>76162</v>
      </c>
      <c r="B957" t="s">
        <v>1358</v>
      </c>
      <c r="C957">
        <v>0</v>
      </c>
      <c r="D957">
        <v>1610612752</v>
      </c>
      <c r="E957" t="s">
        <v>1248</v>
      </c>
      <c r="F957">
        <v>250</v>
      </c>
      <c r="G957">
        <v>47</v>
      </c>
      <c r="I957">
        <v>8760</v>
      </c>
      <c r="J957">
        <v>179</v>
      </c>
      <c r="K957">
        <v>400</v>
      </c>
      <c r="L957">
        <v>448</v>
      </c>
      <c r="P957">
        <v>69</v>
      </c>
      <c r="Q957">
        <v>96</v>
      </c>
      <c r="R957">
        <v>719</v>
      </c>
      <c r="S957">
        <v>290</v>
      </c>
      <c r="T957">
        <v>580</v>
      </c>
      <c r="U957">
        <v>870</v>
      </c>
      <c r="V957">
        <v>105</v>
      </c>
      <c r="W957">
        <v>290</v>
      </c>
      <c r="X957">
        <v>30</v>
      </c>
      <c r="Z957">
        <v>96</v>
      </c>
      <c r="AA957">
        <v>427</v>
      </c>
      <c r="AB957" t="s">
        <v>1746</v>
      </c>
    </row>
    <row r="958" spans="1:28" x14ac:dyDescent="0.3">
      <c r="A958">
        <v>1564</v>
      </c>
      <c r="B958" t="s">
        <v>1464</v>
      </c>
      <c r="C958">
        <v>0</v>
      </c>
      <c r="D958">
        <v>1610612752</v>
      </c>
      <c r="E958" t="s">
        <v>1248</v>
      </c>
      <c r="F958">
        <v>270</v>
      </c>
      <c r="G958">
        <v>2</v>
      </c>
      <c r="H958">
        <v>0</v>
      </c>
      <c r="I958">
        <v>50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3</v>
      </c>
      <c r="Q958">
        <v>4</v>
      </c>
      <c r="R958">
        <v>75</v>
      </c>
      <c r="S958">
        <v>10</v>
      </c>
      <c r="T958">
        <v>0</v>
      </c>
      <c r="U958">
        <v>10</v>
      </c>
      <c r="V958">
        <v>0</v>
      </c>
      <c r="W958">
        <v>0</v>
      </c>
      <c r="X958">
        <v>0</v>
      </c>
      <c r="Y958">
        <v>20</v>
      </c>
      <c r="Z958">
        <v>1</v>
      </c>
      <c r="AA958">
        <v>3</v>
      </c>
      <c r="AB958" t="s">
        <v>1747</v>
      </c>
    </row>
    <row r="959" spans="1:28" x14ac:dyDescent="0.3">
      <c r="A959">
        <v>77116</v>
      </c>
      <c r="B959" t="s">
        <v>1299</v>
      </c>
      <c r="C959">
        <v>0</v>
      </c>
      <c r="D959">
        <v>1610612752</v>
      </c>
      <c r="E959" t="s">
        <v>1248</v>
      </c>
      <c r="F959">
        <v>240</v>
      </c>
      <c r="G959">
        <v>11</v>
      </c>
      <c r="J959">
        <v>18</v>
      </c>
      <c r="K959">
        <v>48</v>
      </c>
      <c r="L959">
        <v>375</v>
      </c>
      <c r="P959">
        <v>6</v>
      </c>
      <c r="Q959">
        <v>12</v>
      </c>
      <c r="R959">
        <v>5</v>
      </c>
      <c r="V959">
        <v>5</v>
      </c>
      <c r="Z959">
        <v>20</v>
      </c>
      <c r="AA959">
        <v>42</v>
      </c>
      <c r="AB959" t="s">
        <v>1748</v>
      </c>
    </row>
    <row r="960" spans="1:28" x14ac:dyDescent="0.3">
      <c r="A960">
        <v>77116</v>
      </c>
      <c r="B960" t="s">
        <v>1266</v>
      </c>
      <c r="C960">
        <v>0</v>
      </c>
      <c r="D960">
        <v>1610612752</v>
      </c>
      <c r="E960" t="s">
        <v>1248</v>
      </c>
      <c r="F960">
        <v>250</v>
      </c>
      <c r="G960">
        <v>29</v>
      </c>
      <c r="J960">
        <v>19</v>
      </c>
      <c r="K960">
        <v>64</v>
      </c>
      <c r="L960">
        <v>297</v>
      </c>
      <c r="P960">
        <v>14</v>
      </c>
      <c r="Q960">
        <v>31</v>
      </c>
      <c r="R960">
        <v>452</v>
      </c>
      <c r="V960">
        <v>20</v>
      </c>
      <c r="Z960">
        <v>53</v>
      </c>
      <c r="AA960">
        <v>52</v>
      </c>
      <c r="AB960" t="s">
        <v>1748</v>
      </c>
    </row>
    <row r="961" spans="1:28" x14ac:dyDescent="0.3">
      <c r="A961">
        <v>76770</v>
      </c>
      <c r="B961" t="s">
        <v>1274</v>
      </c>
      <c r="C961">
        <v>0</v>
      </c>
      <c r="D961">
        <v>1610612752</v>
      </c>
      <c r="E961" t="s">
        <v>1248</v>
      </c>
      <c r="F961">
        <v>290</v>
      </c>
      <c r="G961">
        <v>18</v>
      </c>
      <c r="H961">
        <v>0</v>
      </c>
      <c r="I961">
        <v>780</v>
      </c>
      <c r="J961">
        <v>9</v>
      </c>
      <c r="K961">
        <v>20</v>
      </c>
      <c r="L961">
        <v>45</v>
      </c>
      <c r="M961">
        <v>20</v>
      </c>
      <c r="N961">
        <v>50</v>
      </c>
      <c r="O961">
        <v>4</v>
      </c>
      <c r="P961">
        <v>13</v>
      </c>
      <c r="Q961">
        <v>15</v>
      </c>
      <c r="R961">
        <v>867</v>
      </c>
      <c r="S961">
        <v>30</v>
      </c>
      <c r="T961">
        <v>100</v>
      </c>
      <c r="U961">
        <v>130</v>
      </c>
      <c r="V961">
        <v>30</v>
      </c>
      <c r="W961">
        <v>20</v>
      </c>
      <c r="X961">
        <v>0</v>
      </c>
      <c r="Y961">
        <v>50</v>
      </c>
      <c r="Z961">
        <v>12</v>
      </c>
      <c r="AA961">
        <v>33</v>
      </c>
      <c r="AB961" t="s">
        <v>1749</v>
      </c>
    </row>
    <row r="962" spans="1:28" x14ac:dyDescent="0.3">
      <c r="A962">
        <v>76402</v>
      </c>
      <c r="B962" t="s">
        <v>1264</v>
      </c>
      <c r="C962">
        <v>0</v>
      </c>
      <c r="D962">
        <v>1610612752</v>
      </c>
      <c r="E962" t="s">
        <v>1248</v>
      </c>
      <c r="F962">
        <v>280</v>
      </c>
      <c r="G962">
        <v>79</v>
      </c>
      <c r="I962">
        <v>20090</v>
      </c>
      <c r="J962">
        <v>215</v>
      </c>
      <c r="K962">
        <v>448</v>
      </c>
      <c r="L962">
        <v>48</v>
      </c>
      <c r="P962">
        <v>81</v>
      </c>
      <c r="Q962">
        <v>103</v>
      </c>
      <c r="R962">
        <v>786</v>
      </c>
      <c r="S962">
        <v>690</v>
      </c>
      <c r="T962">
        <v>1430</v>
      </c>
      <c r="U962">
        <v>2120</v>
      </c>
      <c r="V962">
        <v>283</v>
      </c>
      <c r="W962">
        <v>680</v>
      </c>
      <c r="X962">
        <v>170</v>
      </c>
      <c r="Y962">
        <v>1130</v>
      </c>
      <c r="Z962">
        <v>142</v>
      </c>
      <c r="AA962">
        <v>511</v>
      </c>
      <c r="AB962" t="s">
        <v>1750</v>
      </c>
    </row>
    <row r="963" spans="1:28" x14ac:dyDescent="0.3">
      <c r="A963">
        <v>76402</v>
      </c>
      <c r="B963" t="s">
        <v>1265</v>
      </c>
      <c r="C963">
        <v>0</v>
      </c>
      <c r="D963">
        <v>1610612752</v>
      </c>
      <c r="E963" t="s">
        <v>1248</v>
      </c>
      <c r="F963">
        <v>290</v>
      </c>
      <c r="G963">
        <v>79</v>
      </c>
      <c r="I963">
        <v>23900</v>
      </c>
      <c r="J963">
        <v>311</v>
      </c>
      <c r="K963">
        <v>657</v>
      </c>
      <c r="L963">
        <v>473</v>
      </c>
      <c r="P963">
        <v>130</v>
      </c>
      <c r="Q963">
        <v>171</v>
      </c>
      <c r="R963">
        <v>76</v>
      </c>
      <c r="S963">
        <v>650</v>
      </c>
      <c r="T963">
        <v>1600</v>
      </c>
      <c r="U963">
        <v>2250</v>
      </c>
      <c r="V963">
        <v>376</v>
      </c>
      <c r="W963">
        <v>730</v>
      </c>
      <c r="X963">
        <v>110</v>
      </c>
      <c r="Y963">
        <v>1420</v>
      </c>
      <c r="Z963">
        <v>147</v>
      </c>
      <c r="AA963">
        <v>752</v>
      </c>
      <c r="AB963" t="s">
        <v>1750</v>
      </c>
    </row>
    <row r="964" spans="1:28" x14ac:dyDescent="0.3">
      <c r="A964">
        <v>76402</v>
      </c>
      <c r="B964" t="s">
        <v>1359</v>
      </c>
      <c r="C964">
        <v>0</v>
      </c>
      <c r="D964">
        <v>1610612752</v>
      </c>
      <c r="E964" t="s">
        <v>1248</v>
      </c>
      <c r="F964">
        <v>300</v>
      </c>
      <c r="G964">
        <v>22</v>
      </c>
      <c r="I964">
        <v>2540</v>
      </c>
      <c r="J964">
        <v>30</v>
      </c>
      <c r="K964">
        <v>69</v>
      </c>
      <c r="L964">
        <v>435</v>
      </c>
      <c r="M964">
        <v>30</v>
      </c>
      <c r="N964">
        <v>80</v>
      </c>
      <c r="O964">
        <v>375</v>
      </c>
      <c r="P964">
        <v>12</v>
      </c>
      <c r="Q964">
        <v>15</v>
      </c>
      <c r="R964">
        <v>8</v>
      </c>
      <c r="S964">
        <v>100</v>
      </c>
      <c r="T964">
        <v>90</v>
      </c>
      <c r="U964">
        <v>190</v>
      </c>
      <c r="V964">
        <v>40</v>
      </c>
      <c r="W964">
        <v>130</v>
      </c>
      <c r="X964">
        <v>20</v>
      </c>
      <c r="Y964">
        <v>170</v>
      </c>
      <c r="Z964">
        <v>13</v>
      </c>
      <c r="AA964">
        <v>75</v>
      </c>
      <c r="AB964" t="s">
        <v>1750</v>
      </c>
    </row>
    <row r="965" spans="1:28" x14ac:dyDescent="0.3">
      <c r="A965">
        <v>76156</v>
      </c>
      <c r="B965" t="s">
        <v>1318</v>
      </c>
      <c r="C965">
        <v>0</v>
      </c>
      <c r="D965">
        <v>1610612752</v>
      </c>
      <c r="E965" t="s">
        <v>1248</v>
      </c>
      <c r="F965">
        <v>240</v>
      </c>
      <c r="G965">
        <v>6</v>
      </c>
      <c r="I965">
        <v>400</v>
      </c>
      <c r="J965">
        <v>3</v>
      </c>
      <c r="K965">
        <v>11</v>
      </c>
      <c r="L965">
        <v>273</v>
      </c>
      <c r="P965">
        <v>2</v>
      </c>
      <c r="Q965">
        <v>2</v>
      </c>
      <c r="R965">
        <v>10</v>
      </c>
      <c r="U965">
        <v>80</v>
      </c>
      <c r="V965">
        <v>1</v>
      </c>
      <c r="Z965">
        <v>4</v>
      </c>
      <c r="AA965">
        <v>8</v>
      </c>
      <c r="AB965" t="s">
        <v>1751</v>
      </c>
    </row>
    <row r="966" spans="1:28" x14ac:dyDescent="0.3">
      <c r="A966">
        <v>202711</v>
      </c>
      <c r="B966" t="s">
        <v>1369</v>
      </c>
      <c r="C966">
        <v>0</v>
      </c>
      <c r="D966">
        <v>1610612752</v>
      </c>
      <c r="E966" t="s">
        <v>1248</v>
      </c>
      <c r="F966">
        <v>350</v>
      </c>
      <c r="G966">
        <v>29</v>
      </c>
      <c r="H966">
        <v>0</v>
      </c>
      <c r="I966">
        <v>5570</v>
      </c>
      <c r="J966">
        <v>110</v>
      </c>
      <c r="K966">
        <v>256</v>
      </c>
      <c r="L966">
        <v>43</v>
      </c>
      <c r="M966">
        <v>470</v>
      </c>
      <c r="N966">
        <v>1270</v>
      </c>
      <c r="O966">
        <v>37</v>
      </c>
      <c r="P966">
        <v>36</v>
      </c>
      <c r="Q966">
        <v>45</v>
      </c>
      <c r="R966">
        <v>8</v>
      </c>
      <c r="S966">
        <v>90</v>
      </c>
      <c r="T966">
        <v>490</v>
      </c>
      <c r="U966">
        <v>580</v>
      </c>
      <c r="V966">
        <v>26</v>
      </c>
      <c r="W966">
        <v>70</v>
      </c>
      <c r="X966">
        <v>10</v>
      </c>
      <c r="Y966">
        <v>380</v>
      </c>
      <c r="Z966">
        <v>38</v>
      </c>
      <c r="AA966">
        <v>303</v>
      </c>
      <c r="AB966" t="s">
        <v>1752</v>
      </c>
    </row>
    <row r="967" spans="1:28" x14ac:dyDescent="0.3">
      <c r="A967">
        <v>77106</v>
      </c>
      <c r="B967" t="s">
        <v>1414</v>
      </c>
      <c r="C967">
        <v>0</v>
      </c>
      <c r="D967">
        <v>1610612752</v>
      </c>
      <c r="E967" t="s">
        <v>1248</v>
      </c>
      <c r="F967">
        <v>220</v>
      </c>
      <c r="G967">
        <v>75</v>
      </c>
      <c r="I967">
        <v>10930</v>
      </c>
      <c r="J967">
        <v>182</v>
      </c>
      <c r="K967">
        <v>455</v>
      </c>
      <c r="L967">
        <v>4</v>
      </c>
      <c r="P967">
        <v>99</v>
      </c>
      <c r="Q967">
        <v>168</v>
      </c>
      <c r="R967">
        <v>589</v>
      </c>
      <c r="U967">
        <v>3380</v>
      </c>
      <c r="V967">
        <v>55</v>
      </c>
      <c r="Z967">
        <v>212</v>
      </c>
      <c r="AA967">
        <v>463</v>
      </c>
      <c r="AB967" t="s">
        <v>1753</v>
      </c>
    </row>
    <row r="968" spans="1:28" x14ac:dyDescent="0.3">
      <c r="A968">
        <v>77106</v>
      </c>
      <c r="B968" t="s">
        <v>1415</v>
      </c>
      <c r="C968">
        <v>0</v>
      </c>
      <c r="D968">
        <v>1610612752</v>
      </c>
      <c r="E968" t="s">
        <v>1248</v>
      </c>
      <c r="F968">
        <v>230</v>
      </c>
      <c r="G968">
        <v>47</v>
      </c>
      <c r="I968">
        <v>9240</v>
      </c>
      <c r="J968">
        <v>126</v>
      </c>
      <c r="K968">
        <v>294</v>
      </c>
      <c r="L968">
        <v>429</v>
      </c>
      <c r="P968">
        <v>80</v>
      </c>
      <c r="Q968">
        <v>119</v>
      </c>
      <c r="R968">
        <v>672</v>
      </c>
      <c r="U968">
        <v>2460</v>
      </c>
      <c r="V968">
        <v>43</v>
      </c>
      <c r="Z968">
        <v>168</v>
      </c>
      <c r="AA968">
        <v>332</v>
      </c>
      <c r="AB968" t="s">
        <v>1753</v>
      </c>
    </row>
    <row r="969" spans="1:28" x14ac:dyDescent="0.3">
      <c r="A969">
        <v>77106</v>
      </c>
      <c r="B969" t="s">
        <v>1417</v>
      </c>
      <c r="C969">
        <v>0</v>
      </c>
      <c r="D969">
        <v>1610612752</v>
      </c>
      <c r="E969" t="s">
        <v>1248</v>
      </c>
      <c r="F969">
        <v>250</v>
      </c>
      <c r="G969">
        <v>71</v>
      </c>
      <c r="I969">
        <v>7710</v>
      </c>
      <c r="J969">
        <v>118</v>
      </c>
      <c r="K969">
        <v>263</v>
      </c>
      <c r="L969">
        <v>449</v>
      </c>
      <c r="P969">
        <v>95</v>
      </c>
      <c r="Q969">
        <v>133</v>
      </c>
      <c r="R969">
        <v>714</v>
      </c>
      <c r="U969">
        <v>2380</v>
      </c>
      <c r="V969">
        <v>31</v>
      </c>
      <c r="Z969">
        <v>169</v>
      </c>
      <c r="AA969">
        <v>331</v>
      </c>
      <c r="AB969" t="s">
        <v>1753</v>
      </c>
    </row>
    <row r="970" spans="1:28" x14ac:dyDescent="0.3">
      <c r="A970">
        <v>77106</v>
      </c>
      <c r="B970" t="s">
        <v>1354</v>
      </c>
      <c r="C970">
        <v>0</v>
      </c>
      <c r="D970">
        <v>1610612752</v>
      </c>
      <c r="E970" t="s">
        <v>1248</v>
      </c>
      <c r="F970">
        <v>260</v>
      </c>
      <c r="G970">
        <v>80</v>
      </c>
      <c r="I970">
        <v>12730</v>
      </c>
      <c r="J970">
        <v>205</v>
      </c>
      <c r="K970">
        <v>466</v>
      </c>
      <c r="L970">
        <v>44</v>
      </c>
      <c r="P970">
        <v>167</v>
      </c>
      <c r="Q970">
        <v>228</v>
      </c>
      <c r="R970">
        <v>732</v>
      </c>
      <c r="U970">
        <v>3260</v>
      </c>
      <c r="V970">
        <v>72</v>
      </c>
      <c r="Z970">
        <v>224</v>
      </c>
      <c r="AA970">
        <v>577</v>
      </c>
      <c r="AB970" t="s">
        <v>1753</v>
      </c>
    </row>
    <row r="971" spans="1:28" x14ac:dyDescent="0.3">
      <c r="A971">
        <v>77106</v>
      </c>
      <c r="B971" t="s">
        <v>1356</v>
      </c>
      <c r="C971">
        <v>0</v>
      </c>
      <c r="D971">
        <v>1610612752</v>
      </c>
      <c r="E971" t="s">
        <v>1248</v>
      </c>
      <c r="F971">
        <v>270</v>
      </c>
      <c r="G971">
        <v>80</v>
      </c>
      <c r="I971">
        <v>13930</v>
      </c>
      <c r="J971">
        <v>245</v>
      </c>
      <c r="K971">
        <v>553</v>
      </c>
      <c r="L971">
        <v>443</v>
      </c>
      <c r="P971">
        <v>154</v>
      </c>
      <c r="Q971">
        <v>195</v>
      </c>
      <c r="R971">
        <v>79</v>
      </c>
      <c r="U971">
        <v>3440</v>
      </c>
      <c r="V971">
        <v>94</v>
      </c>
      <c r="Z971">
        <v>218</v>
      </c>
      <c r="AA971">
        <v>644</v>
      </c>
      <c r="AB971" t="s">
        <v>1753</v>
      </c>
    </row>
    <row r="972" spans="1:28" x14ac:dyDescent="0.3">
      <c r="A972">
        <v>77106</v>
      </c>
      <c r="B972" t="s">
        <v>1357</v>
      </c>
      <c r="C972">
        <v>0</v>
      </c>
      <c r="D972">
        <v>1610612752</v>
      </c>
      <c r="E972" t="s">
        <v>1248</v>
      </c>
      <c r="F972">
        <v>280</v>
      </c>
      <c r="G972">
        <v>82</v>
      </c>
      <c r="I972">
        <v>20500</v>
      </c>
      <c r="J972">
        <v>361</v>
      </c>
      <c r="K972">
        <v>757</v>
      </c>
      <c r="L972">
        <v>477</v>
      </c>
      <c r="P972">
        <v>191</v>
      </c>
      <c r="Q972">
        <v>246</v>
      </c>
      <c r="R972">
        <v>776</v>
      </c>
      <c r="S972">
        <v>1230</v>
      </c>
      <c r="T972">
        <v>3550</v>
      </c>
      <c r="U972">
        <v>4780</v>
      </c>
      <c r="V972">
        <v>134</v>
      </c>
      <c r="W972">
        <v>420</v>
      </c>
      <c r="X972">
        <v>670</v>
      </c>
      <c r="Z972">
        <v>277</v>
      </c>
      <c r="AA972">
        <v>913</v>
      </c>
      <c r="AB972" t="s">
        <v>1753</v>
      </c>
    </row>
    <row r="973" spans="1:28" x14ac:dyDescent="0.3">
      <c r="A973">
        <v>77106</v>
      </c>
      <c r="B973" t="s">
        <v>1358</v>
      </c>
      <c r="C973">
        <v>0</v>
      </c>
      <c r="D973">
        <v>1610612752</v>
      </c>
      <c r="E973" t="s">
        <v>1248</v>
      </c>
      <c r="F973">
        <v>290</v>
      </c>
      <c r="G973">
        <v>78</v>
      </c>
      <c r="I973">
        <v>22850</v>
      </c>
      <c r="J973">
        <v>324</v>
      </c>
      <c r="K973">
        <v>712</v>
      </c>
      <c r="L973">
        <v>455</v>
      </c>
      <c r="P973">
        <v>193</v>
      </c>
      <c r="Q973">
        <v>253</v>
      </c>
      <c r="R973">
        <v>763</v>
      </c>
      <c r="S973">
        <v>1370</v>
      </c>
      <c r="T973">
        <v>4630</v>
      </c>
      <c r="U973">
        <v>6000</v>
      </c>
      <c r="V973">
        <v>136</v>
      </c>
      <c r="W973">
        <v>840</v>
      </c>
      <c r="X973">
        <v>530</v>
      </c>
      <c r="Z973">
        <v>330</v>
      </c>
      <c r="AA973">
        <v>841</v>
      </c>
      <c r="AB973" t="s">
        <v>1753</v>
      </c>
    </row>
    <row r="974" spans="1:28" x14ac:dyDescent="0.3">
      <c r="A974">
        <v>77106</v>
      </c>
      <c r="B974" t="s">
        <v>1261</v>
      </c>
      <c r="C974">
        <v>0</v>
      </c>
      <c r="D974">
        <v>1610612752</v>
      </c>
      <c r="E974" t="s">
        <v>1248</v>
      </c>
      <c r="F974">
        <v>300</v>
      </c>
      <c r="G974">
        <v>80</v>
      </c>
      <c r="I974">
        <v>14610</v>
      </c>
      <c r="J974">
        <v>185</v>
      </c>
      <c r="K974">
        <v>387</v>
      </c>
      <c r="L974">
        <v>478</v>
      </c>
      <c r="P974">
        <v>110</v>
      </c>
      <c r="Q974">
        <v>150</v>
      </c>
      <c r="R974">
        <v>733</v>
      </c>
      <c r="S974">
        <v>800</v>
      </c>
      <c r="T974">
        <v>2630</v>
      </c>
      <c r="U974">
        <v>3430</v>
      </c>
      <c r="V974">
        <v>105</v>
      </c>
      <c r="W974">
        <v>410</v>
      </c>
      <c r="X974">
        <v>200</v>
      </c>
      <c r="Z974">
        <v>275</v>
      </c>
      <c r="AA974">
        <v>480</v>
      </c>
      <c r="AB974" t="s">
        <v>1753</v>
      </c>
    </row>
    <row r="975" spans="1:28" x14ac:dyDescent="0.3">
      <c r="A975">
        <v>77106</v>
      </c>
      <c r="B975" t="s">
        <v>1263</v>
      </c>
      <c r="C975">
        <v>0</v>
      </c>
      <c r="D975">
        <v>1610612752</v>
      </c>
      <c r="E975" t="s">
        <v>1248</v>
      </c>
      <c r="F975">
        <v>310</v>
      </c>
      <c r="G975">
        <v>76</v>
      </c>
      <c r="I975">
        <v>10330</v>
      </c>
      <c r="J975">
        <v>102</v>
      </c>
      <c r="K975">
        <v>232</v>
      </c>
      <c r="L975">
        <v>44</v>
      </c>
      <c r="P975">
        <v>51</v>
      </c>
      <c r="Q975">
        <v>71</v>
      </c>
      <c r="R975">
        <v>718</v>
      </c>
      <c r="S975">
        <v>750</v>
      </c>
      <c r="T975">
        <v>1540</v>
      </c>
      <c r="U975">
        <v>2290</v>
      </c>
      <c r="V975">
        <v>85</v>
      </c>
      <c r="W975">
        <v>330</v>
      </c>
      <c r="X975">
        <v>180</v>
      </c>
      <c r="Z975">
        <v>184</v>
      </c>
      <c r="AA975">
        <v>255</v>
      </c>
      <c r="AB975" t="s">
        <v>1753</v>
      </c>
    </row>
    <row r="976" spans="1:28" x14ac:dyDescent="0.3">
      <c r="A976">
        <v>77106</v>
      </c>
      <c r="B976" t="s">
        <v>1264</v>
      </c>
      <c r="C976">
        <v>0</v>
      </c>
      <c r="D976">
        <v>1610612752</v>
      </c>
      <c r="E976" t="s">
        <v>1248</v>
      </c>
      <c r="F976">
        <v>320</v>
      </c>
      <c r="G976">
        <v>63</v>
      </c>
      <c r="I976">
        <v>6540</v>
      </c>
      <c r="J976">
        <v>55</v>
      </c>
      <c r="K976">
        <v>115</v>
      </c>
      <c r="L976">
        <v>478</v>
      </c>
      <c r="P976">
        <v>43</v>
      </c>
      <c r="Q976">
        <v>56</v>
      </c>
      <c r="R976">
        <v>768</v>
      </c>
      <c r="S976">
        <v>290</v>
      </c>
      <c r="T976">
        <v>810</v>
      </c>
      <c r="U976">
        <v>1100</v>
      </c>
      <c r="V976">
        <v>46</v>
      </c>
      <c r="W976">
        <v>310</v>
      </c>
      <c r="X976">
        <v>150</v>
      </c>
      <c r="Y976">
        <v>470</v>
      </c>
      <c r="Z976">
        <v>106</v>
      </c>
      <c r="AA976">
        <v>153</v>
      </c>
      <c r="AB976" t="s">
        <v>1753</v>
      </c>
    </row>
    <row r="977" spans="1:28" x14ac:dyDescent="0.3">
      <c r="A977">
        <v>2429</v>
      </c>
      <c r="B977" t="s">
        <v>1290</v>
      </c>
      <c r="C977">
        <v>0</v>
      </c>
      <c r="D977">
        <v>1610612752</v>
      </c>
      <c r="E977" t="s">
        <v>1248</v>
      </c>
      <c r="F977">
        <v>340</v>
      </c>
      <c r="G977">
        <v>2</v>
      </c>
      <c r="H977">
        <v>0</v>
      </c>
      <c r="I977">
        <v>130</v>
      </c>
      <c r="J977">
        <v>0</v>
      </c>
      <c r="K977">
        <v>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</v>
      </c>
      <c r="R977">
        <v>0</v>
      </c>
      <c r="S977">
        <v>10</v>
      </c>
      <c r="T977">
        <v>40</v>
      </c>
      <c r="U977">
        <v>50</v>
      </c>
      <c r="V977">
        <v>0</v>
      </c>
      <c r="W977">
        <v>10</v>
      </c>
      <c r="X977">
        <v>10</v>
      </c>
      <c r="Y977">
        <v>10</v>
      </c>
      <c r="Z977">
        <v>4</v>
      </c>
      <c r="AA977">
        <v>0</v>
      </c>
      <c r="AB977" t="s">
        <v>1754</v>
      </c>
    </row>
    <row r="978" spans="1:28" x14ac:dyDescent="0.3">
      <c r="A978">
        <v>201947</v>
      </c>
      <c r="B978" t="s">
        <v>1337</v>
      </c>
      <c r="C978">
        <v>0</v>
      </c>
      <c r="D978">
        <v>1610612752</v>
      </c>
      <c r="E978" t="s">
        <v>1248</v>
      </c>
      <c r="F978">
        <v>260</v>
      </c>
      <c r="G978">
        <v>9</v>
      </c>
      <c r="H978">
        <v>0</v>
      </c>
      <c r="I978">
        <v>700</v>
      </c>
      <c r="J978">
        <v>7</v>
      </c>
      <c r="K978">
        <v>21</v>
      </c>
      <c r="L978">
        <v>333</v>
      </c>
      <c r="M978">
        <v>10</v>
      </c>
      <c r="N978">
        <v>60</v>
      </c>
      <c r="O978">
        <v>167</v>
      </c>
      <c r="P978">
        <v>8</v>
      </c>
      <c r="Q978">
        <v>10</v>
      </c>
      <c r="R978">
        <v>8</v>
      </c>
      <c r="S978">
        <v>20</v>
      </c>
      <c r="T978">
        <v>140</v>
      </c>
      <c r="U978">
        <v>160</v>
      </c>
      <c r="V978">
        <v>2</v>
      </c>
      <c r="W978">
        <v>10</v>
      </c>
      <c r="X978">
        <v>60</v>
      </c>
      <c r="Y978">
        <v>10</v>
      </c>
      <c r="Z978">
        <v>6</v>
      </c>
      <c r="AA978">
        <v>23</v>
      </c>
      <c r="AB978" t="s">
        <v>1755</v>
      </c>
    </row>
    <row r="979" spans="1:28" x14ac:dyDescent="0.3">
      <c r="A979">
        <v>41</v>
      </c>
      <c r="B979" t="s">
        <v>1274</v>
      </c>
      <c r="C979">
        <v>0</v>
      </c>
      <c r="D979">
        <v>1610612752</v>
      </c>
      <c r="E979" t="s">
        <v>1248</v>
      </c>
      <c r="F979">
        <v>260</v>
      </c>
      <c r="G979">
        <v>73</v>
      </c>
      <c r="H979">
        <v>380</v>
      </c>
      <c r="I979">
        <v>14020</v>
      </c>
      <c r="J979">
        <v>162</v>
      </c>
      <c r="K979">
        <v>288</v>
      </c>
      <c r="L979">
        <v>563</v>
      </c>
      <c r="M979">
        <v>0</v>
      </c>
      <c r="N979">
        <v>0</v>
      </c>
      <c r="O979">
        <v>0</v>
      </c>
      <c r="P979">
        <v>50</v>
      </c>
      <c r="Q979">
        <v>105</v>
      </c>
      <c r="R979">
        <v>476</v>
      </c>
      <c r="S979">
        <v>1500</v>
      </c>
      <c r="T979">
        <v>1940</v>
      </c>
      <c r="U979">
        <v>3440</v>
      </c>
      <c r="V979">
        <v>88</v>
      </c>
      <c r="W979">
        <v>760</v>
      </c>
      <c r="X979">
        <v>130</v>
      </c>
      <c r="Y979">
        <v>890</v>
      </c>
      <c r="Z979">
        <v>175</v>
      </c>
      <c r="AA979">
        <v>374</v>
      </c>
      <c r="AB979" t="s">
        <v>1756</v>
      </c>
    </row>
    <row r="980" spans="1:28" x14ac:dyDescent="0.3">
      <c r="A980">
        <v>41</v>
      </c>
      <c r="B980" t="s">
        <v>1275</v>
      </c>
      <c r="C980">
        <v>0</v>
      </c>
      <c r="D980">
        <v>1610612752</v>
      </c>
      <c r="E980" t="s">
        <v>1248</v>
      </c>
      <c r="F980">
        <v>270</v>
      </c>
      <c r="G980">
        <v>58</v>
      </c>
      <c r="H980">
        <v>230</v>
      </c>
      <c r="I980">
        <v>11260</v>
      </c>
      <c r="J980">
        <v>88</v>
      </c>
      <c r="K980">
        <v>193</v>
      </c>
      <c r="L980">
        <v>456</v>
      </c>
      <c r="M980">
        <v>10</v>
      </c>
      <c r="N980">
        <v>50</v>
      </c>
      <c r="O980">
        <v>2</v>
      </c>
      <c r="P980">
        <v>44</v>
      </c>
      <c r="Q980">
        <v>67</v>
      </c>
      <c r="R980">
        <v>657</v>
      </c>
      <c r="S980">
        <v>1130</v>
      </c>
      <c r="T980">
        <v>1490</v>
      </c>
      <c r="U980">
        <v>2620</v>
      </c>
      <c r="V980">
        <v>80</v>
      </c>
      <c r="W980">
        <v>480</v>
      </c>
      <c r="X980">
        <v>230</v>
      </c>
      <c r="Y980">
        <v>790</v>
      </c>
      <c r="Z980">
        <v>159</v>
      </c>
      <c r="AA980">
        <v>221</v>
      </c>
      <c r="AB980" t="s">
        <v>1756</v>
      </c>
    </row>
    <row r="981" spans="1:28" x14ac:dyDescent="0.3">
      <c r="A981">
        <v>349</v>
      </c>
      <c r="B981" t="s">
        <v>1253</v>
      </c>
      <c r="C981">
        <v>0</v>
      </c>
      <c r="D981">
        <v>1610612752</v>
      </c>
      <c r="E981" t="s">
        <v>1248</v>
      </c>
      <c r="F981">
        <v>230</v>
      </c>
      <c r="G981">
        <v>82</v>
      </c>
      <c r="H981">
        <v>800</v>
      </c>
      <c r="I981">
        <v>32490</v>
      </c>
      <c r="J981">
        <v>438</v>
      </c>
      <c r="K981">
        <v>1013</v>
      </c>
      <c r="L981">
        <v>432</v>
      </c>
      <c r="M981">
        <v>320</v>
      </c>
      <c r="N981">
        <v>1260</v>
      </c>
      <c r="O981">
        <v>254</v>
      </c>
      <c r="P981">
        <v>206</v>
      </c>
      <c r="Q981">
        <v>266</v>
      </c>
      <c r="R981">
        <v>774</v>
      </c>
      <c r="S981">
        <v>1200</v>
      </c>
      <c r="T981">
        <v>2760</v>
      </c>
      <c r="U981">
        <v>3960</v>
      </c>
      <c r="V981">
        <v>868</v>
      </c>
      <c r="W981">
        <v>2050</v>
      </c>
      <c r="X981">
        <v>60</v>
      </c>
      <c r="Y981">
        <v>2580</v>
      </c>
      <c r="Z981">
        <v>244</v>
      </c>
      <c r="AA981">
        <v>1114</v>
      </c>
      <c r="AB981" t="s">
        <v>1757</v>
      </c>
    </row>
    <row r="982" spans="1:28" x14ac:dyDescent="0.3">
      <c r="A982">
        <v>349</v>
      </c>
      <c r="B982" t="s">
        <v>1268</v>
      </c>
      <c r="C982">
        <v>0</v>
      </c>
      <c r="D982">
        <v>1610612752</v>
      </c>
      <c r="E982" t="s">
        <v>1248</v>
      </c>
      <c r="F982">
        <v>240</v>
      </c>
      <c r="G982">
        <v>72</v>
      </c>
      <c r="H982">
        <v>720</v>
      </c>
      <c r="I982">
        <v>24770</v>
      </c>
      <c r="J982">
        <v>479</v>
      </c>
      <c r="K982">
        <v>1025</v>
      </c>
      <c r="L982">
        <v>467</v>
      </c>
      <c r="M982">
        <v>810</v>
      </c>
      <c r="N982">
        <v>2400</v>
      </c>
      <c r="O982">
        <v>338</v>
      </c>
      <c r="P982">
        <v>180</v>
      </c>
      <c r="Q982">
        <v>258</v>
      </c>
      <c r="R982">
        <v>698</v>
      </c>
      <c r="S982">
        <v>1060</v>
      </c>
      <c r="T982">
        <v>2350</v>
      </c>
      <c r="U982">
        <v>3410</v>
      </c>
      <c r="V982">
        <v>619</v>
      </c>
      <c r="W982">
        <v>1390</v>
      </c>
      <c r="X982">
        <v>70</v>
      </c>
      <c r="Y982">
        <v>2260</v>
      </c>
      <c r="Z982">
        <v>163</v>
      </c>
      <c r="AA982">
        <v>1219</v>
      </c>
      <c r="AB982" t="s">
        <v>1757</v>
      </c>
    </row>
    <row r="983" spans="1:28" x14ac:dyDescent="0.3">
      <c r="A983">
        <v>349</v>
      </c>
      <c r="B983" t="s">
        <v>1270</v>
      </c>
      <c r="C983">
        <v>0</v>
      </c>
      <c r="D983">
        <v>1610612752</v>
      </c>
      <c r="E983" t="s">
        <v>1248</v>
      </c>
      <c r="F983">
        <v>250</v>
      </c>
      <c r="G983">
        <v>82</v>
      </c>
      <c r="H983">
        <v>690</v>
      </c>
      <c r="I983">
        <v>24280</v>
      </c>
      <c r="J983">
        <v>327</v>
      </c>
      <c r="K983">
        <v>749</v>
      </c>
      <c r="L983">
        <v>437</v>
      </c>
      <c r="M983">
        <v>350</v>
      </c>
      <c r="N983">
        <v>1310</v>
      </c>
      <c r="O983">
        <v>267</v>
      </c>
      <c r="P983">
        <v>120</v>
      </c>
      <c r="Q983">
        <v>165</v>
      </c>
      <c r="R983">
        <v>727</v>
      </c>
      <c r="S983">
        <v>1060</v>
      </c>
      <c r="T983">
        <v>2120</v>
      </c>
      <c r="U983">
        <v>3180</v>
      </c>
      <c r="V983">
        <v>604</v>
      </c>
      <c r="W983">
        <v>1090</v>
      </c>
      <c r="X983">
        <v>40</v>
      </c>
      <c r="Y983">
        <v>2110</v>
      </c>
      <c r="Z983">
        <v>121</v>
      </c>
      <c r="AA983">
        <v>809</v>
      </c>
      <c r="AB983" t="s">
        <v>1757</v>
      </c>
    </row>
    <row r="984" spans="1:28" x14ac:dyDescent="0.3">
      <c r="A984">
        <v>349</v>
      </c>
      <c r="B984" t="s">
        <v>1271</v>
      </c>
      <c r="C984">
        <v>0</v>
      </c>
      <c r="D984">
        <v>1610612752</v>
      </c>
      <c r="E984" t="s">
        <v>1248</v>
      </c>
      <c r="F984">
        <v>260</v>
      </c>
      <c r="G984">
        <v>72</v>
      </c>
      <c r="H984">
        <v>210</v>
      </c>
      <c r="I984">
        <v>15950</v>
      </c>
      <c r="J984">
        <v>250</v>
      </c>
      <c r="K984">
        <v>508</v>
      </c>
      <c r="L984">
        <v>492</v>
      </c>
      <c r="M984">
        <v>130</v>
      </c>
      <c r="N984">
        <v>510</v>
      </c>
      <c r="O984">
        <v>255</v>
      </c>
      <c r="P984">
        <v>117</v>
      </c>
      <c r="Q984">
        <v>160</v>
      </c>
      <c r="R984">
        <v>731</v>
      </c>
      <c r="S984">
        <v>620</v>
      </c>
      <c r="T984">
        <v>1350</v>
      </c>
      <c r="U984">
        <v>1970</v>
      </c>
      <c r="V984">
        <v>452</v>
      </c>
      <c r="W984">
        <v>600</v>
      </c>
      <c r="X984">
        <v>90</v>
      </c>
      <c r="Y984">
        <v>1350</v>
      </c>
      <c r="Z984">
        <v>81</v>
      </c>
      <c r="AA984">
        <v>630</v>
      </c>
      <c r="AB984" t="s">
        <v>1757</v>
      </c>
    </row>
    <row r="985" spans="1:28" x14ac:dyDescent="0.3">
      <c r="A985">
        <v>349</v>
      </c>
      <c r="B985" t="s">
        <v>1272</v>
      </c>
      <c r="C985">
        <v>0</v>
      </c>
      <c r="D985">
        <v>1610612752</v>
      </c>
      <c r="E985" t="s">
        <v>1248</v>
      </c>
      <c r="F985">
        <v>270</v>
      </c>
      <c r="G985">
        <v>81</v>
      </c>
      <c r="H985">
        <v>810</v>
      </c>
      <c r="I985">
        <v>24610</v>
      </c>
      <c r="J985">
        <v>367</v>
      </c>
      <c r="K985">
        <v>747</v>
      </c>
      <c r="L985">
        <v>491</v>
      </c>
      <c r="M985">
        <v>110</v>
      </c>
      <c r="N985">
        <v>430</v>
      </c>
      <c r="O985">
        <v>256</v>
      </c>
      <c r="P985">
        <v>171</v>
      </c>
      <c r="Q985">
        <v>222</v>
      </c>
      <c r="R985">
        <v>77</v>
      </c>
      <c r="S985">
        <v>950</v>
      </c>
      <c r="T985">
        <v>2100</v>
      </c>
      <c r="U985">
        <v>3050</v>
      </c>
      <c r="V985">
        <v>694</v>
      </c>
      <c r="W985">
        <v>1120</v>
      </c>
      <c r="X985">
        <v>130</v>
      </c>
      <c r="Y985">
        <v>2110</v>
      </c>
      <c r="Z985">
        <v>153</v>
      </c>
      <c r="AA985">
        <v>916</v>
      </c>
      <c r="AB985" t="s">
        <v>1757</v>
      </c>
    </row>
    <row r="986" spans="1:28" x14ac:dyDescent="0.3">
      <c r="A986">
        <v>349</v>
      </c>
      <c r="B986" t="s">
        <v>1465</v>
      </c>
      <c r="C986">
        <v>0</v>
      </c>
      <c r="D986">
        <v>1610612752</v>
      </c>
      <c r="E986" t="s">
        <v>1248</v>
      </c>
      <c r="F986">
        <v>360</v>
      </c>
      <c r="G986">
        <v>29</v>
      </c>
      <c r="H986">
        <v>280</v>
      </c>
      <c r="I986">
        <v>7860</v>
      </c>
      <c r="J986">
        <v>74</v>
      </c>
      <c r="K986">
        <v>180</v>
      </c>
      <c r="L986">
        <v>411</v>
      </c>
      <c r="M986">
        <v>130</v>
      </c>
      <c r="N986">
        <v>420</v>
      </c>
      <c r="O986">
        <v>31</v>
      </c>
      <c r="P986">
        <v>9</v>
      </c>
      <c r="Q986">
        <v>17</v>
      </c>
      <c r="R986">
        <v>529</v>
      </c>
      <c r="S986">
        <v>210</v>
      </c>
      <c r="T986">
        <v>990</v>
      </c>
      <c r="U986">
        <v>1200</v>
      </c>
      <c r="V986">
        <v>163</v>
      </c>
      <c r="W986">
        <v>210</v>
      </c>
      <c r="X986">
        <v>0</v>
      </c>
      <c r="Y986">
        <v>580</v>
      </c>
      <c r="Z986">
        <v>56</v>
      </c>
      <c r="AA986">
        <v>170</v>
      </c>
      <c r="AB986" t="s">
        <v>1757</v>
      </c>
    </row>
    <row r="987" spans="1:28" x14ac:dyDescent="0.3">
      <c r="A987">
        <v>349</v>
      </c>
      <c r="B987" t="s">
        <v>1330</v>
      </c>
      <c r="C987">
        <v>0</v>
      </c>
      <c r="D987">
        <v>1610612752</v>
      </c>
      <c r="E987" t="s">
        <v>1248</v>
      </c>
      <c r="F987">
        <v>370</v>
      </c>
      <c r="G987">
        <v>82</v>
      </c>
      <c r="H987">
        <v>820</v>
      </c>
      <c r="I987">
        <v>23670</v>
      </c>
      <c r="J987">
        <v>260</v>
      </c>
      <c r="K987">
        <v>592</v>
      </c>
      <c r="L987">
        <v>439</v>
      </c>
      <c r="M987">
        <v>790</v>
      </c>
      <c r="N987">
        <v>1950</v>
      </c>
      <c r="O987">
        <v>405</v>
      </c>
      <c r="P987">
        <v>87</v>
      </c>
      <c r="Q987">
        <v>110</v>
      </c>
      <c r="R987">
        <v>791</v>
      </c>
      <c r="S987">
        <v>560</v>
      </c>
      <c r="T987">
        <v>2530</v>
      </c>
      <c r="U987">
        <v>3090</v>
      </c>
      <c r="V987">
        <v>605</v>
      </c>
      <c r="W987">
        <v>740</v>
      </c>
      <c r="X987">
        <v>10</v>
      </c>
      <c r="Y987">
        <v>1500</v>
      </c>
      <c r="Z987">
        <v>162</v>
      </c>
      <c r="AA987">
        <v>686</v>
      </c>
      <c r="AB987" t="s">
        <v>1757</v>
      </c>
    </row>
    <row r="988" spans="1:28" x14ac:dyDescent="0.3">
      <c r="A988">
        <v>101112</v>
      </c>
      <c r="B988" t="s">
        <v>1300</v>
      </c>
      <c r="C988">
        <v>0</v>
      </c>
      <c r="D988">
        <v>1610612752</v>
      </c>
      <c r="E988" t="s">
        <v>1248</v>
      </c>
      <c r="F988">
        <v>230</v>
      </c>
      <c r="G988">
        <v>65</v>
      </c>
      <c r="H988">
        <v>140</v>
      </c>
      <c r="I988">
        <v>15720</v>
      </c>
      <c r="J988">
        <v>305</v>
      </c>
      <c r="K988">
        <v>640</v>
      </c>
      <c r="L988">
        <v>477</v>
      </c>
      <c r="M988">
        <v>30</v>
      </c>
      <c r="N988">
        <v>90</v>
      </c>
      <c r="O988">
        <v>333</v>
      </c>
      <c r="P988">
        <v>189</v>
      </c>
      <c r="Q988">
        <v>229</v>
      </c>
      <c r="R988">
        <v>825</v>
      </c>
      <c r="S988">
        <v>1380</v>
      </c>
      <c r="T988">
        <v>2360</v>
      </c>
      <c r="U988">
        <v>3740</v>
      </c>
      <c r="V988">
        <v>53</v>
      </c>
      <c r="W988">
        <v>300</v>
      </c>
      <c r="X988">
        <v>470</v>
      </c>
      <c r="Y988">
        <v>970</v>
      </c>
      <c r="Z988">
        <v>200</v>
      </c>
      <c r="AA988">
        <v>802</v>
      </c>
      <c r="AB988" t="s">
        <v>1758</v>
      </c>
    </row>
    <row r="989" spans="1:28" x14ac:dyDescent="0.3">
      <c r="A989">
        <v>101112</v>
      </c>
      <c r="B989" t="s">
        <v>1302</v>
      </c>
      <c r="C989">
        <v>0</v>
      </c>
      <c r="D989">
        <v>1610612752</v>
      </c>
      <c r="E989" t="s">
        <v>1248</v>
      </c>
      <c r="F989">
        <v>240</v>
      </c>
      <c r="G989">
        <v>72</v>
      </c>
      <c r="H989">
        <v>590</v>
      </c>
      <c r="I989">
        <v>18990</v>
      </c>
      <c r="J989">
        <v>298</v>
      </c>
      <c r="K989">
        <v>689</v>
      </c>
      <c r="L989">
        <v>433</v>
      </c>
      <c r="M989">
        <v>30</v>
      </c>
      <c r="N989">
        <v>180</v>
      </c>
      <c r="O989">
        <v>167</v>
      </c>
      <c r="P989">
        <v>85</v>
      </c>
      <c r="Q989">
        <v>108</v>
      </c>
      <c r="R989">
        <v>787</v>
      </c>
      <c r="S989">
        <v>910</v>
      </c>
      <c r="T989">
        <v>3040</v>
      </c>
      <c r="U989">
        <v>3950</v>
      </c>
      <c r="V989">
        <v>67</v>
      </c>
      <c r="W989">
        <v>360</v>
      </c>
      <c r="X989">
        <v>420</v>
      </c>
      <c r="Y989">
        <v>1000</v>
      </c>
      <c r="Z989">
        <v>216</v>
      </c>
      <c r="AA989">
        <v>684</v>
      </c>
      <c r="AB989" t="s">
        <v>1758</v>
      </c>
    </row>
    <row r="990" spans="1:28" x14ac:dyDescent="0.3">
      <c r="A990">
        <v>57</v>
      </c>
      <c r="B990" t="s">
        <v>1275</v>
      </c>
      <c r="C990">
        <v>0</v>
      </c>
      <c r="D990">
        <v>1610612752</v>
      </c>
      <c r="E990" t="s">
        <v>1248</v>
      </c>
      <c r="F990">
        <v>250</v>
      </c>
      <c r="G990">
        <v>12</v>
      </c>
      <c r="H990">
        <v>0</v>
      </c>
      <c r="I990">
        <v>790</v>
      </c>
      <c r="J990">
        <v>5</v>
      </c>
      <c r="K990">
        <v>22</v>
      </c>
      <c r="L990">
        <v>227</v>
      </c>
      <c r="M990">
        <v>10</v>
      </c>
      <c r="N990">
        <v>70</v>
      </c>
      <c r="O990">
        <v>143</v>
      </c>
      <c r="P990">
        <v>4</v>
      </c>
      <c r="Q990">
        <v>5</v>
      </c>
      <c r="R990">
        <v>8</v>
      </c>
      <c r="S990">
        <v>30</v>
      </c>
      <c r="T990">
        <v>100</v>
      </c>
      <c r="U990">
        <v>130</v>
      </c>
      <c r="V990">
        <v>8</v>
      </c>
      <c r="W990">
        <v>20</v>
      </c>
      <c r="X990">
        <v>10</v>
      </c>
      <c r="Y990">
        <v>130</v>
      </c>
      <c r="Z990">
        <v>18</v>
      </c>
      <c r="AA990">
        <v>15</v>
      </c>
      <c r="AB990" t="s">
        <v>1759</v>
      </c>
    </row>
    <row r="991" spans="1:28" x14ac:dyDescent="0.3">
      <c r="A991">
        <v>57</v>
      </c>
      <c r="B991" t="s">
        <v>1276</v>
      </c>
      <c r="C991">
        <v>0</v>
      </c>
      <c r="D991">
        <v>1610612752</v>
      </c>
      <c r="E991" t="s">
        <v>1248</v>
      </c>
      <c r="F991">
        <v>260</v>
      </c>
      <c r="G991">
        <v>23</v>
      </c>
      <c r="H991">
        <v>0</v>
      </c>
      <c r="I991">
        <v>2180</v>
      </c>
      <c r="J991">
        <v>35</v>
      </c>
      <c r="K991">
        <v>73</v>
      </c>
      <c r="L991">
        <v>479</v>
      </c>
      <c r="M991">
        <v>100</v>
      </c>
      <c r="N991">
        <v>190</v>
      </c>
      <c r="O991">
        <v>526</v>
      </c>
      <c r="P991">
        <v>13</v>
      </c>
      <c r="Q991">
        <v>22</v>
      </c>
      <c r="R991">
        <v>591</v>
      </c>
      <c r="S991">
        <v>80</v>
      </c>
      <c r="T991">
        <v>260</v>
      </c>
      <c r="U991">
        <v>340</v>
      </c>
      <c r="V991">
        <v>25</v>
      </c>
      <c r="W991">
        <v>120</v>
      </c>
      <c r="X991">
        <v>30</v>
      </c>
      <c r="Y991">
        <v>190</v>
      </c>
      <c r="Z991">
        <v>41</v>
      </c>
      <c r="AA991">
        <v>93</v>
      </c>
      <c r="AB991" t="s">
        <v>1759</v>
      </c>
    </row>
    <row r="992" spans="1:28" x14ac:dyDescent="0.3">
      <c r="A992">
        <v>1886</v>
      </c>
      <c r="B992" t="s">
        <v>1305</v>
      </c>
      <c r="C992">
        <v>0</v>
      </c>
      <c r="D992">
        <v>1610612752</v>
      </c>
      <c r="E992" t="s">
        <v>1248</v>
      </c>
      <c r="F992">
        <v>290</v>
      </c>
      <c r="G992">
        <v>25</v>
      </c>
      <c r="H992">
        <v>10</v>
      </c>
      <c r="I992">
        <v>2920</v>
      </c>
      <c r="J992">
        <v>40</v>
      </c>
      <c r="K992">
        <v>100</v>
      </c>
      <c r="L992">
        <v>4</v>
      </c>
      <c r="M992">
        <v>140</v>
      </c>
      <c r="N992">
        <v>390</v>
      </c>
      <c r="O992">
        <v>359</v>
      </c>
      <c r="P992">
        <v>24</v>
      </c>
      <c r="Q992">
        <v>26</v>
      </c>
      <c r="R992">
        <v>923</v>
      </c>
      <c r="S992">
        <v>150</v>
      </c>
      <c r="T992">
        <v>370</v>
      </c>
      <c r="U992">
        <v>520</v>
      </c>
      <c r="V992">
        <v>16</v>
      </c>
      <c r="W992">
        <v>20</v>
      </c>
      <c r="X992">
        <v>170</v>
      </c>
      <c r="Y992">
        <v>280</v>
      </c>
      <c r="Z992">
        <v>33</v>
      </c>
      <c r="AA992">
        <v>118</v>
      </c>
      <c r="AB992" t="s">
        <v>1760</v>
      </c>
    </row>
    <row r="993" spans="1:28" x14ac:dyDescent="0.3">
      <c r="A993">
        <v>76144</v>
      </c>
      <c r="B993" t="s">
        <v>1412</v>
      </c>
      <c r="C993">
        <v>0</v>
      </c>
      <c r="D993">
        <v>1610612752</v>
      </c>
      <c r="E993" t="s">
        <v>1248</v>
      </c>
      <c r="F993">
        <v>260</v>
      </c>
      <c r="G993">
        <v>72</v>
      </c>
      <c r="I993">
        <v>30840</v>
      </c>
      <c r="J993">
        <v>639</v>
      </c>
      <c r="K993">
        <v>1249</v>
      </c>
      <c r="L993">
        <v>512</v>
      </c>
      <c r="P993">
        <v>390</v>
      </c>
      <c r="Q993">
        <v>622</v>
      </c>
      <c r="R993">
        <v>627</v>
      </c>
      <c r="U993">
        <v>11520</v>
      </c>
      <c r="V993">
        <v>217</v>
      </c>
      <c r="Z993">
        <v>262</v>
      </c>
      <c r="AA993">
        <v>1668</v>
      </c>
      <c r="AB993" t="s">
        <v>1761</v>
      </c>
    </row>
    <row r="994" spans="1:28" x14ac:dyDescent="0.3">
      <c r="A994">
        <v>76144</v>
      </c>
      <c r="B994" t="s">
        <v>1360</v>
      </c>
      <c r="C994">
        <v>0</v>
      </c>
      <c r="D994">
        <v>1610612752</v>
      </c>
      <c r="E994" t="s">
        <v>1248</v>
      </c>
      <c r="F994">
        <v>270</v>
      </c>
      <c r="G994">
        <v>79</v>
      </c>
      <c r="I994">
        <v>30100</v>
      </c>
      <c r="J994">
        <v>565</v>
      </c>
      <c r="K994">
        <v>1084</v>
      </c>
      <c r="L994">
        <v>521</v>
      </c>
      <c r="P994">
        <v>369</v>
      </c>
      <c r="Q994">
        <v>580</v>
      </c>
      <c r="R994">
        <v>636</v>
      </c>
      <c r="U994">
        <v>10640</v>
      </c>
      <c r="V994">
        <v>206</v>
      </c>
      <c r="Z994">
        <v>275</v>
      </c>
      <c r="AA994">
        <v>1499</v>
      </c>
      <c r="AB994" t="s">
        <v>1761</v>
      </c>
    </row>
    <row r="995" spans="1:28" x14ac:dyDescent="0.3">
      <c r="A995">
        <v>76144</v>
      </c>
      <c r="B995" t="s">
        <v>1414</v>
      </c>
      <c r="C995">
        <v>0</v>
      </c>
      <c r="D995">
        <v>1610612752</v>
      </c>
      <c r="E995" t="s">
        <v>1248</v>
      </c>
      <c r="F995">
        <v>280</v>
      </c>
      <c r="G995">
        <v>82</v>
      </c>
      <c r="I995">
        <v>26950</v>
      </c>
      <c r="J995">
        <v>511</v>
      </c>
      <c r="K995">
        <v>944</v>
      </c>
      <c r="L995">
        <v>541</v>
      </c>
      <c r="P995">
        <v>350</v>
      </c>
      <c r="Q995">
        <v>529</v>
      </c>
      <c r="R995">
        <v>662</v>
      </c>
      <c r="U995">
        <v>9610</v>
      </c>
      <c r="V995">
        <v>164</v>
      </c>
      <c r="Z995">
        <v>259</v>
      </c>
      <c r="AA995">
        <v>1372</v>
      </c>
      <c r="AB995" t="s">
        <v>1761</v>
      </c>
    </row>
    <row r="996" spans="1:28" x14ac:dyDescent="0.3">
      <c r="A996">
        <v>76144</v>
      </c>
      <c r="B996" t="s">
        <v>1415</v>
      </c>
      <c r="C996">
        <v>0</v>
      </c>
      <c r="D996">
        <v>1610612752</v>
      </c>
      <c r="E996" t="s">
        <v>1248</v>
      </c>
      <c r="F996">
        <v>290</v>
      </c>
      <c r="G996">
        <v>35</v>
      </c>
      <c r="I996">
        <v>11360</v>
      </c>
      <c r="J996">
        <v>204</v>
      </c>
      <c r="K996">
        <v>402</v>
      </c>
      <c r="L996">
        <v>507</v>
      </c>
      <c r="P996">
        <v>125</v>
      </c>
      <c r="Q996">
        <v>202</v>
      </c>
      <c r="R996">
        <v>619</v>
      </c>
      <c r="U996">
        <v>3850</v>
      </c>
      <c r="V996">
        <v>77</v>
      </c>
      <c r="Z996">
        <v>123</v>
      </c>
      <c r="AA996">
        <v>533</v>
      </c>
      <c r="AB996" t="s">
        <v>1761</v>
      </c>
    </row>
    <row r="997" spans="1:28" x14ac:dyDescent="0.3">
      <c r="A997">
        <v>1630173</v>
      </c>
      <c r="B997" t="s">
        <v>1369</v>
      </c>
      <c r="C997">
        <v>0</v>
      </c>
      <c r="D997">
        <v>1610612752</v>
      </c>
      <c r="E997" t="s">
        <v>1248</v>
      </c>
      <c r="F997">
        <v>240</v>
      </c>
      <c r="G997">
        <v>49</v>
      </c>
      <c r="H997">
        <v>180</v>
      </c>
      <c r="I997">
        <v>11870</v>
      </c>
      <c r="J997">
        <v>157</v>
      </c>
      <c r="K997">
        <v>299</v>
      </c>
      <c r="L997">
        <v>525</v>
      </c>
      <c r="M997">
        <v>130</v>
      </c>
      <c r="N997">
        <v>500</v>
      </c>
      <c r="O997">
        <v>26</v>
      </c>
      <c r="P997">
        <v>45</v>
      </c>
      <c r="Q997">
        <v>70</v>
      </c>
      <c r="R997">
        <v>643</v>
      </c>
      <c r="S997">
        <v>1410</v>
      </c>
      <c r="T997">
        <v>2100</v>
      </c>
      <c r="U997">
        <v>3510</v>
      </c>
      <c r="V997">
        <v>53</v>
      </c>
      <c r="W997">
        <v>300</v>
      </c>
      <c r="X997">
        <v>560</v>
      </c>
      <c r="Y997">
        <v>540</v>
      </c>
      <c r="Z997">
        <v>103</v>
      </c>
      <c r="AA997">
        <v>372</v>
      </c>
      <c r="AB997" t="s">
        <v>1762</v>
      </c>
    </row>
    <row r="998" spans="1:28" x14ac:dyDescent="0.3">
      <c r="A998">
        <v>78259</v>
      </c>
      <c r="B998" t="s">
        <v>1323</v>
      </c>
      <c r="C998">
        <v>0</v>
      </c>
      <c r="D998">
        <v>1610612752</v>
      </c>
      <c r="E998" t="s">
        <v>1248</v>
      </c>
      <c r="F998">
        <v>240</v>
      </c>
      <c r="G998">
        <v>32</v>
      </c>
      <c r="I998">
        <v>4400</v>
      </c>
      <c r="J998">
        <v>59</v>
      </c>
      <c r="K998">
        <v>162</v>
      </c>
      <c r="L998">
        <v>364</v>
      </c>
      <c r="P998">
        <v>23</v>
      </c>
      <c r="Q998">
        <v>38</v>
      </c>
      <c r="R998">
        <v>605</v>
      </c>
      <c r="U998">
        <v>510</v>
      </c>
      <c r="V998">
        <v>60</v>
      </c>
      <c r="Z998">
        <v>55</v>
      </c>
      <c r="AA998">
        <v>141</v>
      </c>
      <c r="AB998" t="s">
        <v>1763</v>
      </c>
    </row>
    <row r="999" spans="1:28" x14ac:dyDescent="0.3">
      <c r="A999">
        <v>76142</v>
      </c>
      <c r="B999" t="s">
        <v>1357</v>
      </c>
      <c r="C999">
        <v>0</v>
      </c>
      <c r="D999">
        <v>1610612752</v>
      </c>
      <c r="E999" t="s">
        <v>1248</v>
      </c>
      <c r="F999">
        <v>230</v>
      </c>
      <c r="G999">
        <v>1</v>
      </c>
      <c r="I999">
        <v>40</v>
      </c>
      <c r="J999">
        <v>0</v>
      </c>
      <c r="K999">
        <v>1</v>
      </c>
      <c r="L999">
        <v>0</v>
      </c>
      <c r="P999">
        <v>0</v>
      </c>
      <c r="Q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Z999">
        <v>0</v>
      </c>
      <c r="AA999">
        <v>0</v>
      </c>
      <c r="AB999" t="s">
        <v>1764</v>
      </c>
    </row>
    <row r="1000" spans="1:28" x14ac:dyDescent="0.3">
      <c r="A1000">
        <v>76142</v>
      </c>
      <c r="B1000" t="s">
        <v>1358</v>
      </c>
      <c r="C1000">
        <v>0</v>
      </c>
      <c r="D1000">
        <v>1610612752</v>
      </c>
      <c r="E1000" t="s">
        <v>1248</v>
      </c>
      <c r="F1000">
        <v>240</v>
      </c>
      <c r="G1000">
        <v>52</v>
      </c>
      <c r="I1000">
        <v>4650</v>
      </c>
      <c r="J1000">
        <v>68</v>
      </c>
      <c r="K1000">
        <v>181</v>
      </c>
      <c r="L1000">
        <v>376</v>
      </c>
      <c r="P1000">
        <v>20</v>
      </c>
      <c r="Q1000">
        <v>36</v>
      </c>
      <c r="R1000">
        <v>556</v>
      </c>
      <c r="S1000">
        <v>480</v>
      </c>
      <c r="T1000">
        <v>570</v>
      </c>
      <c r="U1000">
        <v>1050</v>
      </c>
      <c r="V1000">
        <v>25</v>
      </c>
      <c r="W1000">
        <v>220</v>
      </c>
      <c r="X1000">
        <v>90</v>
      </c>
      <c r="Z1000">
        <v>54</v>
      </c>
      <c r="AA1000">
        <v>156</v>
      </c>
      <c r="AB1000" t="s">
        <v>1764</v>
      </c>
    </row>
    <row r="1001" spans="1:28" x14ac:dyDescent="0.3">
      <c r="A1001">
        <v>76142</v>
      </c>
      <c r="B1001" t="s">
        <v>1261</v>
      </c>
      <c r="C1001">
        <v>0</v>
      </c>
      <c r="D1001">
        <v>1610612752</v>
      </c>
      <c r="E1001" t="s">
        <v>1248</v>
      </c>
      <c r="F1001">
        <v>250</v>
      </c>
      <c r="G1001">
        <v>10</v>
      </c>
      <c r="I1001">
        <v>760</v>
      </c>
      <c r="J1001">
        <v>8</v>
      </c>
      <c r="K1001">
        <v>21</v>
      </c>
      <c r="L1001">
        <v>381</v>
      </c>
      <c r="P1001">
        <v>3</v>
      </c>
      <c r="Q1001">
        <v>7</v>
      </c>
      <c r="R1001">
        <v>429</v>
      </c>
      <c r="S1001">
        <v>40</v>
      </c>
      <c r="T1001">
        <v>100</v>
      </c>
      <c r="U1001">
        <v>140</v>
      </c>
      <c r="V1001">
        <v>3</v>
      </c>
      <c r="W1001">
        <v>60</v>
      </c>
      <c r="X1001">
        <v>10</v>
      </c>
      <c r="Z1001">
        <v>11</v>
      </c>
      <c r="AA1001">
        <v>19</v>
      </c>
      <c r="AB1001" t="s">
        <v>1764</v>
      </c>
    </row>
    <row r="1002" spans="1:28" x14ac:dyDescent="0.3">
      <c r="A1002">
        <v>1983</v>
      </c>
      <c r="B1002" t="s">
        <v>1295</v>
      </c>
      <c r="C1002">
        <v>0</v>
      </c>
      <c r="D1002">
        <v>1610612752</v>
      </c>
      <c r="E1002" t="s">
        <v>1248</v>
      </c>
      <c r="F1002">
        <v>290</v>
      </c>
      <c r="G1002">
        <v>21</v>
      </c>
      <c r="H1002">
        <v>0</v>
      </c>
      <c r="I1002">
        <v>2300</v>
      </c>
      <c r="J1002">
        <v>17</v>
      </c>
      <c r="K1002">
        <v>33</v>
      </c>
      <c r="L1002">
        <v>515</v>
      </c>
      <c r="M1002">
        <v>0</v>
      </c>
      <c r="N1002">
        <v>20</v>
      </c>
      <c r="O1002">
        <v>0</v>
      </c>
      <c r="P1002">
        <v>8</v>
      </c>
      <c r="Q1002">
        <v>13</v>
      </c>
      <c r="R1002">
        <v>615</v>
      </c>
      <c r="S1002">
        <v>30</v>
      </c>
      <c r="T1002">
        <v>200</v>
      </c>
      <c r="U1002">
        <v>230</v>
      </c>
      <c r="V1002">
        <v>24</v>
      </c>
      <c r="W1002">
        <v>70</v>
      </c>
      <c r="X1002">
        <v>10</v>
      </c>
      <c r="Y1002">
        <v>100</v>
      </c>
      <c r="Z1002">
        <v>26</v>
      </c>
      <c r="AA1002">
        <v>42</v>
      </c>
      <c r="AB1002" t="s">
        <v>1765</v>
      </c>
    </row>
    <row r="1003" spans="1:28" x14ac:dyDescent="0.3">
      <c r="A1003">
        <v>76758</v>
      </c>
      <c r="B1003" t="s">
        <v>1320</v>
      </c>
      <c r="C1003">
        <v>0</v>
      </c>
      <c r="D1003">
        <v>1610612752</v>
      </c>
      <c r="E1003" t="s">
        <v>1248</v>
      </c>
      <c r="F1003">
        <v>230</v>
      </c>
      <c r="G1003">
        <v>44</v>
      </c>
      <c r="I1003">
        <v>5690</v>
      </c>
      <c r="J1003">
        <v>74</v>
      </c>
      <c r="K1003">
        <v>226</v>
      </c>
      <c r="L1003">
        <v>327</v>
      </c>
      <c r="P1003">
        <v>27</v>
      </c>
      <c r="Q1003">
        <v>41</v>
      </c>
      <c r="R1003">
        <v>659</v>
      </c>
      <c r="U1003">
        <v>1060</v>
      </c>
      <c r="V1003">
        <v>47</v>
      </c>
      <c r="Z1003">
        <v>54</v>
      </c>
      <c r="AA1003">
        <v>175</v>
      </c>
      <c r="AB1003" t="s">
        <v>1766</v>
      </c>
    </row>
    <row r="1004" spans="1:28" x14ac:dyDescent="0.3">
      <c r="A1004">
        <v>76393</v>
      </c>
      <c r="B1004" t="s">
        <v>1362</v>
      </c>
      <c r="C1004">
        <v>0</v>
      </c>
      <c r="D1004">
        <v>1610612752</v>
      </c>
      <c r="E1004" t="s">
        <v>1248</v>
      </c>
      <c r="F1004">
        <v>240</v>
      </c>
      <c r="G1004">
        <v>6</v>
      </c>
      <c r="I1004">
        <v>480</v>
      </c>
      <c r="J1004">
        <v>5</v>
      </c>
      <c r="K1004">
        <v>18</v>
      </c>
      <c r="L1004">
        <v>278</v>
      </c>
      <c r="P1004">
        <v>10</v>
      </c>
      <c r="Q1004">
        <v>11</v>
      </c>
      <c r="R1004">
        <v>909</v>
      </c>
      <c r="U1004">
        <v>80</v>
      </c>
      <c r="V1004">
        <v>7</v>
      </c>
      <c r="Z1004">
        <v>3</v>
      </c>
      <c r="AA1004">
        <v>20</v>
      </c>
      <c r="AB1004" t="s">
        <v>1767</v>
      </c>
    </row>
    <row r="1005" spans="1:28" x14ac:dyDescent="0.3">
      <c r="A1005">
        <v>76143</v>
      </c>
      <c r="B1005" t="s">
        <v>1321</v>
      </c>
      <c r="C1005">
        <v>0</v>
      </c>
      <c r="D1005">
        <v>1610612752</v>
      </c>
      <c r="E1005" t="s">
        <v>1248</v>
      </c>
      <c r="F1005">
        <v>270</v>
      </c>
      <c r="G1005">
        <v>31</v>
      </c>
      <c r="I1005">
        <v>4490</v>
      </c>
      <c r="J1005">
        <v>70</v>
      </c>
      <c r="K1005">
        <v>185</v>
      </c>
      <c r="L1005">
        <v>378</v>
      </c>
      <c r="P1005">
        <v>28</v>
      </c>
      <c r="Q1005">
        <v>43</v>
      </c>
      <c r="R1005">
        <v>651</v>
      </c>
      <c r="U1005">
        <v>870</v>
      </c>
      <c r="V1005">
        <v>55</v>
      </c>
      <c r="Z1005">
        <v>59</v>
      </c>
      <c r="AA1005">
        <v>168</v>
      </c>
      <c r="AB1005" t="s">
        <v>1768</v>
      </c>
    </row>
    <row r="1006" spans="1:28" x14ac:dyDescent="0.3">
      <c r="A1006">
        <v>76143</v>
      </c>
      <c r="B1006" t="s">
        <v>1322</v>
      </c>
      <c r="C1006">
        <v>0</v>
      </c>
      <c r="D1006">
        <v>1610612752</v>
      </c>
      <c r="E1006" t="s">
        <v>1248</v>
      </c>
      <c r="F1006">
        <v>280</v>
      </c>
      <c r="G1006">
        <v>5</v>
      </c>
      <c r="I1006">
        <v>450</v>
      </c>
      <c r="J1006">
        <v>7</v>
      </c>
      <c r="K1006">
        <v>18</v>
      </c>
      <c r="L1006">
        <v>389</v>
      </c>
      <c r="P1006">
        <v>1</v>
      </c>
      <c r="Q1006">
        <v>3</v>
      </c>
      <c r="R1006">
        <v>333</v>
      </c>
      <c r="U1006">
        <v>70</v>
      </c>
      <c r="V1006">
        <v>1</v>
      </c>
      <c r="Z1006">
        <v>7</v>
      </c>
      <c r="AA1006">
        <v>15</v>
      </c>
      <c r="AB1006" t="s">
        <v>1768</v>
      </c>
    </row>
    <row r="1007" spans="1:28" x14ac:dyDescent="0.3">
      <c r="A1007">
        <v>77101</v>
      </c>
      <c r="B1007" t="s">
        <v>1358</v>
      </c>
      <c r="C1007">
        <v>0</v>
      </c>
      <c r="D1007">
        <v>1610612752</v>
      </c>
      <c r="E1007" t="s">
        <v>1248</v>
      </c>
      <c r="F1007">
        <v>220</v>
      </c>
      <c r="G1007">
        <v>5</v>
      </c>
      <c r="I1007">
        <v>270</v>
      </c>
      <c r="J1007">
        <v>4</v>
      </c>
      <c r="K1007">
        <v>10</v>
      </c>
      <c r="L1007">
        <v>4</v>
      </c>
      <c r="P1007">
        <v>0</v>
      </c>
      <c r="Q1007">
        <v>0</v>
      </c>
      <c r="R1007">
        <v>0</v>
      </c>
      <c r="S1007">
        <v>20</v>
      </c>
      <c r="T1007">
        <v>0</v>
      </c>
      <c r="U1007">
        <v>20</v>
      </c>
      <c r="V1007">
        <v>3</v>
      </c>
      <c r="W1007">
        <v>0</v>
      </c>
      <c r="X1007">
        <v>0</v>
      </c>
      <c r="Z1007">
        <v>5</v>
      </c>
      <c r="AA1007">
        <v>8</v>
      </c>
      <c r="AB1007" t="s">
        <v>1769</v>
      </c>
    </row>
    <row r="1008" spans="1:28" x14ac:dyDescent="0.3">
      <c r="A1008">
        <v>76757</v>
      </c>
      <c r="B1008" t="s">
        <v>1339</v>
      </c>
      <c r="C1008">
        <v>0</v>
      </c>
      <c r="D1008">
        <v>1610612752</v>
      </c>
      <c r="E1008" t="s">
        <v>1248</v>
      </c>
      <c r="F1008">
        <v>250</v>
      </c>
      <c r="G1008">
        <v>23</v>
      </c>
      <c r="J1008">
        <v>28</v>
      </c>
      <c r="K1008">
        <v>97</v>
      </c>
      <c r="L1008">
        <v>289</v>
      </c>
      <c r="P1008">
        <v>32</v>
      </c>
      <c r="Q1008">
        <v>56</v>
      </c>
      <c r="R1008">
        <v>571</v>
      </c>
      <c r="V1008">
        <v>14</v>
      </c>
      <c r="Z1008">
        <v>37</v>
      </c>
      <c r="AA1008">
        <v>88</v>
      </c>
      <c r="AB1008" t="s">
        <v>1770</v>
      </c>
    </row>
    <row r="1009" spans="1:28" x14ac:dyDescent="0.3">
      <c r="A1009">
        <v>164</v>
      </c>
      <c r="B1009" t="s">
        <v>1277</v>
      </c>
      <c r="C1009">
        <v>0</v>
      </c>
      <c r="D1009">
        <v>1610612752</v>
      </c>
      <c r="E1009" t="s">
        <v>1248</v>
      </c>
      <c r="F1009">
        <v>290</v>
      </c>
      <c r="G1009">
        <v>65</v>
      </c>
      <c r="H1009">
        <v>610</v>
      </c>
      <c r="I1009">
        <v>20760</v>
      </c>
      <c r="J1009">
        <v>211</v>
      </c>
      <c r="K1009">
        <v>510</v>
      </c>
      <c r="L1009">
        <v>414</v>
      </c>
      <c r="M1009">
        <v>700</v>
      </c>
      <c r="N1009">
        <v>1810</v>
      </c>
      <c r="O1009">
        <v>387</v>
      </c>
      <c r="P1009">
        <v>113</v>
      </c>
      <c r="Q1009">
        <v>149</v>
      </c>
      <c r="R1009">
        <v>758</v>
      </c>
      <c r="S1009">
        <v>220</v>
      </c>
      <c r="T1009">
        <v>1690</v>
      </c>
      <c r="U1009">
        <v>1910</v>
      </c>
      <c r="V1009">
        <v>398</v>
      </c>
      <c r="W1009">
        <v>780</v>
      </c>
      <c r="X1009">
        <v>110</v>
      </c>
      <c r="Y1009">
        <v>1800</v>
      </c>
      <c r="Z1009">
        <v>213</v>
      </c>
      <c r="AA1009">
        <v>605</v>
      </c>
      <c r="AB1009" t="s">
        <v>1771</v>
      </c>
    </row>
    <row r="1010" spans="1:28" x14ac:dyDescent="0.3">
      <c r="A1010">
        <v>164</v>
      </c>
      <c r="B1010" t="s">
        <v>1278</v>
      </c>
      <c r="C1010">
        <v>0</v>
      </c>
      <c r="D1010">
        <v>1610612752</v>
      </c>
      <c r="E1010" t="s">
        <v>1248</v>
      </c>
      <c r="F1010">
        <v>300</v>
      </c>
      <c r="G1010">
        <v>68</v>
      </c>
      <c r="H1010">
        <v>0</v>
      </c>
      <c r="I1010">
        <v>15990</v>
      </c>
      <c r="J1010">
        <v>149</v>
      </c>
      <c r="K1010">
        <v>354</v>
      </c>
      <c r="L1010">
        <v>421</v>
      </c>
      <c r="M1010">
        <v>270</v>
      </c>
      <c r="N1010">
        <v>870</v>
      </c>
      <c r="O1010">
        <v>31</v>
      </c>
      <c r="P1010">
        <v>104</v>
      </c>
      <c r="Q1010">
        <v>126</v>
      </c>
      <c r="R1010">
        <v>825</v>
      </c>
      <c r="S1010">
        <v>290</v>
      </c>
      <c r="T1010">
        <v>1330</v>
      </c>
      <c r="U1010">
        <v>1620</v>
      </c>
      <c r="V1010">
        <v>268</v>
      </c>
      <c r="W1010">
        <v>560</v>
      </c>
      <c r="X1010">
        <v>60</v>
      </c>
      <c r="Y1010">
        <v>1030</v>
      </c>
      <c r="Z1010">
        <v>179</v>
      </c>
      <c r="AA1010">
        <v>429</v>
      </c>
      <c r="AB1010" t="s">
        <v>1771</v>
      </c>
    </row>
    <row r="1011" spans="1:28" x14ac:dyDescent="0.3">
      <c r="A1011">
        <v>164</v>
      </c>
      <c r="B1011" t="s">
        <v>1429</v>
      </c>
      <c r="C1011">
        <v>0</v>
      </c>
      <c r="D1011">
        <v>1610612752</v>
      </c>
      <c r="E1011" t="s">
        <v>1248</v>
      </c>
      <c r="F1011">
        <v>310</v>
      </c>
      <c r="G1011">
        <v>48</v>
      </c>
      <c r="H1011">
        <v>0</v>
      </c>
      <c r="I1011">
        <v>12970</v>
      </c>
      <c r="J1011">
        <v>114</v>
      </c>
      <c r="K1011">
        <v>267</v>
      </c>
      <c r="L1011">
        <v>427</v>
      </c>
      <c r="M1011">
        <v>360</v>
      </c>
      <c r="N1011">
        <v>940</v>
      </c>
      <c r="O1011">
        <v>383</v>
      </c>
      <c r="P1011">
        <v>64</v>
      </c>
      <c r="Q1011">
        <v>78</v>
      </c>
      <c r="R1011">
        <v>821</v>
      </c>
      <c r="S1011">
        <v>180</v>
      </c>
      <c r="T1011">
        <v>1150</v>
      </c>
      <c r="U1011">
        <v>1330</v>
      </c>
      <c r="V1011">
        <v>193</v>
      </c>
      <c r="W1011">
        <v>440</v>
      </c>
      <c r="X1011">
        <v>10</v>
      </c>
      <c r="Y1011">
        <v>850</v>
      </c>
      <c r="Z1011">
        <v>156</v>
      </c>
      <c r="AA1011">
        <v>328</v>
      </c>
      <c r="AB1011" t="s">
        <v>1771</v>
      </c>
    </row>
    <row r="1012" spans="1:28" x14ac:dyDescent="0.3">
      <c r="A1012">
        <v>164</v>
      </c>
      <c r="B1012" t="s">
        <v>1464</v>
      </c>
      <c r="C1012">
        <v>0</v>
      </c>
      <c r="D1012">
        <v>1610612752</v>
      </c>
      <c r="E1012" t="s">
        <v>1248</v>
      </c>
      <c r="F1012">
        <v>320</v>
      </c>
      <c r="G1012">
        <v>71</v>
      </c>
      <c r="H1012">
        <v>20</v>
      </c>
      <c r="I1012">
        <v>16750</v>
      </c>
      <c r="J1012">
        <v>146</v>
      </c>
      <c r="K1012">
        <v>357</v>
      </c>
      <c r="L1012">
        <v>409</v>
      </c>
      <c r="M1012">
        <v>370</v>
      </c>
      <c r="N1012">
        <v>1040</v>
      </c>
      <c r="O1012">
        <v>356</v>
      </c>
      <c r="P1012">
        <v>47</v>
      </c>
      <c r="Q1012">
        <v>59</v>
      </c>
      <c r="R1012">
        <v>797</v>
      </c>
      <c r="S1012">
        <v>170</v>
      </c>
      <c r="T1012">
        <v>1300</v>
      </c>
      <c r="U1012">
        <v>1470</v>
      </c>
      <c r="V1012">
        <v>285</v>
      </c>
      <c r="W1012">
        <v>360</v>
      </c>
      <c r="X1012">
        <v>40</v>
      </c>
      <c r="Y1012">
        <v>1050</v>
      </c>
      <c r="Z1012">
        <v>240</v>
      </c>
      <c r="AA1012">
        <v>376</v>
      </c>
      <c r="AB1012" t="s">
        <v>1771</v>
      </c>
    </row>
    <row r="1013" spans="1:28" x14ac:dyDescent="0.3">
      <c r="A1013">
        <v>164</v>
      </c>
      <c r="B1013" t="s">
        <v>1465</v>
      </c>
      <c r="C1013">
        <v>0</v>
      </c>
      <c r="D1013">
        <v>1610612752</v>
      </c>
      <c r="E1013" t="s">
        <v>1248</v>
      </c>
      <c r="F1013">
        <v>330</v>
      </c>
      <c r="G1013">
        <v>51</v>
      </c>
      <c r="H1013">
        <v>50</v>
      </c>
      <c r="I1013">
        <v>13060</v>
      </c>
      <c r="J1013">
        <v>93</v>
      </c>
      <c r="K1013">
        <v>222</v>
      </c>
      <c r="L1013">
        <v>419</v>
      </c>
      <c r="M1013">
        <v>200</v>
      </c>
      <c r="N1013">
        <v>640</v>
      </c>
      <c r="O1013">
        <v>313</v>
      </c>
      <c r="P1013">
        <v>39</v>
      </c>
      <c r="Q1013">
        <v>46</v>
      </c>
      <c r="R1013">
        <v>848</v>
      </c>
      <c r="S1013">
        <v>140</v>
      </c>
      <c r="T1013">
        <v>1240</v>
      </c>
      <c r="U1013">
        <v>1380</v>
      </c>
      <c r="V1013">
        <v>236</v>
      </c>
      <c r="W1013">
        <v>370</v>
      </c>
      <c r="X1013">
        <v>70</v>
      </c>
      <c r="Y1013">
        <v>980</v>
      </c>
      <c r="Z1013">
        <v>160</v>
      </c>
      <c r="AA1013">
        <v>245</v>
      </c>
      <c r="AB1013" t="s">
        <v>1771</v>
      </c>
    </row>
    <row r="1014" spans="1:28" x14ac:dyDescent="0.3">
      <c r="A1014">
        <v>200811</v>
      </c>
      <c r="B1014" t="s">
        <v>1343</v>
      </c>
      <c r="C1014">
        <v>0</v>
      </c>
      <c r="D1014">
        <v>1610612752</v>
      </c>
      <c r="E1014" t="s">
        <v>1248</v>
      </c>
      <c r="F1014">
        <v>320</v>
      </c>
      <c r="G1014">
        <v>41</v>
      </c>
      <c r="H1014">
        <v>350</v>
      </c>
      <c r="I1014">
        <v>8580</v>
      </c>
      <c r="J1014">
        <v>105</v>
      </c>
      <c r="K1014">
        <v>243</v>
      </c>
      <c r="L1014">
        <v>432</v>
      </c>
      <c r="M1014">
        <v>0</v>
      </c>
      <c r="N1014">
        <v>10</v>
      </c>
      <c r="O1014">
        <v>0</v>
      </c>
      <c r="P1014">
        <v>38</v>
      </c>
      <c r="Q1014">
        <v>82</v>
      </c>
      <c r="R1014">
        <v>463</v>
      </c>
      <c r="S1014">
        <v>890</v>
      </c>
      <c r="T1014">
        <v>1590</v>
      </c>
      <c r="U1014">
        <v>2480</v>
      </c>
      <c r="V1014">
        <v>65</v>
      </c>
      <c r="W1014">
        <v>210</v>
      </c>
      <c r="X1014">
        <v>520</v>
      </c>
      <c r="Y1014">
        <v>570</v>
      </c>
      <c r="Z1014">
        <v>115</v>
      </c>
      <c r="AA1014">
        <v>248</v>
      </c>
      <c r="AB1014" t="s">
        <v>1772</v>
      </c>
    </row>
    <row r="1015" spans="1:28" x14ac:dyDescent="0.3">
      <c r="A1015">
        <v>200811</v>
      </c>
      <c r="B1015" t="s">
        <v>1279</v>
      </c>
      <c r="C1015">
        <v>0</v>
      </c>
      <c r="D1015">
        <v>1610612752</v>
      </c>
      <c r="E1015" t="s">
        <v>1248</v>
      </c>
      <c r="F1015">
        <v>330</v>
      </c>
      <c r="G1015">
        <v>29</v>
      </c>
      <c r="H1015">
        <v>0</v>
      </c>
      <c r="I1015">
        <v>2040</v>
      </c>
      <c r="J1015">
        <v>19</v>
      </c>
      <c r="K1015">
        <v>53</v>
      </c>
      <c r="L1015">
        <v>358</v>
      </c>
      <c r="M1015">
        <v>0</v>
      </c>
      <c r="N1015">
        <v>0</v>
      </c>
      <c r="O1015">
        <v>0</v>
      </c>
      <c r="P1015">
        <v>14</v>
      </c>
      <c r="Q1015">
        <v>27</v>
      </c>
      <c r="R1015">
        <v>519</v>
      </c>
      <c r="S1015">
        <v>230</v>
      </c>
      <c r="T1015">
        <v>260</v>
      </c>
      <c r="U1015">
        <v>490</v>
      </c>
      <c r="V1015">
        <v>12</v>
      </c>
      <c r="W1015">
        <v>60</v>
      </c>
      <c r="X1015">
        <v>70</v>
      </c>
      <c r="Y1015">
        <v>150</v>
      </c>
      <c r="Z1015">
        <v>44</v>
      </c>
      <c r="AA1015">
        <v>52</v>
      </c>
      <c r="AB1015" t="s">
        <v>1772</v>
      </c>
    </row>
    <row r="1016" spans="1:28" x14ac:dyDescent="0.3">
      <c r="A1016">
        <v>2047</v>
      </c>
      <c r="B1016" t="s">
        <v>1300</v>
      </c>
      <c r="C1016">
        <v>0</v>
      </c>
      <c r="D1016">
        <v>1610612752</v>
      </c>
      <c r="E1016" t="s">
        <v>1248</v>
      </c>
      <c r="F1016">
        <v>260</v>
      </c>
      <c r="G1016">
        <v>55</v>
      </c>
      <c r="H1016">
        <v>430</v>
      </c>
      <c r="I1016">
        <v>14420</v>
      </c>
      <c r="J1016">
        <v>163</v>
      </c>
      <c r="K1016">
        <v>459</v>
      </c>
      <c r="L1016">
        <v>355</v>
      </c>
      <c r="M1016">
        <v>640</v>
      </c>
      <c r="N1016">
        <v>1880</v>
      </c>
      <c r="O1016">
        <v>34</v>
      </c>
      <c r="P1016">
        <v>61</v>
      </c>
      <c r="Q1016">
        <v>91</v>
      </c>
      <c r="R1016">
        <v>67</v>
      </c>
      <c r="S1016">
        <v>650</v>
      </c>
      <c r="T1016">
        <v>1650</v>
      </c>
      <c r="U1016">
        <v>2300</v>
      </c>
      <c r="V1016">
        <v>88</v>
      </c>
      <c r="W1016">
        <v>390</v>
      </c>
      <c r="X1016">
        <v>60</v>
      </c>
      <c r="Y1016">
        <v>560</v>
      </c>
      <c r="Z1016">
        <v>134</v>
      </c>
      <c r="AA1016">
        <v>451</v>
      </c>
      <c r="AB1016" t="s">
        <v>1773</v>
      </c>
    </row>
    <row r="1017" spans="1:28" x14ac:dyDescent="0.3">
      <c r="A1017">
        <v>2047</v>
      </c>
      <c r="B1017" t="s">
        <v>1302</v>
      </c>
      <c r="C1017">
        <v>0</v>
      </c>
      <c r="D1017">
        <v>1610612752</v>
      </c>
      <c r="E1017" t="s">
        <v>1248</v>
      </c>
      <c r="F1017">
        <v>270</v>
      </c>
      <c r="G1017">
        <v>49</v>
      </c>
      <c r="H1017">
        <v>470</v>
      </c>
      <c r="I1017">
        <v>16210</v>
      </c>
      <c r="J1017">
        <v>228</v>
      </c>
      <c r="K1017">
        <v>545</v>
      </c>
      <c r="L1017">
        <v>418</v>
      </c>
      <c r="M1017">
        <v>970</v>
      </c>
      <c r="N1017">
        <v>2580</v>
      </c>
      <c r="O1017">
        <v>376</v>
      </c>
      <c r="P1017">
        <v>83</v>
      </c>
      <c r="Q1017">
        <v>120</v>
      </c>
      <c r="R1017">
        <v>692</v>
      </c>
      <c r="S1017">
        <v>650</v>
      </c>
      <c r="T1017">
        <v>2870</v>
      </c>
      <c r="U1017">
        <v>3520</v>
      </c>
      <c r="V1017">
        <v>108</v>
      </c>
      <c r="W1017">
        <v>360</v>
      </c>
      <c r="X1017">
        <v>70</v>
      </c>
      <c r="Y1017">
        <v>700</v>
      </c>
      <c r="Z1017">
        <v>133</v>
      </c>
      <c r="AA1017">
        <v>636</v>
      </c>
      <c r="AB1017" t="s">
        <v>1773</v>
      </c>
    </row>
    <row r="1018" spans="1:28" x14ac:dyDescent="0.3">
      <c r="A1018">
        <v>2047</v>
      </c>
      <c r="B1018" t="s">
        <v>1303</v>
      </c>
      <c r="C1018">
        <v>0</v>
      </c>
      <c r="D1018">
        <v>1610612752</v>
      </c>
      <c r="E1018" t="s">
        <v>1248</v>
      </c>
      <c r="F1018">
        <v>280</v>
      </c>
      <c r="G1018">
        <v>65</v>
      </c>
      <c r="H1018">
        <v>650</v>
      </c>
      <c r="I1018">
        <v>18410</v>
      </c>
      <c r="J1018">
        <v>199</v>
      </c>
      <c r="K1018">
        <v>555</v>
      </c>
      <c r="L1018">
        <v>359</v>
      </c>
      <c r="M1018">
        <v>690</v>
      </c>
      <c r="N1018">
        <v>2140</v>
      </c>
      <c r="O1018">
        <v>322</v>
      </c>
      <c r="P1018">
        <v>60</v>
      </c>
      <c r="Q1018">
        <v>88</v>
      </c>
      <c r="R1018">
        <v>682</v>
      </c>
      <c r="S1018">
        <v>560</v>
      </c>
      <c r="T1018">
        <v>2590</v>
      </c>
      <c r="U1018">
        <v>3150</v>
      </c>
      <c r="V1018">
        <v>116</v>
      </c>
      <c r="W1018">
        <v>440</v>
      </c>
      <c r="X1018">
        <v>150</v>
      </c>
      <c r="Y1018">
        <v>690</v>
      </c>
      <c r="Z1018">
        <v>153</v>
      </c>
      <c r="AA1018">
        <v>527</v>
      </c>
      <c r="AB1018" t="s">
        <v>1773</v>
      </c>
    </row>
    <row r="1019" spans="1:28" x14ac:dyDescent="0.3">
      <c r="A1019">
        <v>2047</v>
      </c>
      <c r="B1019" t="s">
        <v>1304</v>
      </c>
      <c r="C1019">
        <v>0</v>
      </c>
      <c r="D1019">
        <v>1610612752</v>
      </c>
      <c r="E1019" t="s">
        <v>1248</v>
      </c>
      <c r="F1019">
        <v>290</v>
      </c>
      <c r="G1019">
        <v>72</v>
      </c>
      <c r="H1019">
        <v>510</v>
      </c>
      <c r="I1019">
        <v>18940</v>
      </c>
      <c r="J1019">
        <v>262</v>
      </c>
      <c r="K1019">
        <v>667</v>
      </c>
      <c r="L1019">
        <v>393</v>
      </c>
      <c r="M1019">
        <v>1200</v>
      </c>
      <c r="N1019">
        <v>3290</v>
      </c>
      <c r="O1019">
        <v>365</v>
      </c>
      <c r="P1019">
        <v>89</v>
      </c>
      <c r="Q1019">
        <v>117</v>
      </c>
      <c r="R1019">
        <v>761</v>
      </c>
      <c r="S1019">
        <v>710</v>
      </c>
      <c r="T1019">
        <v>2480</v>
      </c>
      <c r="U1019">
        <v>3190</v>
      </c>
      <c r="V1019">
        <v>117</v>
      </c>
      <c r="W1019">
        <v>470</v>
      </c>
      <c r="X1019">
        <v>70</v>
      </c>
      <c r="Y1019">
        <v>740</v>
      </c>
      <c r="Z1019">
        <v>132</v>
      </c>
      <c r="AA1019">
        <v>733</v>
      </c>
      <c r="AB1019" t="s">
        <v>1773</v>
      </c>
    </row>
    <row r="1020" spans="1:28" x14ac:dyDescent="0.3">
      <c r="A1020">
        <v>2047</v>
      </c>
      <c r="B1020" t="s">
        <v>1292</v>
      </c>
      <c r="C1020">
        <v>0</v>
      </c>
      <c r="D1020">
        <v>1610612752</v>
      </c>
      <c r="E1020" t="s">
        <v>1248</v>
      </c>
      <c r="F1020">
        <v>330</v>
      </c>
      <c r="G1020">
        <v>1</v>
      </c>
      <c r="H1020">
        <v>0</v>
      </c>
      <c r="I1020">
        <v>290</v>
      </c>
      <c r="J1020">
        <v>1</v>
      </c>
      <c r="K1020">
        <v>11</v>
      </c>
      <c r="L1020">
        <v>91</v>
      </c>
      <c r="M1020">
        <v>10</v>
      </c>
      <c r="N1020">
        <v>40</v>
      </c>
      <c r="O1020">
        <v>25</v>
      </c>
      <c r="P1020">
        <v>2</v>
      </c>
      <c r="Q1020">
        <v>2</v>
      </c>
      <c r="R1020">
        <v>10</v>
      </c>
      <c r="S1020">
        <v>50</v>
      </c>
      <c r="T1020">
        <v>50</v>
      </c>
      <c r="U1020">
        <v>100</v>
      </c>
      <c r="V1020">
        <v>1</v>
      </c>
      <c r="W1020">
        <v>0</v>
      </c>
      <c r="X1020">
        <v>0</v>
      </c>
      <c r="Y1020">
        <v>20</v>
      </c>
      <c r="Z1020">
        <v>1</v>
      </c>
      <c r="AA1020">
        <v>5</v>
      </c>
      <c r="AB1020" t="s">
        <v>1773</v>
      </c>
    </row>
    <row r="1021" spans="1:28" x14ac:dyDescent="0.3">
      <c r="A1021">
        <v>2216</v>
      </c>
      <c r="B1021" t="s">
        <v>1303</v>
      </c>
      <c r="C1021">
        <v>0</v>
      </c>
      <c r="D1021">
        <v>1610612752</v>
      </c>
      <c r="E1021" t="s">
        <v>1248</v>
      </c>
      <c r="F1021">
        <v>260</v>
      </c>
      <c r="G1021">
        <v>69</v>
      </c>
      <c r="H1021">
        <v>680</v>
      </c>
      <c r="I1021">
        <v>22440</v>
      </c>
      <c r="J1021">
        <v>486</v>
      </c>
      <c r="K1021">
        <v>1058</v>
      </c>
      <c r="L1021">
        <v>459</v>
      </c>
      <c r="M1021">
        <v>220</v>
      </c>
      <c r="N1021">
        <v>800</v>
      </c>
      <c r="O1021">
        <v>275</v>
      </c>
      <c r="P1021">
        <v>223</v>
      </c>
      <c r="Q1021">
        <v>289</v>
      </c>
      <c r="R1021">
        <v>772</v>
      </c>
      <c r="S1021">
        <v>1840</v>
      </c>
      <c r="T1021">
        <v>5260</v>
      </c>
      <c r="U1021">
        <v>7100</v>
      </c>
      <c r="V1021">
        <v>140</v>
      </c>
      <c r="W1021">
        <v>590</v>
      </c>
      <c r="X1021">
        <v>160</v>
      </c>
      <c r="Y1021">
        <v>1860</v>
      </c>
      <c r="Z1021">
        <v>194</v>
      </c>
      <c r="AA1021">
        <v>1217</v>
      </c>
      <c r="AB1021" t="s">
        <v>1774</v>
      </c>
    </row>
    <row r="1022" spans="1:28" x14ac:dyDescent="0.3">
      <c r="A1022">
        <v>2216</v>
      </c>
      <c r="B1022" t="s">
        <v>1304</v>
      </c>
      <c r="C1022">
        <v>0</v>
      </c>
      <c r="D1022">
        <v>1610612752</v>
      </c>
      <c r="E1022" t="s">
        <v>1248</v>
      </c>
      <c r="F1022">
        <v>270</v>
      </c>
      <c r="G1022">
        <v>11</v>
      </c>
      <c r="H1022">
        <v>110</v>
      </c>
      <c r="I1022">
        <v>3880</v>
      </c>
      <c r="J1022">
        <v>82</v>
      </c>
      <c r="K1022">
        <v>189</v>
      </c>
      <c r="L1022">
        <v>434</v>
      </c>
      <c r="M1022">
        <v>70</v>
      </c>
      <c r="N1022">
        <v>240</v>
      </c>
      <c r="O1022">
        <v>292</v>
      </c>
      <c r="P1022">
        <v>55</v>
      </c>
      <c r="Q1022">
        <v>67</v>
      </c>
      <c r="R1022">
        <v>821</v>
      </c>
      <c r="S1022">
        <v>400</v>
      </c>
      <c r="T1022">
        <v>970</v>
      </c>
      <c r="U1022">
        <v>1370</v>
      </c>
      <c r="V1022">
        <v>15</v>
      </c>
      <c r="W1022">
        <v>130</v>
      </c>
      <c r="X1022">
        <v>30</v>
      </c>
      <c r="Y1022">
        <v>230</v>
      </c>
      <c r="Z1022">
        <v>28</v>
      </c>
      <c r="AA1022">
        <v>226</v>
      </c>
      <c r="AB1022" t="s">
        <v>1774</v>
      </c>
    </row>
    <row r="1023" spans="1:28" x14ac:dyDescent="0.3">
      <c r="A1023">
        <v>101127</v>
      </c>
      <c r="B1023" t="s">
        <v>1259</v>
      </c>
      <c r="C1023">
        <v>0</v>
      </c>
      <c r="D1023">
        <v>1610612752</v>
      </c>
      <c r="E1023" t="s">
        <v>1248</v>
      </c>
      <c r="F1023">
        <v>340</v>
      </c>
      <c r="G1023">
        <v>62</v>
      </c>
      <c r="H1023">
        <v>560</v>
      </c>
      <c r="I1023">
        <v>15480</v>
      </c>
      <c r="J1023">
        <v>189</v>
      </c>
      <c r="K1023">
        <v>443</v>
      </c>
      <c r="L1023">
        <v>427</v>
      </c>
      <c r="M1023">
        <v>250</v>
      </c>
      <c r="N1023">
        <v>860</v>
      </c>
      <c r="O1023">
        <v>291</v>
      </c>
      <c r="P1023">
        <v>63</v>
      </c>
      <c r="Q1023">
        <v>75</v>
      </c>
      <c r="R1023">
        <v>84</v>
      </c>
      <c r="S1023">
        <v>220</v>
      </c>
      <c r="T1023">
        <v>1690</v>
      </c>
      <c r="U1023">
        <v>1910</v>
      </c>
      <c r="V1023">
        <v>348</v>
      </c>
      <c r="W1023">
        <v>350</v>
      </c>
      <c r="X1023">
        <v>40</v>
      </c>
      <c r="Y1023">
        <v>1150</v>
      </c>
      <c r="Z1023">
        <v>98</v>
      </c>
      <c r="AA1023">
        <v>466</v>
      </c>
      <c r="AB1023" t="s">
        <v>1775</v>
      </c>
    </row>
    <row r="1024" spans="1:28" x14ac:dyDescent="0.3">
      <c r="A1024">
        <v>202683</v>
      </c>
      <c r="B1024" t="s">
        <v>1259</v>
      </c>
      <c r="C1024">
        <v>0</v>
      </c>
      <c r="D1024">
        <v>1610612752</v>
      </c>
      <c r="E1024" t="s">
        <v>1248</v>
      </c>
      <c r="F1024">
        <v>260</v>
      </c>
      <c r="G1024">
        <v>71</v>
      </c>
      <c r="H1024">
        <v>710</v>
      </c>
      <c r="I1024">
        <v>18300</v>
      </c>
      <c r="J1024">
        <v>422</v>
      </c>
      <c r="K1024">
        <v>713</v>
      </c>
      <c r="L1024">
        <v>592</v>
      </c>
      <c r="M1024">
        <v>0</v>
      </c>
      <c r="N1024">
        <v>20</v>
      </c>
      <c r="O1024">
        <v>0</v>
      </c>
      <c r="P1024">
        <v>156</v>
      </c>
      <c r="Q1024">
        <v>184</v>
      </c>
      <c r="R1024">
        <v>848</v>
      </c>
      <c r="S1024">
        <v>2730</v>
      </c>
      <c r="T1024">
        <v>5070</v>
      </c>
      <c r="U1024">
        <v>7800</v>
      </c>
      <c r="V1024">
        <v>105</v>
      </c>
      <c r="W1024">
        <v>360</v>
      </c>
      <c r="X1024">
        <v>370</v>
      </c>
      <c r="Y1024">
        <v>1220</v>
      </c>
      <c r="Z1024">
        <v>187</v>
      </c>
      <c r="AA1024">
        <v>1000</v>
      </c>
      <c r="AB1024" t="s">
        <v>1776</v>
      </c>
    </row>
    <row r="1025" spans="1:28" x14ac:dyDescent="0.3">
      <c r="A1025">
        <v>202683</v>
      </c>
      <c r="B1025" t="s">
        <v>1287</v>
      </c>
      <c r="C1025">
        <v>0</v>
      </c>
      <c r="D1025">
        <v>1610612752</v>
      </c>
      <c r="E1025" t="s">
        <v>1248</v>
      </c>
      <c r="F1025">
        <v>270</v>
      </c>
      <c r="G1025">
        <v>44</v>
      </c>
      <c r="H1025">
        <v>230</v>
      </c>
      <c r="I1025">
        <v>11280</v>
      </c>
      <c r="J1025">
        <v>251</v>
      </c>
      <c r="K1025">
        <v>468</v>
      </c>
      <c r="L1025">
        <v>536</v>
      </c>
      <c r="M1025">
        <v>70</v>
      </c>
      <c r="N1025">
        <v>220</v>
      </c>
      <c r="O1025">
        <v>318</v>
      </c>
      <c r="P1025">
        <v>105</v>
      </c>
      <c r="Q1025">
        <v>129</v>
      </c>
      <c r="R1025">
        <v>814</v>
      </c>
      <c r="S1025">
        <v>1710</v>
      </c>
      <c r="T1025">
        <v>2900</v>
      </c>
      <c r="U1025">
        <v>4610</v>
      </c>
      <c r="V1025">
        <v>84</v>
      </c>
      <c r="W1025">
        <v>180</v>
      </c>
      <c r="X1025">
        <v>170</v>
      </c>
      <c r="Y1025">
        <v>790</v>
      </c>
      <c r="Z1025">
        <v>106</v>
      </c>
      <c r="AA1025">
        <v>614</v>
      </c>
      <c r="AB1025" t="s">
        <v>1776</v>
      </c>
    </row>
    <row r="1026" spans="1:28" x14ac:dyDescent="0.3">
      <c r="A1026">
        <v>76385</v>
      </c>
      <c r="B1026" t="s">
        <v>1270</v>
      </c>
      <c r="C1026">
        <v>0</v>
      </c>
      <c r="D1026">
        <v>1610612752</v>
      </c>
      <c r="E1026" t="s">
        <v>1248</v>
      </c>
      <c r="F1026">
        <v>330</v>
      </c>
      <c r="G1026">
        <v>31</v>
      </c>
      <c r="H1026">
        <v>130</v>
      </c>
      <c r="I1026">
        <v>7530</v>
      </c>
      <c r="J1026">
        <v>92</v>
      </c>
      <c r="K1026">
        <v>159</v>
      </c>
      <c r="L1026">
        <v>579</v>
      </c>
      <c r="M1026">
        <v>30</v>
      </c>
      <c r="N1026">
        <v>70</v>
      </c>
      <c r="O1026">
        <v>429</v>
      </c>
      <c r="P1026">
        <v>57</v>
      </c>
      <c r="Q1026">
        <v>65</v>
      </c>
      <c r="R1026">
        <v>877</v>
      </c>
      <c r="S1026">
        <v>110</v>
      </c>
      <c r="T1026">
        <v>620</v>
      </c>
      <c r="U1026">
        <v>730</v>
      </c>
      <c r="V1026">
        <v>151</v>
      </c>
      <c r="W1026">
        <v>420</v>
      </c>
      <c r="X1026">
        <v>50</v>
      </c>
      <c r="Y1026">
        <v>360</v>
      </c>
      <c r="Z1026">
        <v>32</v>
      </c>
      <c r="AA1026">
        <v>244</v>
      </c>
      <c r="AB1026" t="s">
        <v>1777</v>
      </c>
    </row>
    <row r="1027" spans="1:28" x14ac:dyDescent="0.3">
      <c r="A1027">
        <v>76385</v>
      </c>
      <c r="B1027" t="s">
        <v>1271</v>
      </c>
      <c r="C1027">
        <v>0</v>
      </c>
      <c r="D1027">
        <v>1610612752</v>
      </c>
      <c r="E1027" t="s">
        <v>1248</v>
      </c>
      <c r="F1027">
        <v>340</v>
      </c>
      <c r="G1027">
        <v>76</v>
      </c>
      <c r="H1027">
        <v>640</v>
      </c>
      <c r="I1027">
        <v>21470</v>
      </c>
      <c r="J1027">
        <v>241</v>
      </c>
      <c r="K1027">
        <v>483</v>
      </c>
      <c r="L1027">
        <v>499</v>
      </c>
      <c r="M1027">
        <v>50</v>
      </c>
      <c r="N1027">
        <v>200</v>
      </c>
      <c r="O1027">
        <v>25</v>
      </c>
      <c r="P1027">
        <v>105</v>
      </c>
      <c r="Q1027">
        <v>129</v>
      </c>
      <c r="R1027">
        <v>814</v>
      </c>
      <c r="S1027">
        <v>220</v>
      </c>
      <c r="T1027">
        <v>1510</v>
      </c>
      <c r="U1027">
        <v>1730</v>
      </c>
      <c r="V1027">
        <v>435</v>
      </c>
      <c r="W1027">
        <v>1280</v>
      </c>
      <c r="X1027">
        <v>100</v>
      </c>
      <c r="Y1027">
        <v>1080</v>
      </c>
      <c r="Z1027">
        <v>138</v>
      </c>
      <c r="AA1027">
        <v>592</v>
      </c>
      <c r="AB1027" t="s">
        <v>1777</v>
      </c>
    </row>
    <row r="1028" spans="1:28" x14ac:dyDescent="0.3">
      <c r="A1028">
        <v>76206</v>
      </c>
      <c r="B1028" t="s">
        <v>1257</v>
      </c>
      <c r="C1028">
        <v>0</v>
      </c>
      <c r="D1028">
        <v>1610612752</v>
      </c>
      <c r="E1028" t="s">
        <v>1248</v>
      </c>
      <c r="F1028">
        <v>270</v>
      </c>
      <c r="G1028">
        <v>49</v>
      </c>
      <c r="I1028">
        <v>16520</v>
      </c>
      <c r="J1028">
        <v>329</v>
      </c>
      <c r="K1028">
        <v>762</v>
      </c>
      <c r="L1028">
        <v>432</v>
      </c>
      <c r="P1028">
        <v>198</v>
      </c>
      <c r="Q1028">
        <v>257</v>
      </c>
      <c r="R1028">
        <v>77</v>
      </c>
      <c r="U1028">
        <v>4180</v>
      </c>
      <c r="V1028">
        <v>63</v>
      </c>
      <c r="Z1028">
        <v>148</v>
      </c>
      <c r="AA1028">
        <v>856</v>
      </c>
      <c r="AB1028" t="s">
        <v>1778</v>
      </c>
    </row>
    <row r="1029" spans="1:28" x14ac:dyDescent="0.3">
      <c r="A1029">
        <v>76206</v>
      </c>
      <c r="B1029" t="s">
        <v>1258</v>
      </c>
      <c r="C1029">
        <v>0</v>
      </c>
      <c r="D1029">
        <v>1610612752</v>
      </c>
      <c r="E1029" t="s">
        <v>1248</v>
      </c>
      <c r="F1029">
        <v>280</v>
      </c>
      <c r="G1029">
        <v>80</v>
      </c>
      <c r="I1029">
        <v>21390</v>
      </c>
      <c r="J1029">
        <v>424</v>
      </c>
      <c r="K1029">
        <v>963</v>
      </c>
      <c r="L1029">
        <v>44</v>
      </c>
      <c r="P1029">
        <v>288</v>
      </c>
      <c r="Q1029">
        <v>375</v>
      </c>
      <c r="R1029">
        <v>768</v>
      </c>
      <c r="U1029">
        <v>6040</v>
      </c>
      <c r="V1029">
        <v>108</v>
      </c>
      <c r="Z1029">
        <v>183</v>
      </c>
      <c r="AA1029">
        <v>1136</v>
      </c>
      <c r="AB1029" t="s">
        <v>1778</v>
      </c>
    </row>
    <row r="1030" spans="1:28" x14ac:dyDescent="0.3">
      <c r="A1030">
        <v>202690</v>
      </c>
      <c r="B1030" t="s">
        <v>1279</v>
      </c>
      <c r="C1030">
        <v>0</v>
      </c>
      <c r="D1030">
        <v>1610612752</v>
      </c>
      <c r="E1030" t="s">
        <v>1248</v>
      </c>
      <c r="F1030">
        <v>270</v>
      </c>
      <c r="G1030">
        <v>2</v>
      </c>
      <c r="H1030">
        <v>0</v>
      </c>
      <c r="I1030">
        <v>50</v>
      </c>
      <c r="J1030">
        <v>1</v>
      </c>
      <c r="K1030">
        <v>1</v>
      </c>
      <c r="L1030">
        <v>10</v>
      </c>
      <c r="M1030">
        <v>10</v>
      </c>
      <c r="N1030">
        <v>10</v>
      </c>
      <c r="O1030">
        <v>10</v>
      </c>
      <c r="P1030">
        <v>4</v>
      </c>
      <c r="Q1030">
        <v>5</v>
      </c>
      <c r="R1030">
        <v>8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10</v>
      </c>
      <c r="Z1030">
        <v>1</v>
      </c>
      <c r="AA1030">
        <v>7</v>
      </c>
      <c r="AB1030" t="s">
        <v>1779</v>
      </c>
    </row>
    <row r="1031" spans="1:28" x14ac:dyDescent="0.3">
      <c r="A1031">
        <v>76382</v>
      </c>
      <c r="B1031" t="s">
        <v>1257</v>
      </c>
      <c r="C1031">
        <v>0</v>
      </c>
      <c r="D1031">
        <v>1610612752</v>
      </c>
      <c r="E1031" t="s">
        <v>1248</v>
      </c>
      <c r="F1031">
        <v>230</v>
      </c>
      <c r="G1031">
        <v>78</v>
      </c>
      <c r="I1031">
        <v>24890</v>
      </c>
      <c r="J1031">
        <v>531</v>
      </c>
      <c r="K1031">
        <v>1183</v>
      </c>
      <c r="L1031">
        <v>449</v>
      </c>
      <c r="P1031">
        <v>287</v>
      </c>
      <c r="Q1031">
        <v>401</v>
      </c>
      <c r="R1031">
        <v>716</v>
      </c>
      <c r="U1031">
        <v>7670</v>
      </c>
      <c r="V1031">
        <v>83</v>
      </c>
      <c r="Z1031">
        <v>212</v>
      </c>
      <c r="AA1031">
        <v>1349</v>
      </c>
      <c r="AB1031" t="s">
        <v>1780</v>
      </c>
    </row>
    <row r="1032" spans="1:28" x14ac:dyDescent="0.3">
      <c r="A1032">
        <v>76382</v>
      </c>
      <c r="B1032" t="s">
        <v>1258</v>
      </c>
      <c r="C1032">
        <v>0</v>
      </c>
      <c r="D1032">
        <v>1610612752</v>
      </c>
      <c r="E1032" t="s">
        <v>1248</v>
      </c>
      <c r="F1032">
        <v>240</v>
      </c>
      <c r="G1032">
        <v>43</v>
      </c>
      <c r="I1032">
        <v>6550</v>
      </c>
      <c r="J1032">
        <v>145</v>
      </c>
      <c r="K1032">
        <v>367</v>
      </c>
      <c r="L1032">
        <v>395</v>
      </c>
      <c r="P1032">
        <v>68</v>
      </c>
      <c r="Q1032">
        <v>100</v>
      </c>
      <c r="R1032">
        <v>68</v>
      </c>
      <c r="U1032">
        <v>1400</v>
      </c>
      <c r="V1032">
        <v>15</v>
      </c>
      <c r="Z1032">
        <v>73</v>
      </c>
      <c r="AA1032">
        <v>358</v>
      </c>
      <c r="AB1032" t="s">
        <v>1780</v>
      </c>
    </row>
    <row r="1033" spans="1:28" x14ac:dyDescent="0.3">
      <c r="A1033">
        <v>76382</v>
      </c>
      <c r="B1033" t="s">
        <v>1412</v>
      </c>
      <c r="C1033">
        <v>0</v>
      </c>
      <c r="D1033">
        <v>1610612752</v>
      </c>
      <c r="E1033" t="s">
        <v>1248</v>
      </c>
      <c r="F1033">
        <v>250</v>
      </c>
      <c r="G1033">
        <v>46</v>
      </c>
      <c r="I1033">
        <v>5450</v>
      </c>
      <c r="J1033">
        <v>100</v>
      </c>
      <c r="K1033">
        <v>238</v>
      </c>
      <c r="L1033">
        <v>42</v>
      </c>
      <c r="P1033">
        <v>46</v>
      </c>
      <c r="Q1033">
        <v>78</v>
      </c>
      <c r="R1033">
        <v>59</v>
      </c>
      <c r="U1033">
        <v>1270</v>
      </c>
      <c r="V1033">
        <v>26</v>
      </c>
      <c r="Z1033">
        <v>64</v>
      </c>
      <c r="AA1033">
        <v>246</v>
      </c>
      <c r="AB1033" t="s">
        <v>1780</v>
      </c>
    </row>
    <row r="1034" spans="1:28" x14ac:dyDescent="0.3">
      <c r="A1034">
        <v>77093</v>
      </c>
      <c r="B1034" t="s">
        <v>1322</v>
      </c>
      <c r="C1034">
        <v>0</v>
      </c>
      <c r="D1034">
        <v>1610612752</v>
      </c>
      <c r="E1034" t="s">
        <v>1248</v>
      </c>
      <c r="F1034">
        <v>220</v>
      </c>
      <c r="G1034">
        <v>62</v>
      </c>
      <c r="I1034">
        <v>9940</v>
      </c>
      <c r="J1034">
        <v>122</v>
      </c>
      <c r="K1034">
        <v>310</v>
      </c>
      <c r="L1034">
        <v>394</v>
      </c>
      <c r="P1034">
        <v>49</v>
      </c>
      <c r="Q1034">
        <v>96</v>
      </c>
      <c r="R1034">
        <v>51</v>
      </c>
      <c r="U1034">
        <v>2960</v>
      </c>
      <c r="V1034">
        <v>51</v>
      </c>
      <c r="Z1034">
        <v>143</v>
      </c>
      <c r="AA1034">
        <v>293</v>
      </c>
      <c r="AB1034" t="s">
        <v>1781</v>
      </c>
    </row>
    <row r="1035" spans="1:28" x14ac:dyDescent="0.3">
      <c r="A1035">
        <v>77093</v>
      </c>
      <c r="B1035" t="s">
        <v>1323</v>
      </c>
      <c r="C1035">
        <v>0</v>
      </c>
      <c r="D1035">
        <v>1610612752</v>
      </c>
      <c r="E1035" t="s">
        <v>1248</v>
      </c>
      <c r="F1035">
        <v>230</v>
      </c>
      <c r="G1035">
        <v>76</v>
      </c>
      <c r="I1035">
        <v>14810</v>
      </c>
      <c r="J1035">
        <v>186</v>
      </c>
      <c r="K1035">
        <v>482</v>
      </c>
      <c r="L1035">
        <v>386</v>
      </c>
      <c r="P1035">
        <v>80</v>
      </c>
      <c r="Q1035">
        <v>139</v>
      </c>
      <c r="R1035">
        <v>576</v>
      </c>
      <c r="U1035">
        <v>4700</v>
      </c>
      <c r="V1035">
        <v>82</v>
      </c>
      <c r="Z1035">
        <v>230</v>
      </c>
      <c r="AA1035">
        <v>452</v>
      </c>
      <c r="AB1035" t="s">
        <v>1781</v>
      </c>
    </row>
    <row r="1036" spans="1:28" x14ac:dyDescent="0.3">
      <c r="A1036">
        <v>393</v>
      </c>
      <c r="B1036" t="s">
        <v>1268</v>
      </c>
      <c r="C1036">
        <v>0</v>
      </c>
      <c r="D1036">
        <v>1610612752</v>
      </c>
      <c r="E1036" t="s">
        <v>1248</v>
      </c>
      <c r="F1036">
        <v>220</v>
      </c>
      <c r="G1036">
        <v>81</v>
      </c>
      <c r="H1036">
        <v>100</v>
      </c>
      <c r="I1036">
        <v>13580</v>
      </c>
      <c r="J1036">
        <v>265</v>
      </c>
      <c r="K1036">
        <v>567</v>
      </c>
      <c r="L1036">
        <v>467</v>
      </c>
      <c r="M1036">
        <v>190</v>
      </c>
      <c r="N1036">
        <v>590</v>
      </c>
      <c r="O1036">
        <v>322</v>
      </c>
      <c r="P1036">
        <v>172</v>
      </c>
      <c r="Q1036">
        <v>231</v>
      </c>
      <c r="R1036">
        <v>745</v>
      </c>
      <c r="S1036">
        <v>510</v>
      </c>
      <c r="T1036">
        <v>1090</v>
      </c>
      <c r="U1036">
        <v>1600</v>
      </c>
      <c r="V1036">
        <v>319</v>
      </c>
      <c r="W1036">
        <v>980</v>
      </c>
      <c r="X1036">
        <v>30</v>
      </c>
      <c r="Y1036">
        <v>1480</v>
      </c>
      <c r="Z1036">
        <v>142</v>
      </c>
      <c r="AA1036">
        <v>721</v>
      </c>
      <c r="AB1036" t="s">
        <v>1782</v>
      </c>
    </row>
    <row r="1037" spans="1:28" x14ac:dyDescent="0.3">
      <c r="A1037">
        <v>393</v>
      </c>
      <c r="B1037" t="s">
        <v>1270</v>
      </c>
      <c r="C1037">
        <v>0</v>
      </c>
      <c r="D1037">
        <v>1610612752</v>
      </c>
      <c r="E1037" t="s">
        <v>1248</v>
      </c>
      <c r="F1037">
        <v>230</v>
      </c>
      <c r="G1037">
        <v>51</v>
      </c>
      <c r="H1037">
        <v>0</v>
      </c>
      <c r="I1037">
        <v>10190</v>
      </c>
      <c r="J1037">
        <v>170</v>
      </c>
      <c r="K1037">
        <v>386</v>
      </c>
      <c r="L1037">
        <v>44</v>
      </c>
      <c r="M1037">
        <v>60</v>
      </c>
      <c r="N1037">
        <v>210</v>
      </c>
      <c r="O1037">
        <v>286</v>
      </c>
      <c r="P1037">
        <v>83</v>
      </c>
      <c r="Q1037">
        <v>130</v>
      </c>
      <c r="R1037">
        <v>638</v>
      </c>
      <c r="S1037">
        <v>430</v>
      </c>
      <c r="T1037">
        <v>830</v>
      </c>
      <c r="U1037">
        <v>1260</v>
      </c>
      <c r="V1037">
        <v>219</v>
      </c>
      <c r="W1037">
        <v>700</v>
      </c>
      <c r="X1037">
        <v>80</v>
      </c>
      <c r="Y1037">
        <v>850</v>
      </c>
      <c r="Z1037">
        <v>71</v>
      </c>
      <c r="AA1037">
        <v>429</v>
      </c>
      <c r="AB1037" t="s">
        <v>1782</v>
      </c>
    </row>
    <row r="1038" spans="1:28" x14ac:dyDescent="0.3">
      <c r="A1038">
        <v>78276</v>
      </c>
      <c r="B1038" t="s">
        <v>1339</v>
      </c>
      <c r="C1038">
        <v>0</v>
      </c>
      <c r="D1038">
        <v>1610612752</v>
      </c>
      <c r="E1038" t="s">
        <v>1248</v>
      </c>
      <c r="F1038">
        <v>270</v>
      </c>
      <c r="G1038">
        <v>60</v>
      </c>
      <c r="J1038">
        <v>172</v>
      </c>
      <c r="K1038">
        <v>641</v>
      </c>
      <c r="L1038">
        <v>268</v>
      </c>
      <c r="P1038">
        <v>133</v>
      </c>
      <c r="Q1038">
        <v>170</v>
      </c>
      <c r="R1038">
        <v>782</v>
      </c>
      <c r="V1038">
        <v>49</v>
      </c>
      <c r="Z1038">
        <v>127</v>
      </c>
      <c r="AA1038">
        <v>477</v>
      </c>
      <c r="AB1038" t="s">
        <v>1783</v>
      </c>
    </row>
    <row r="1039" spans="1:28" x14ac:dyDescent="0.3">
      <c r="A1039">
        <v>78276</v>
      </c>
      <c r="B1039" t="s">
        <v>1297</v>
      </c>
      <c r="C1039">
        <v>0</v>
      </c>
      <c r="D1039">
        <v>1610612752</v>
      </c>
      <c r="E1039" t="s">
        <v>1248</v>
      </c>
      <c r="F1039">
        <v>280</v>
      </c>
      <c r="G1039">
        <v>47</v>
      </c>
      <c r="J1039">
        <v>109</v>
      </c>
      <c r="K1039">
        <v>501</v>
      </c>
      <c r="L1039">
        <v>218</v>
      </c>
      <c r="P1039">
        <v>113</v>
      </c>
      <c r="Q1039">
        <v>135</v>
      </c>
      <c r="R1039">
        <v>837</v>
      </c>
      <c r="V1039">
        <v>57</v>
      </c>
      <c r="Z1039">
        <v>121</v>
      </c>
      <c r="AA1039">
        <v>331</v>
      </c>
      <c r="AB1039" t="s">
        <v>1783</v>
      </c>
    </row>
    <row r="1040" spans="1:28" x14ac:dyDescent="0.3">
      <c r="A1040">
        <v>1743</v>
      </c>
      <c r="B1040" t="s">
        <v>1293</v>
      </c>
      <c r="C1040">
        <v>0</v>
      </c>
      <c r="D1040">
        <v>1610612752</v>
      </c>
      <c r="E1040" t="s">
        <v>1248</v>
      </c>
      <c r="F1040">
        <v>240</v>
      </c>
      <c r="G1040">
        <v>1</v>
      </c>
      <c r="H1040">
        <v>0</v>
      </c>
      <c r="I1040">
        <v>40</v>
      </c>
      <c r="J1040">
        <v>1</v>
      </c>
      <c r="K1040">
        <v>1</v>
      </c>
      <c r="L1040">
        <v>10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2</v>
      </c>
      <c r="AA1040">
        <v>2</v>
      </c>
      <c r="AB1040" t="s">
        <v>1784</v>
      </c>
    </row>
    <row r="1041" spans="1:28" x14ac:dyDescent="0.3">
      <c r="A1041">
        <v>1743</v>
      </c>
      <c r="B1041" t="s">
        <v>1295</v>
      </c>
      <c r="C1041">
        <v>0</v>
      </c>
      <c r="D1041">
        <v>1610612752</v>
      </c>
      <c r="E1041" t="s">
        <v>1248</v>
      </c>
      <c r="F1041">
        <v>250</v>
      </c>
      <c r="G1041">
        <v>21</v>
      </c>
      <c r="H1041">
        <v>0</v>
      </c>
      <c r="I1041">
        <v>730</v>
      </c>
      <c r="J1041">
        <v>11</v>
      </c>
      <c r="K1041">
        <v>37</v>
      </c>
      <c r="L1041">
        <v>297</v>
      </c>
      <c r="M1041">
        <v>10</v>
      </c>
      <c r="N1041">
        <v>30</v>
      </c>
      <c r="O1041">
        <v>333</v>
      </c>
      <c r="P1041">
        <v>2</v>
      </c>
      <c r="Q1041">
        <v>2</v>
      </c>
      <c r="R1041">
        <v>10</v>
      </c>
      <c r="S1041">
        <v>60</v>
      </c>
      <c r="T1041">
        <v>70</v>
      </c>
      <c r="U1041">
        <v>130</v>
      </c>
      <c r="V1041">
        <v>2</v>
      </c>
      <c r="W1041">
        <v>20</v>
      </c>
      <c r="X1041">
        <v>20</v>
      </c>
      <c r="Y1041">
        <v>60</v>
      </c>
      <c r="Z1041">
        <v>16</v>
      </c>
      <c r="AA1041">
        <v>25</v>
      </c>
      <c r="AB1041" t="s">
        <v>1784</v>
      </c>
    </row>
    <row r="1042" spans="1:28" x14ac:dyDescent="0.3">
      <c r="A1042">
        <v>78280</v>
      </c>
      <c r="B1042" t="s">
        <v>1390</v>
      </c>
      <c r="C1042">
        <v>0</v>
      </c>
      <c r="D1042">
        <v>1610612752</v>
      </c>
      <c r="E1042" t="s">
        <v>1248</v>
      </c>
      <c r="F1042">
        <v>230</v>
      </c>
      <c r="G1042">
        <v>26</v>
      </c>
      <c r="I1042">
        <v>1870</v>
      </c>
      <c r="J1042">
        <v>13</v>
      </c>
      <c r="K1042">
        <v>61</v>
      </c>
      <c r="L1042">
        <v>213</v>
      </c>
      <c r="P1042">
        <v>19</v>
      </c>
      <c r="Q1042">
        <v>30</v>
      </c>
      <c r="R1042">
        <v>633</v>
      </c>
      <c r="U1042">
        <v>250</v>
      </c>
      <c r="V1042">
        <v>9</v>
      </c>
      <c r="Z1042">
        <v>36</v>
      </c>
      <c r="AA1042">
        <v>45</v>
      </c>
      <c r="AB1042" t="s">
        <v>1785</v>
      </c>
    </row>
    <row r="1043" spans="1:28" x14ac:dyDescent="0.3">
      <c r="A1043">
        <v>2552</v>
      </c>
      <c r="B1043" t="s">
        <v>1293</v>
      </c>
      <c r="C1043">
        <v>0</v>
      </c>
      <c r="D1043">
        <v>1610612752</v>
      </c>
      <c r="E1043" t="s">
        <v>1248</v>
      </c>
      <c r="F1043">
        <v>210</v>
      </c>
      <c r="G1043">
        <v>42</v>
      </c>
      <c r="H1043">
        <v>10</v>
      </c>
      <c r="I1043">
        <v>4950</v>
      </c>
      <c r="J1043">
        <v>69</v>
      </c>
      <c r="K1043">
        <v>140</v>
      </c>
      <c r="L1043">
        <v>493</v>
      </c>
      <c r="M1043">
        <v>0</v>
      </c>
      <c r="N1043">
        <v>10</v>
      </c>
      <c r="O1043">
        <v>0</v>
      </c>
      <c r="P1043">
        <v>42</v>
      </c>
      <c r="Q1043">
        <v>58</v>
      </c>
      <c r="R1043">
        <v>724</v>
      </c>
      <c r="S1043">
        <v>680</v>
      </c>
      <c r="T1043">
        <v>890</v>
      </c>
      <c r="U1043">
        <v>1570</v>
      </c>
      <c r="V1043">
        <v>14</v>
      </c>
      <c r="W1043">
        <v>180</v>
      </c>
      <c r="X1043">
        <v>120</v>
      </c>
      <c r="Y1043">
        <v>320</v>
      </c>
      <c r="Z1043">
        <v>57</v>
      </c>
      <c r="AA1043">
        <v>180</v>
      </c>
      <c r="AB1043" t="s">
        <v>1786</v>
      </c>
    </row>
    <row r="1044" spans="1:28" x14ac:dyDescent="0.3">
      <c r="A1044">
        <v>2552</v>
      </c>
      <c r="B1044" t="s">
        <v>1295</v>
      </c>
      <c r="C1044">
        <v>0</v>
      </c>
      <c r="D1044">
        <v>1610612752</v>
      </c>
      <c r="E1044" t="s">
        <v>1248</v>
      </c>
      <c r="F1044">
        <v>220</v>
      </c>
      <c r="G1044">
        <v>77</v>
      </c>
      <c r="H1044">
        <v>280</v>
      </c>
      <c r="I1044">
        <v>15090</v>
      </c>
      <c r="J1044">
        <v>237</v>
      </c>
      <c r="K1044">
        <v>446</v>
      </c>
      <c r="L1044">
        <v>531</v>
      </c>
      <c r="M1044">
        <v>0</v>
      </c>
      <c r="N1044">
        <v>10</v>
      </c>
      <c r="O1044">
        <v>0</v>
      </c>
      <c r="P1044">
        <v>176</v>
      </c>
      <c r="Q1044">
        <v>235</v>
      </c>
      <c r="R1044">
        <v>749</v>
      </c>
      <c r="S1044">
        <v>1690</v>
      </c>
      <c r="T1044">
        <v>2490</v>
      </c>
      <c r="U1044">
        <v>4180</v>
      </c>
      <c r="V1044">
        <v>44</v>
      </c>
      <c r="W1044">
        <v>270</v>
      </c>
      <c r="X1044">
        <v>280</v>
      </c>
      <c r="Y1044">
        <v>1080</v>
      </c>
      <c r="Z1044">
        <v>224</v>
      </c>
      <c r="AA1044">
        <v>650</v>
      </c>
      <c r="AB1044" t="s">
        <v>1786</v>
      </c>
    </row>
    <row r="1045" spans="1:28" x14ac:dyDescent="0.3">
      <c r="A1045">
        <v>78291</v>
      </c>
      <c r="B1045" t="s">
        <v>1297</v>
      </c>
      <c r="C1045">
        <v>0</v>
      </c>
      <c r="D1045">
        <v>1610612752</v>
      </c>
      <c r="E1045" t="s">
        <v>1248</v>
      </c>
      <c r="F1045">
        <v>220</v>
      </c>
      <c r="G1045">
        <v>24</v>
      </c>
      <c r="J1045">
        <v>90</v>
      </c>
      <c r="K1045">
        <v>360</v>
      </c>
      <c r="L1045">
        <v>25</v>
      </c>
      <c r="P1045">
        <v>62</v>
      </c>
      <c r="Q1045">
        <v>74</v>
      </c>
      <c r="R1045">
        <v>838</v>
      </c>
      <c r="V1045">
        <v>37</v>
      </c>
      <c r="Z1045">
        <v>33</v>
      </c>
      <c r="AA1045">
        <v>242</v>
      </c>
      <c r="AB1045" t="s">
        <v>1787</v>
      </c>
    </row>
    <row r="1046" spans="1:28" x14ac:dyDescent="0.3">
      <c r="A1046">
        <v>78291</v>
      </c>
      <c r="B1046" t="s">
        <v>1299</v>
      </c>
      <c r="C1046">
        <v>0</v>
      </c>
      <c r="D1046">
        <v>1610612752</v>
      </c>
      <c r="E1046" t="s">
        <v>1248</v>
      </c>
      <c r="F1046">
        <v>230</v>
      </c>
      <c r="G1046">
        <v>32</v>
      </c>
      <c r="I1046">
        <v>0</v>
      </c>
      <c r="J1046">
        <v>96</v>
      </c>
      <c r="K1046">
        <v>339</v>
      </c>
      <c r="L1046">
        <v>283</v>
      </c>
      <c r="P1046">
        <v>65</v>
      </c>
      <c r="Q1046">
        <v>77</v>
      </c>
      <c r="R1046">
        <v>844</v>
      </c>
      <c r="U1046">
        <v>0</v>
      </c>
      <c r="V1046">
        <v>71</v>
      </c>
      <c r="Z1046">
        <v>53</v>
      </c>
      <c r="AA1046">
        <v>257</v>
      </c>
      <c r="AB1046" t="s">
        <v>1787</v>
      </c>
    </row>
    <row r="1047" spans="1:28" x14ac:dyDescent="0.3">
      <c r="A1047">
        <v>1508</v>
      </c>
      <c r="B1047" t="s">
        <v>1295</v>
      </c>
      <c r="C1047">
        <v>0</v>
      </c>
      <c r="D1047">
        <v>1610612752</v>
      </c>
      <c r="E1047" t="s">
        <v>1248</v>
      </c>
      <c r="F1047">
        <v>280</v>
      </c>
      <c r="G1047">
        <v>27</v>
      </c>
      <c r="H1047">
        <v>0</v>
      </c>
      <c r="I1047">
        <v>4310</v>
      </c>
      <c r="J1047">
        <v>76</v>
      </c>
      <c r="K1047">
        <v>154</v>
      </c>
      <c r="L1047">
        <v>494</v>
      </c>
      <c r="M1047">
        <v>0</v>
      </c>
      <c r="N1047">
        <v>10</v>
      </c>
      <c r="O1047">
        <v>0</v>
      </c>
      <c r="P1047">
        <v>24</v>
      </c>
      <c r="Q1047">
        <v>43</v>
      </c>
      <c r="R1047">
        <v>558</v>
      </c>
      <c r="S1047">
        <v>260</v>
      </c>
      <c r="T1047">
        <v>670</v>
      </c>
      <c r="U1047">
        <v>930</v>
      </c>
      <c r="V1047">
        <v>14</v>
      </c>
      <c r="W1047">
        <v>110</v>
      </c>
      <c r="X1047">
        <v>80</v>
      </c>
      <c r="Y1047">
        <v>310</v>
      </c>
      <c r="Z1047">
        <v>57</v>
      </c>
      <c r="AA1047">
        <v>176</v>
      </c>
      <c r="AB1047" t="s">
        <v>1788</v>
      </c>
    </row>
    <row r="1048" spans="1:28" x14ac:dyDescent="0.3">
      <c r="A1048">
        <v>1508</v>
      </c>
      <c r="B1048" t="s">
        <v>1300</v>
      </c>
      <c r="C1048">
        <v>0</v>
      </c>
      <c r="D1048">
        <v>1610612752</v>
      </c>
      <c r="E1048" t="s">
        <v>1248</v>
      </c>
      <c r="F1048">
        <v>290</v>
      </c>
      <c r="G1048">
        <v>67</v>
      </c>
      <c r="H1048">
        <v>130</v>
      </c>
      <c r="I1048">
        <v>12100</v>
      </c>
      <c r="J1048">
        <v>182</v>
      </c>
      <c r="K1048">
        <v>389</v>
      </c>
      <c r="L1048">
        <v>468</v>
      </c>
      <c r="M1048">
        <v>0</v>
      </c>
      <c r="N1048">
        <v>10</v>
      </c>
      <c r="O1048">
        <v>0</v>
      </c>
      <c r="P1048">
        <v>58</v>
      </c>
      <c r="Q1048">
        <v>83</v>
      </c>
      <c r="R1048">
        <v>699</v>
      </c>
      <c r="S1048">
        <v>650</v>
      </c>
      <c r="T1048">
        <v>1640</v>
      </c>
      <c r="U1048">
        <v>2290</v>
      </c>
      <c r="V1048">
        <v>53</v>
      </c>
      <c r="W1048">
        <v>210</v>
      </c>
      <c r="X1048">
        <v>140</v>
      </c>
      <c r="Y1048">
        <v>1030</v>
      </c>
      <c r="Z1048">
        <v>177</v>
      </c>
      <c r="AA1048">
        <v>422</v>
      </c>
      <c r="AB1048" t="s">
        <v>1788</v>
      </c>
    </row>
    <row r="1049" spans="1:28" x14ac:dyDescent="0.3">
      <c r="A1049">
        <v>78303</v>
      </c>
      <c r="B1049" t="s">
        <v>1468</v>
      </c>
      <c r="C1049">
        <v>0</v>
      </c>
      <c r="D1049">
        <v>1610612752</v>
      </c>
      <c r="E1049" t="s">
        <v>1248</v>
      </c>
      <c r="F1049">
        <v>220</v>
      </c>
      <c r="G1049">
        <v>31</v>
      </c>
      <c r="H1049">
        <v>0</v>
      </c>
      <c r="I1049">
        <v>3210</v>
      </c>
      <c r="J1049">
        <v>37</v>
      </c>
      <c r="K1049">
        <v>102</v>
      </c>
      <c r="L1049">
        <v>363</v>
      </c>
      <c r="M1049">
        <v>0</v>
      </c>
      <c r="N1049">
        <v>0</v>
      </c>
      <c r="O1049">
        <v>0</v>
      </c>
      <c r="P1049">
        <v>21</v>
      </c>
      <c r="Q1049">
        <v>32</v>
      </c>
      <c r="R1049">
        <v>656</v>
      </c>
      <c r="S1049">
        <v>190</v>
      </c>
      <c r="T1049">
        <v>170</v>
      </c>
      <c r="U1049">
        <v>360</v>
      </c>
      <c r="V1049">
        <v>41</v>
      </c>
      <c r="W1049">
        <v>200</v>
      </c>
      <c r="X1049">
        <v>20</v>
      </c>
      <c r="Y1049">
        <v>300</v>
      </c>
      <c r="Z1049">
        <v>54</v>
      </c>
      <c r="AA1049">
        <v>95</v>
      </c>
      <c r="AB1049" t="s">
        <v>1789</v>
      </c>
    </row>
    <row r="1050" spans="1:28" x14ac:dyDescent="0.3">
      <c r="A1050">
        <v>703</v>
      </c>
      <c r="B1050" t="s">
        <v>1429</v>
      </c>
      <c r="C1050">
        <v>0</v>
      </c>
      <c r="D1050">
        <v>1610612752</v>
      </c>
      <c r="E1050" t="s">
        <v>1248</v>
      </c>
      <c r="F1050">
        <v>260</v>
      </c>
      <c r="G1050">
        <v>50</v>
      </c>
      <c r="H1050">
        <v>440</v>
      </c>
      <c r="I1050">
        <v>11820</v>
      </c>
      <c r="J1050">
        <v>170</v>
      </c>
      <c r="K1050">
        <v>368</v>
      </c>
      <c r="L1050">
        <v>462</v>
      </c>
      <c r="M1050">
        <v>0</v>
      </c>
      <c r="N1050">
        <v>10</v>
      </c>
      <c r="O1050">
        <v>0</v>
      </c>
      <c r="P1050">
        <v>66</v>
      </c>
      <c r="Q1050">
        <v>108</v>
      </c>
      <c r="R1050">
        <v>611</v>
      </c>
      <c r="S1050">
        <v>820</v>
      </c>
      <c r="T1050">
        <v>2040</v>
      </c>
      <c r="U1050">
        <v>2860</v>
      </c>
      <c r="V1050">
        <v>55</v>
      </c>
      <c r="W1050">
        <v>450</v>
      </c>
      <c r="X1050">
        <v>170</v>
      </c>
      <c r="Y1050">
        <v>730</v>
      </c>
      <c r="Z1050">
        <v>159</v>
      </c>
      <c r="AA1050">
        <v>406</v>
      </c>
      <c r="AB1050" t="s">
        <v>1790</v>
      </c>
    </row>
    <row r="1051" spans="1:28" x14ac:dyDescent="0.3">
      <c r="A1051">
        <v>703</v>
      </c>
      <c r="B1051" t="s">
        <v>1464</v>
      </c>
      <c r="C1051">
        <v>0</v>
      </c>
      <c r="D1051">
        <v>1610612752</v>
      </c>
      <c r="E1051" t="s">
        <v>1248</v>
      </c>
      <c r="F1051">
        <v>270</v>
      </c>
      <c r="G1051">
        <v>80</v>
      </c>
      <c r="H1051">
        <v>210</v>
      </c>
      <c r="I1051">
        <v>19710</v>
      </c>
      <c r="J1051">
        <v>270</v>
      </c>
      <c r="K1051">
        <v>535</v>
      </c>
      <c r="L1051">
        <v>505</v>
      </c>
      <c r="M1051">
        <v>10</v>
      </c>
      <c r="N1051">
        <v>30</v>
      </c>
      <c r="O1051">
        <v>333</v>
      </c>
      <c r="P1051">
        <v>100</v>
      </c>
      <c r="Q1051">
        <v>128</v>
      </c>
      <c r="R1051">
        <v>781</v>
      </c>
      <c r="S1051">
        <v>1440</v>
      </c>
      <c r="T1051">
        <v>3610</v>
      </c>
      <c r="U1051">
        <v>5050</v>
      </c>
      <c r="V1051">
        <v>82</v>
      </c>
      <c r="W1051">
        <v>510</v>
      </c>
      <c r="X1051">
        <v>420</v>
      </c>
      <c r="Y1051">
        <v>1050</v>
      </c>
      <c r="Z1051">
        <v>278</v>
      </c>
      <c r="AA1051">
        <v>641</v>
      </c>
      <c r="AB1051" t="s">
        <v>1790</v>
      </c>
    </row>
    <row r="1052" spans="1:28" x14ac:dyDescent="0.3">
      <c r="A1052">
        <v>703</v>
      </c>
      <c r="B1052" t="s">
        <v>1465</v>
      </c>
      <c r="C1052">
        <v>0</v>
      </c>
      <c r="D1052">
        <v>1610612752</v>
      </c>
      <c r="E1052" t="s">
        <v>1248</v>
      </c>
      <c r="F1052">
        <v>280</v>
      </c>
      <c r="G1052">
        <v>77</v>
      </c>
      <c r="H1052">
        <v>290</v>
      </c>
      <c r="I1052">
        <v>21280</v>
      </c>
      <c r="J1052">
        <v>314</v>
      </c>
      <c r="K1052">
        <v>614</v>
      </c>
      <c r="L1052">
        <v>511</v>
      </c>
      <c r="M1052">
        <v>10</v>
      </c>
      <c r="N1052">
        <v>30</v>
      </c>
      <c r="O1052">
        <v>333</v>
      </c>
      <c r="P1052">
        <v>171</v>
      </c>
      <c r="Q1052">
        <v>210</v>
      </c>
      <c r="R1052">
        <v>814</v>
      </c>
      <c r="S1052">
        <v>1720</v>
      </c>
      <c r="T1052">
        <v>3430</v>
      </c>
      <c r="U1052">
        <v>5150</v>
      </c>
      <c r="V1052">
        <v>63</v>
      </c>
      <c r="W1052">
        <v>610</v>
      </c>
      <c r="X1052">
        <v>690</v>
      </c>
      <c r="Y1052">
        <v>990</v>
      </c>
      <c r="Z1052">
        <v>287</v>
      </c>
      <c r="AA1052">
        <v>800</v>
      </c>
      <c r="AB1052" t="s">
        <v>1790</v>
      </c>
    </row>
    <row r="1053" spans="1:28" x14ac:dyDescent="0.3">
      <c r="A1053">
        <v>703</v>
      </c>
      <c r="B1053" t="s">
        <v>1330</v>
      </c>
      <c r="C1053">
        <v>0</v>
      </c>
      <c r="D1053">
        <v>1610612752</v>
      </c>
      <c r="E1053" t="s">
        <v>1248</v>
      </c>
      <c r="F1053">
        <v>290</v>
      </c>
      <c r="G1053">
        <v>82</v>
      </c>
      <c r="H1053">
        <v>820</v>
      </c>
      <c r="I1053">
        <v>27690</v>
      </c>
      <c r="J1053">
        <v>463</v>
      </c>
      <c r="K1053">
        <v>938</v>
      </c>
      <c r="L1053">
        <v>494</v>
      </c>
      <c r="M1053">
        <v>10</v>
      </c>
      <c r="N1053">
        <v>60</v>
      </c>
      <c r="O1053">
        <v>167</v>
      </c>
      <c r="P1053">
        <v>216</v>
      </c>
      <c r="Q1053">
        <v>265</v>
      </c>
      <c r="R1053">
        <v>815</v>
      </c>
      <c r="S1053">
        <v>2140</v>
      </c>
      <c r="T1053">
        <v>5330</v>
      </c>
      <c r="U1053">
        <v>7470</v>
      </c>
      <c r="V1053">
        <v>87</v>
      </c>
      <c r="W1053">
        <v>710</v>
      </c>
      <c r="X1053">
        <v>790</v>
      </c>
      <c r="Y1053">
        <v>1530</v>
      </c>
      <c r="Z1053">
        <v>341</v>
      </c>
      <c r="AA1053">
        <v>1143</v>
      </c>
      <c r="AB1053" t="s">
        <v>1790</v>
      </c>
    </row>
    <row r="1054" spans="1:28" x14ac:dyDescent="0.3">
      <c r="A1054">
        <v>703</v>
      </c>
      <c r="B1054" t="s">
        <v>1325</v>
      </c>
      <c r="C1054">
        <v>0</v>
      </c>
      <c r="D1054">
        <v>1610612752</v>
      </c>
      <c r="E1054" t="s">
        <v>1248</v>
      </c>
      <c r="F1054">
        <v>300</v>
      </c>
      <c r="G1054">
        <v>81</v>
      </c>
      <c r="H1054">
        <v>810</v>
      </c>
      <c r="I1054">
        <v>25750</v>
      </c>
      <c r="J1054">
        <v>497</v>
      </c>
      <c r="K1054">
        <v>1028</v>
      </c>
      <c r="L1054">
        <v>483</v>
      </c>
      <c r="M1054">
        <v>20</v>
      </c>
      <c r="N1054">
        <v>30</v>
      </c>
      <c r="O1054">
        <v>667</v>
      </c>
      <c r="P1054">
        <v>138</v>
      </c>
      <c r="Q1054">
        <v>184</v>
      </c>
      <c r="R1054">
        <v>75</v>
      </c>
      <c r="S1054">
        <v>1600</v>
      </c>
      <c r="T1054">
        <v>4770</v>
      </c>
      <c r="U1054">
        <v>6370</v>
      </c>
      <c r="V1054">
        <v>162</v>
      </c>
      <c r="W1054">
        <v>810</v>
      </c>
      <c r="X1054">
        <v>970</v>
      </c>
      <c r="Y1054">
        <v>1380</v>
      </c>
      <c r="Z1054">
        <v>344</v>
      </c>
      <c r="AA1054">
        <v>1134</v>
      </c>
      <c r="AB1054" t="s">
        <v>1790</v>
      </c>
    </row>
    <row r="1055" spans="1:28" x14ac:dyDescent="0.3">
      <c r="A1055">
        <v>703</v>
      </c>
      <c r="B1055" t="s">
        <v>1293</v>
      </c>
      <c r="C1055">
        <v>0</v>
      </c>
      <c r="D1055">
        <v>1610612752</v>
      </c>
      <c r="E1055" t="s">
        <v>1248</v>
      </c>
      <c r="F1055">
        <v>310</v>
      </c>
      <c r="G1055">
        <v>80</v>
      </c>
      <c r="H1055">
        <v>750</v>
      </c>
      <c r="I1055">
        <v>25490</v>
      </c>
      <c r="J1055">
        <v>392</v>
      </c>
      <c r="K1055">
        <v>829</v>
      </c>
      <c r="L1055">
        <v>473</v>
      </c>
      <c r="M1055">
        <v>0</v>
      </c>
      <c r="N1055">
        <v>30</v>
      </c>
      <c r="O1055">
        <v>0</v>
      </c>
      <c r="P1055">
        <v>106</v>
      </c>
      <c r="Q1055">
        <v>127</v>
      </c>
      <c r="R1055">
        <v>835</v>
      </c>
      <c r="S1055">
        <v>1450</v>
      </c>
      <c r="T1055">
        <v>5170</v>
      </c>
      <c r="U1055">
        <v>6620</v>
      </c>
      <c r="V1055">
        <v>149</v>
      </c>
      <c r="W1055">
        <v>560</v>
      </c>
      <c r="X1055">
        <v>800</v>
      </c>
      <c r="Y1055">
        <v>1320</v>
      </c>
      <c r="Z1055">
        <v>298</v>
      </c>
      <c r="AA1055">
        <v>890</v>
      </c>
      <c r="AB1055" t="s">
        <v>1790</v>
      </c>
    </row>
    <row r="1056" spans="1:28" x14ac:dyDescent="0.3">
      <c r="A1056">
        <v>703</v>
      </c>
      <c r="B1056" t="s">
        <v>1295</v>
      </c>
      <c r="C1056">
        <v>0</v>
      </c>
      <c r="D1056">
        <v>1610612752</v>
      </c>
      <c r="E1056" t="s">
        <v>1248</v>
      </c>
      <c r="F1056">
        <v>320</v>
      </c>
      <c r="G1056">
        <v>80</v>
      </c>
      <c r="H1056">
        <v>800</v>
      </c>
      <c r="I1056">
        <v>28550</v>
      </c>
      <c r="J1056">
        <v>424</v>
      </c>
      <c r="K1056">
        <v>901</v>
      </c>
      <c r="L1056">
        <v>471</v>
      </c>
      <c r="M1056">
        <v>20</v>
      </c>
      <c r="N1056">
        <v>40</v>
      </c>
      <c r="O1056">
        <v>5</v>
      </c>
      <c r="P1056">
        <v>66</v>
      </c>
      <c r="Q1056">
        <v>84</v>
      </c>
      <c r="R1056">
        <v>786</v>
      </c>
      <c r="S1056">
        <v>1700</v>
      </c>
      <c r="T1056">
        <v>6610</v>
      </c>
      <c r="U1056">
        <v>8310</v>
      </c>
      <c r="V1056">
        <v>160</v>
      </c>
      <c r="W1056">
        <v>700</v>
      </c>
      <c r="X1056">
        <v>790</v>
      </c>
      <c r="Y1056">
        <v>990</v>
      </c>
      <c r="Z1056">
        <v>310</v>
      </c>
      <c r="AA1056">
        <v>916</v>
      </c>
      <c r="AB1056" t="s">
        <v>1790</v>
      </c>
    </row>
    <row r="1057" spans="1:28" x14ac:dyDescent="0.3">
      <c r="A1057">
        <v>703</v>
      </c>
      <c r="B1057" t="s">
        <v>1292</v>
      </c>
      <c r="C1057">
        <v>0</v>
      </c>
      <c r="D1057">
        <v>1610612752</v>
      </c>
      <c r="E1057" t="s">
        <v>1248</v>
      </c>
      <c r="F1057">
        <v>400</v>
      </c>
      <c r="G1057">
        <v>39</v>
      </c>
      <c r="H1057">
        <v>170</v>
      </c>
      <c r="I1057">
        <v>3920</v>
      </c>
      <c r="J1057">
        <v>45</v>
      </c>
      <c r="K1057">
        <v>83</v>
      </c>
      <c r="L1057">
        <v>542</v>
      </c>
      <c r="M1057">
        <v>10</v>
      </c>
      <c r="N1057">
        <v>10</v>
      </c>
      <c r="O1057">
        <v>10</v>
      </c>
      <c r="P1057">
        <v>6</v>
      </c>
      <c r="Q1057">
        <v>13</v>
      </c>
      <c r="R1057">
        <v>462</v>
      </c>
      <c r="S1057">
        <v>240</v>
      </c>
      <c r="T1057">
        <v>650</v>
      </c>
      <c r="U1057">
        <v>890</v>
      </c>
      <c r="V1057">
        <v>21</v>
      </c>
      <c r="W1057">
        <v>100</v>
      </c>
      <c r="X1057">
        <v>160</v>
      </c>
      <c r="Y1057">
        <v>80</v>
      </c>
      <c r="Z1057">
        <v>52</v>
      </c>
      <c r="AA1057">
        <v>97</v>
      </c>
      <c r="AB1057" t="s">
        <v>1790</v>
      </c>
    </row>
    <row r="1058" spans="1:28" x14ac:dyDescent="0.3">
      <c r="A1058">
        <v>202498</v>
      </c>
      <c r="B1058" t="s">
        <v>1343</v>
      </c>
      <c r="C1058">
        <v>0</v>
      </c>
      <c r="D1058">
        <v>1610612752</v>
      </c>
      <c r="E1058" t="s">
        <v>1248</v>
      </c>
      <c r="F1058">
        <v>270</v>
      </c>
      <c r="G1058">
        <v>40</v>
      </c>
      <c r="H1058">
        <v>240</v>
      </c>
      <c r="I1058">
        <v>10400</v>
      </c>
      <c r="J1058">
        <v>137</v>
      </c>
      <c r="K1058">
        <v>316</v>
      </c>
      <c r="L1058">
        <v>434</v>
      </c>
      <c r="M1058">
        <v>70</v>
      </c>
      <c r="N1058">
        <v>210</v>
      </c>
      <c r="O1058">
        <v>333</v>
      </c>
      <c r="P1058">
        <v>49</v>
      </c>
      <c r="Q1058">
        <v>66</v>
      </c>
      <c r="R1058">
        <v>742</v>
      </c>
      <c r="S1058">
        <v>370</v>
      </c>
      <c r="T1058">
        <v>830</v>
      </c>
      <c r="U1058">
        <v>1200</v>
      </c>
      <c r="V1058">
        <v>49</v>
      </c>
      <c r="W1058">
        <v>260</v>
      </c>
      <c r="X1058">
        <v>80</v>
      </c>
      <c r="Y1058">
        <v>570</v>
      </c>
      <c r="Z1058">
        <v>63</v>
      </c>
      <c r="AA1058">
        <v>330</v>
      </c>
      <c r="AB1058" t="s">
        <v>1791</v>
      </c>
    </row>
    <row r="1059" spans="1:28" x14ac:dyDescent="0.3">
      <c r="A1059">
        <v>202498</v>
      </c>
      <c r="B1059" t="s">
        <v>1279</v>
      </c>
      <c r="C1059">
        <v>0</v>
      </c>
      <c r="D1059">
        <v>1610612752</v>
      </c>
      <c r="E1059" t="s">
        <v>1248</v>
      </c>
      <c r="F1059">
        <v>280</v>
      </c>
      <c r="G1059">
        <v>59</v>
      </c>
      <c r="H1059">
        <v>50</v>
      </c>
      <c r="I1059">
        <v>13130</v>
      </c>
      <c r="J1059">
        <v>169</v>
      </c>
      <c r="K1059">
        <v>382</v>
      </c>
      <c r="L1059">
        <v>442</v>
      </c>
      <c r="M1059">
        <v>440</v>
      </c>
      <c r="N1059">
        <v>1090</v>
      </c>
      <c r="O1059">
        <v>404</v>
      </c>
      <c r="P1059">
        <v>102</v>
      </c>
      <c r="Q1059">
        <v>119</v>
      </c>
      <c r="R1059">
        <v>857</v>
      </c>
      <c r="S1059">
        <v>340</v>
      </c>
      <c r="T1059">
        <v>970</v>
      </c>
      <c r="U1059">
        <v>1310</v>
      </c>
      <c r="V1059">
        <v>53</v>
      </c>
      <c r="W1059">
        <v>220</v>
      </c>
      <c r="X1059">
        <v>70</v>
      </c>
      <c r="Y1059">
        <v>570</v>
      </c>
      <c r="Z1059">
        <v>109</v>
      </c>
      <c r="AA1059">
        <v>484</v>
      </c>
      <c r="AB1059" t="s">
        <v>1791</v>
      </c>
    </row>
    <row r="1060" spans="1:28" x14ac:dyDescent="0.3">
      <c r="A1060">
        <v>202498</v>
      </c>
      <c r="B1060" t="s">
        <v>1281</v>
      </c>
      <c r="C1060">
        <v>0</v>
      </c>
      <c r="D1060">
        <v>1610612752</v>
      </c>
      <c r="E1060" t="s">
        <v>1248</v>
      </c>
      <c r="F1060">
        <v>290</v>
      </c>
      <c r="G1060">
        <v>46</v>
      </c>
      <c r="H1060">
        <v>150</v>
      </c>
      <c r="I1060">
        <v>9680</v>
      </c>
      <c r="J1060">
        <v>97</v>
      </c>
      <c r="K1060">
        <v>244</v>
      </c>
      <c r="L1060">
        <v>398</v>
      </c>
      <c r="M1060">
        <v>380</v>
      </c>
      <c r="N1060">
        <v>850</v>
      </c>
      <c r="O1060">
        <v>447</v>
      </c>
      <c r="P1060">
        <v>43</v>
      </c>
      <c r="Q1060">
        <v>51</v>
      </c>
      <c r="R1060">
        <v>843</v>
      </c>
      <c r="S1060">
        <v>320</v>
      </c>
      <c r="T1060">
        <v>1100</v>
      </c>
      <c r="U1060">
        <v>1420</v>
      </c>
      <c r="V1060">
        <v>35</v>
      </c>
      <c r="W1060">
        <v>210</v>
      </c>
      <c r="X1060">
        <v>50</v>
      </c>
      <c r="Y1060">
        <v>250</v>
      </c>
      <c r="Z1060">
        <v>85</v>
      </c>
      <c r="AA1060">
        <v>275</v>
      </c>
      <c r="AB1060" t="s">
        <v>1791</v>
      </c>
    </row>
    <row r="1061" spans="1:28" x14ac:dyDescent="0.3">
      <c r="A1061">
        <v>202498</v>
      </c>
      <c r="B1061" t="s">
        <v>1259</v>
      </c>
      <c r="C1061">
        <v>0</v>
      </c>
      <c r="D1061">
        <v>1610612752</v>
      </c>
      <c r="E1061" t="s">
        <v>1248</v>
      </c>
      <c r="F1061">
        <v>300</v>
      </c>
      <c r="G1061">
        <v>73</v>
      </c>
      <c r="H1061">
        <v>310</v>
      </c>
      <c r="I1061">
        <v>13530</v>
      </c>
      <c r="J1061">
        <v>102</v>
      </c>
      <c r="K1061">
        <v>267</v>
      </c>
      <c r="L1061">
        <v>382</v>
      </c>
      <c r="M1061">
        <v>500</v>
      </c>
      <c r="N1061">
        <v>1240</v>
      </c>
      <c r="O1061">
        <v>403</v>
      </c>
      <c r="P1061">
        <v>44</v>
      </c>
      <c r="Q1061">
        <v>53</v>
      </c>
      <c r="R1061">
        <v>83</v>
      </c>
      <c r="S1061">
        <v>440</v>
      </c>
      <c r="T1061">
        <v>1310</v>
      </c>
      <c r="U1061">
        <v>1750</v>
      </c>
      <c r="V1061">
        <v>44</v>
      </c>
      <c r="W1061">
        <v>300</v>
      </c>
      <c r="X1061">
        <v>140</v>
      </c>
      <c r="Y1061">
        <v>410</v>
      </c>
      <c r="Z1061">
        <v>134</v>
      </c>
      <c r="AA1061">
        <v>298</v>
      </c>
      <c r="AB1061" t="s">
        <v>1791</v>
      </c>
    </row>
    <row r="1062" spans="1:28" x14ac:dyDescent="0.3">
      <c r="A1062">
        <v>202498</v>
      </c>
      <c r="B1062" t="s">
        <v>1287</v>
      </c>
      <c r="C1062">
        <v>0</v>
      </c>
      <c r="D1062">
        <v>1610612752</v>
      </c>
      <c r="E1062" t="s">
        <v>1248</v>
      </c>
      <c r="F1062">
        <v>310</v>
      </c>
      <c r="G1062">
        <v>46</v>
      </c>
      <c r="H1062">
        <v>170</v>
      </c>
      <c r="I1062">
        <v>7830</v>
      </c>
      <c r="J1062">
        <v>78</v>
      </c>
      <c r="K1062">
        <v>197</v>
      </c>
      <c r="L1062">
        <v>396</v>
      </c>
      <c r="M1062">
        <v>220</v>
      </c>
      <c r="N1062">
        <v>790</v>
      </c>
      <c r="O1062">
        <v>278</v>
      </c>
      <c r="P1062">
        <v>27</v>
      </c>
      <c r="Q1062">
        <v>36</v>
      </c>
      <c r="R1062">
        <v>75</v>
      </c>
      <c r="S1062">
        <v>210</v>
      </c>
      <c r="T1062">
        <v>960</v>
      </c>
      <c r="U1062">
        <v>1170</v>
      </c>
      <c r="V1062">
        <v>27</v>
      </c>
      <c r="W1062">
        <v>170</v>
      </c>
      <c r="X1062">
        <v>70</v>
      </c>
      <c r="Y1062">
        <v>240</v>
      </c>
      <c r="Z1062">
        <v>83</v>
      </c>
      <c r="AA1062">
        <v>205</v>
      </c>
      <c r="AB1062" t="s">
        <v>1791</v>
      </c>
    </row>
    <row r="1063" spans="1:28" x14ac:dyDescent="0.3">
      <c r="A1063">
        <v>1501</v>
      </c>
      <c r="B1063" t="s">
        <v>1293</v>
      </c>
      <c r="C1063">
        <v>0</v>
      </c>
      <c r="D1063">
        <v>1610612752</v>
      </c>
      <c r="E1063" t="s">
        <v>1248</v>
      </c>
      <c r="F1063">
        <v>270</v>
      </c>
      <c r="G1063">
        <v>24</v>
      </c>
      <c r="H1063">
        <v>230</v>
      </c>
      <c r="I1063">
        <v>7460</v>
      </c>
      <c r="J1063">
        <v>137</v>
      </c>
      <c r="K1063">
        <v>303</v>
      </c>
      <c r="L1063">
        <v>452</v>
      </c>
      <c r="M1063">
        <v>260</v>
      </c>
      <c r="N1063">
        <v>640</v>
      </c>
      <c r="O1063">
        <v>406</v>
      </c>
      <c r="P1063">
        <v>78</v>
      </c>
      <c r="Q1063">
        <v>96</v>
      </c>
      <c r="R1063">
        <v>813</v>
      </c>
      <c r="S1063">
        <v>260</v>
      </c>
      <c r="T1063">
        <v>890</v>
      </c>
      <c r="U1063">
        <v>1150</v>
      </c>
      <c r="V1063">
        <v>34</v>
      </c>
      <c r="W1063">
        <v>240</v>
      </c>
      <c r="X1063">
        <v>50</v>
      </c>
      <c r="Y1063">
        <v>430</v>
      </c>
      <c r="Z1063">
        <v>69</v>
      </c>
      <c r="AA1063">
        <v>378</v>
      </c>
      <c r="AB1063" t="s">
        <v>1792</v>
      </c>
    </row>
    <row r="1064" spans="1:28" x14ac:dyDescent="0.3">
      <c r="A1064">
        <v>1501</v>
      </c>
      <c r="B1064" t="s">
        <v>1295</v>
      </c>
      <c r="C1064">
        <v>0</v>
      </c>
      <c r="D1064">
        <v>1610612752</v>
      </c>
      <c r="E1064" t="s">
        <v>1248</v>
      </c>
      <c r="F1064">
        <v>280</v>
      </c>
      <c r="G1064">
        <v>71</v>
      </c>
      <c r="H1064">
        <v>680</v>
      </c>
      <c r="I1064">
        <v>19400</v>
      </c>
      <c r="J1064">
        <v>315</v>
      </c>
      <c r="K1064">
        <v>718</v>
      </c>
      <c r="L1064">
        <v>439</v>
      </c>
      <c r="M1064">
        <v>850</v>
      </c>
      <c r="N1064">
        <v>2080</v>
      </c>
      <c r="O1064">
        <v>409</v>
      </c>
      <c r="P1064">
        <v>136</v>
      </c>
      <c r="Q1064">
        <v>173</v>
      </c>
      <c r="R1064">
        <v>786</v>
      </c>
      <c r="S1064">
        <v>450</v>
      </c>
      <c r="T1064">
        <v>1920</v>
      </c>
      <c r="U1064">
        <v>2370</v>
      </c>
      <c r="V1064">
        <v>110</v>
      </c>
      <c r="W1064">
        <v>410</v>
      </c>
      <c r="X1064">
        <v>170</v>
      </c>
      <c r="Y1064">
        <v>1130</v>
      </c>
      <c r="Z1064">
        <v>222</v>
      </c>
      <c r="AA1064">
        <v>851</v>
      </c>
      <c r="AB1064" t="s">
        <v>1792</v>
      </c>
    </row>
    <row r="1065" spans="1:28" x14ac:dyDescent="0.3">
      <c r="A1065">
        <v>1501</v>
      </c>
      <c r="B1065" t="s">
        <v>1304</v>
      </c>
      <c r="C1065">
        <v>0</v>
      </c>
      <c r="D1065">
        <v>1610612752</v>
      </c>
      <c r="E1065" t="s">
        <v>1248</v>
      </c>
      <c r="F1065">
        <v>320</v>
      </c>
      <c r="G1065">
        <v>36</v>
      </c>
      <c r="H1065">
        <v>10</v>
      </c>
      <c r="I1065">
        <v>7730</v>
      </c>
      <c r="J1065">
        <v>119</v>
      </c>
      <c r="K1065">
        <v>258</v>
      </c>
      <c r="L1065">
        <v>461</v>
      </c>
      <c r="M1065">
        <v>530</v>
      </c>
      <c r="N1065">
        <v>1260</v>
      </c>
      <c r="O1065">
        <v>421</v>
      </c>
      <c r="P1065">
        <v>54</v>
      </c>
      <c r="Q1065">
        <v>67</v>
      </c>
      <c r="R1065">
        <v>806</v>
      </c>
      <c r="S1065">
        <v>200</v>
      </c>
      <c r="T1065">
        <v>930</v>
      </c>
      <c r="U1065">
        <v>1130</v>
      </c>
      <c r="V1065">
        <v>46</v>
      </c>
      <c r="W1065">
        <v>220</v>
      </c>
      <c r="X1065">
        <v>100</v>
      </c>
      <c r="Y1065">
        <v>460</v>
      </c>
      <c r="Z1065">
        <v>91</v>
      </c>
      <c r="AA1065">
        <v>345</v>
      </c>
      <c r="AB1065" t="s">
        <v>1792</v>
      </c>
    </row>
    <row r="1066" spans="1:28" x14ac:dyDescent="0.3">
      <c r="A1066">
        <v>240</v>
      </c>
      <c r="B1066" t="s">
        <v>1278</v>
      </c>
      <c r="C1066">
        <v>0</v>
      </c>
      <c r="D1066">
        <v>1610612752</v>
      </c>
      <c r="E1066" t="s">
        <v>1248</v>
      </c>
      <c r="F1066">
        <v>270</v>
      </c>
      <c r="G1066">
        <v>17</v>
      </c>
      <c r="H1066">
        <v>0</v>
      </c>
      <c r="I1066">
        <v>1210</v>
      </c>
      <c r="J1066">
        <v>13</v>
      </c>
      <c r="K1066">
        <v>29</v>
      </c>
      <c r="L1066">
        <v>448</v>
      </c>
      <c r="M1066">
        <v>40</v>
      </c>
      <c r="N1066">
        <v>140</v>
      </c>
      <c r="O1066">
        <v>286</v>
      </c>
      <c r="P1066">
        <v>3</v>
      </c>
      <c r="Q1066">
        <v>5</v>
      </c>
      <c r="R1066">
        <v>6</v>
      </c>
      <c r="S1066">
        <v>0</v>
      </c>
      <c r="T1066">
        <v>100</v>
      </c>
      <c r="U1066">
        <v>100</v>
      </c>
      <c r="V1066">
        <v>24</v>
      </c>
      <c r="W1066">
        <v>60</v>
      </c>
      <c r="X1066">
        <v>10</v>
      </c>
      <c r="Y1066">
        <v>110</v>
      </c>
      <c r="Z1066">
        <v>16</v>
      </c>
      <c r="AA1066">
        <v>33</v>
      </c>
      <c r="AB1066" t="s">
        <v>1793</v>
      </c>
    </row>
    <row r="1067" spans="1:28" x14ac:dyDescent="0.3">
      <c r="A1067">
        <v>738</v>
      </c>
      <c r="B1067" t="s">
        <v>1392</v>
      </c>
      <c r="C1067">
        <v>0</v>
      </c>
      <c r="D1067">
        <v>1610612752</v>
      </c>
      <c r="E1067" t="s">
        <v>1248</v>
      </c>
      <c r="F1067">
        <v>230</v>
      </c>
      <c r="G1067">
        <v>71</v>
      </c>
      <c r="H1067">
        <v>230</v>
      </c>
      <c r="I1067">
        <v>13230</v>
      </c>
      <c r="J1067">
        <v>125</v>
      </c>
      <c r="K1067">
        <v>274</v>
      </c>
      <c r="L1067">
        <v>456</v>
      </c>
      <c r="M1067">
        <v>0</v>
      </c>
      <c r="N1067">
        <v>0</v>
      </c>
      <c r="O1067">
        <v>0</v>
      </c>
      <c r="P1067">
        <v>86</v>
      </c>
      <c r="Q1067">
        <v>162</v>
      </c>
      <c r="R1067">
        <v>531</v>
      </c>
      <c r="S1067">
        <v>1130</v>
      </c>
      <c r="T1067">
        <v>1770</v>
      </c>
      <c r="U1067">
        <v>2900</v>
      </c>
      <c r="V1067">
        <v>43</v>
      </c>
      <c r="W1067">
        <v>300</v>
      </c>
      <c r="X1067">
        <v>70</v>
      </c>
      <c r="Y1067">
        <v>830</v>
      </c>
      <c r="Z1067">
        <v>209</v>
      </c>
      <c r="AA1067">
        <v>336</v>
      </c>
      <c r="AB1067" t="s">
        <v>1794</v>
      </c>
    </row>
    <row r="1068" spans="1:28" x14ac:dyDescent="0.3">
      <c r="A1068">
        <v>738</v>
      </c>
      <c r="B1068" t="s">
        <v>1394</v>
      </c>
      <c r="C1068">
        <v>0</v>
      </c>
      <c r="D1068">
        <v>1610612752</v>
      </c>
      <c r="E1068" t="s">
        <v>1248</v>
      </c>
      <c r="F1068">
        <v>240</v>
      </c>
      <c r="G1068">
        <v>33</v>
      </c>
      <c r="H1068">
        <v>40</v>
      </c>
      <c r="I1068">
        <v>2820</v>
      </c>
      <c r="J1068">
        <v>29</v>
      </c>
      <c r="K1068">
        <v>67</v>
      </c>
      <c r="L1068">
        <v>433</v>
      </c>
      <c r="M1068">
        <v>0</v>
      </c>
      <c r="N1068">
        <v>10</v>
      </c>
      <c r="O1068">
        <v>0</v>
      </c>
      <c r="P1068">
        <v>13</v>
      </c>
      <c r="Q1068">
        <v>20</v>
      </c>
      <c r="R1068">
        <v>65</v>
      </c>
      <c r="S1068">
        <v>180</v>
      </c>
      <c r="T1068">
        <v>380</v>
      </c>
      <c r="U1068">
        <v>560</v>
      </c>
      <c r="V1068">
        <v>8</v>
      </c>
      <c r="W1068">
        <v>40</v>
      </c>
      <c r="X1068">
        <v>30</v>
      </c>
      <c r="Y1068">
        <v>240</v>
      </c>
      <c r="Z1068">
        <v>48</v>
      </c>
      <c r="AA1068">
        <v>71</v>
      </c>
      <c r="AB1068" t="s">
        <v>1794</v>
      </c>
    </row>
    <row r="1069" spans="1:28" x14ac:dyDescent="0.3">
      <c r="A1069">
        <v>738</v>
      </c>
      <c r="B1069" t="s">
        <v>1253</v>
      </c>
      <c r="C1069">
        <v>0</v>
      </c>
      <c r="D1069">
        <v>1610612752</v>
      </c>
      <c r="E1069" t="s">
        <v>1248</v>
      </c>
      <c r="F1069">
        <v>250</v>
      </c>
      <c r="G1069">
        <v>7</v>
      </c>
      <c r="H1069">
        <v>0</v>
      </c>
      <c r="I1069">
        <v>850</v>
      </c>
      <c r="J1069">
        <v>6</v>
      </c>
      <c r="K1069">
        <v>19</v>
      </c>
      <c r="L1069">
        <v>316</v>
      </c>
      <c r="M1069">
        <v>0</v>
      </c>
      <c r="N1069">
        <v>0</v>
      </c>
      <c r="O1069">
        <v>0</v>
      </c>
      <c r="P1069">
        <v>5</v>
      </c>
      <c r="Q1069">
        <v>8</v>
      </c>
      <c r="R1069">
        <v>625</v>
      </c>
      <c r="S1069">
        <v>50</v>
      </c>
      <c r="T1069">
        <v>80</v>
      </c>
      <c r="U1069">
        <v>130</v>
      </c>
      <c r="V1069">
        <v>4</v>
      </c>
      <c r="W1069">
        <v>20</v>
      </c>
      <c r="X1069">
        <v>0</v>
      </c>
      <c r="Y1069">
        <v>80</v>
      </c>
      <c r="Z1069">
        <v>23</v>
      </c>
      <c r="AA1069">
        <v>17</v>
      </c>
      <c r="AB1069" t="s">
        <v>1794</v>
      </c>
    </row>
    <row r="1070" spans="1:28" x14ac:dyDescent="0.3">
      <c r="A1070">
        <v>78348</v>
      </c>
      <c r="B1070" t="s">
        <v>1253</v>
      </c>
      <c r="C1070">
        <v>0</v>
      </c>
      <c r="D1070">
        <v>1610612752</v>
      </c>
      <c r="E1070" t="s">
        <v>1248</v>
      </c>
      <c r="F1070">
        <v>290</v>
      </c>
      <c r="G1070">
        <v>11</v>
      </c>
      <c r="H1070">
        <v>0</v>
      </c>
      <c r="I1070">
        <v>1770</v>
      </c>
      <c r="J1070">
        <v>19</v>
      </c>
      <c r="K1070">
        <v>41</v>
      </c>
      <c r="L1070">
        <v>463</v>
      </c>
      <c r="M1070">
        <v>0</v>
      </c>
      <c r="N1070">
        <v>0</v>
      </c>
      <c r="O1070">
        <v>0</v>
      </c>
      <c r="P1070">
        <v>9</v>
      </c>
      <c r="Q1070">
        <v>17</v>
      </c>
      <c r="R1070">
        <v>529</v>
      </c>
      <c r="S1070">
        <v>140</v>
      </c>
      <c r="T1070">
        <v>210</v>
      </c>
      <c r="U1070">
        <v>350</v>
      </c>
      <c r="V1070">
        <v>5</v>
      </c>
      <c r="W1070">
        <v>50</v>
      </c>
      <c r="X1070">
        <v>20</v>
      </c>
      <c r="Y1070">
        <v>100</v>
      </c>
      <c r="Z1070">
        <v>25</v>
      </c>
      <c r="AA1070">
        <v>47</v>
      </c>
      <c r="AB1070" t="s">
        <v>1795</v>
      </c>
    </row>
    <row r="1071" spans="1:28" x14ac:dyDescent="0.3">
      <c r="A1071">
        <v>78352</v>
      </c>
      <c r="B1071" t="s">
        <v>1253</v>
      </c>
      <c r="C1071">
        <v>0</v>
      </c>
      <c r="D1071">
        <v>1610612752</v>
      </c>
      <c r="E1071" t="s">
        <v>1248</v>
      </c>
      <c r="F1071">
        <v>260</v>
      </c>
      <c r="G1071">
        <v>21</v>
      </c>
      <c r="H1071">
        <v>0</v>
      </c>
      <c r="I1071">
        <v>1390</v>
      </c>
      <c r="J1071">
        <v>21</v>
      </c>
      <c r="K1071">
        <v>48</v>
      </c>
      <c r="L1071">
        <v>438</v>
      </c>
      <c r="M1071">
        <v>50</v>
      </c>
      <c r="N1071">
        <v>140</v>
      </c>
      <c r="O1071">
        <v>357</v>
      </c>
      <c r="P1071">
        <v>10</v>
      </c>
      <c r="Q1071">
        <v>11</v>
      </c>
      <c r="R1071">
        <v>909</v>
      </c>
      <c r="S1071">
        <v>30</v>
      </c>
      <c r="T1071">
        <v>50</v>
      </c>
      <c r="U1071">
        <v>80</v>
      </c>
      <c r="V1071">
        <v>24</v>
      </c>
      <c r="W1071">
        <v>90</v>
      </c>
      <c r="X1071">
        <v>10</v>
      </c>
      <c r="Y1071">
        <v>120</v>
      </c>
      <c r="Z1071">
        <v>20</v>
      </c>
      <c r="AA1071">
        <v>57</v>
      </c>
      <c r="AB1071" t="s">
        <v>1796</v>
      </c>
    </row>
    <row r="1072" spans="1:28" x14ac:dyDescent="0.3">
      <c r="A1072">
        <v>1631210</v>
      </c>
      <c r="B1072" t="s">
        <v>1369</v>
      </c>
      <c r="C1072">
        <v>0</v>
      </c>
      <c r="D1072">
        <v>1610612752</v>
      </c>
      <c r="E1072" t="s">
        <v>1248</v>
      </c>
      <c r="F1072">
        <v>240</v>
      </c>
      <c r="G1072">
        <v>9</v>
      </c>
      <c r="H1072">
        <v>0</v>
      </c>
      <c r="I1072">
        <v>380</v>
      </c>
      <c r="J1072">
        <v>5</v>
      </c>
      <c r="K1072">
        <v>9</v>
      </c>
      <c r="L1072">
        <v>556</v>
      </c>
      <c r="M1072">
        <v>10</v>
      </c>
      <c r="N1072">
        <v>40</v>
      </c>
      <c r="O1072">
        <v>25</v>
      </c>
      <c r="P1072">
        <v>2</v>
      </c>
      <c r="Q1072">
        <v>2</v>
      </c>
      <c r="R1072">
        <v>10</v>
      </c>
      <c r="S1072">
        <v>30</v>
      </c>
      <c r="T1072">
        <v>40</v>
      </c>
      <c r="U1072">
        <v>70</v>
      </c>
      <c r="V1072">
        <v>3</v>
      </c>
      <c r="W1072">
        <v>0</v>
      </c>
      <c r="X1072">
        <v>10</v>
      </c>
      <c r="Y1072">
        <v>10</v>
      </c>
      <c r="Z1072">
        <v>3</v>
      </c>
      <c r="AA1072">
        <v>13</v>
      </c>
      <c r="AB1072" t="s">
        <v>1797</v>
      </c>
    </row>
    <row r="1073" spans="1:28" x14ac:dyDescent="0.3">
      <c r="A1073">
        <v>1630167</v>
      </c>
      <c r="B1073" t="s">
        <v>1289</v>
      </c>
      <c r="C1073">
        <v>0</v>
      </c>
      <c r="D1073">
        <v>1610612752</v>
      </c>
      <c r="E1073" t="s">
        <v>1248</v>
      </c>
      <c r="F1073">
        <v>230</v>
      </c>
      <c r="G1073">
        <v>62</v>
      </c>
      <c r="H1073">
        <v>0</v>
      </c>
      <c r="I1073">
        <v>6830</v>
      </c>
      <c r="J1073">
        <v>104</v>
      </c>
      <c r="K1073">
        <v>209</v>
      </c>
      <c r="L1073">
        <v>498</v>
      </c>
      <c r="M1073">
        <v>260</v>
      </c>
      <c r="N1073">
        <v>850</v>
      </c>
      <c r="O1073">
        <v>306</v>
      </c>
      <c r="P1073">
        <v>19</v>
      </c>
      <c r="Q1073">
        <v>26</v>
      </c>
      <c r="R1073">
        <v>731</v>
      </c>
      <c r="S1073">
        <v>260</v>
      </c>
      <c r="T1073">
        <v>1120</v>
      </c>
      <c r="U1073">
        <v>1380</v>
      </c>
      <c r="V1073">
        <v>29</v>
      </c>
      <c r="W1073">
        <v>170</v>
      </c>
      <c r="X1073">
        <v>150</v>
      </c>
      <c r="Y1073">
        <v>230</v>
      </c>
      <c r="Z1073">
        <v>55</v>
      </c>
      <c r="AA1073">
        <v>253</v>
      </c>
      <c r="AB1073" t="s">
        <v>1798</v>
      </c>
    </row>
    <row r="1074" spans="1:28" x14ac:dyDescent="0.3">
      <c r="A1074">
        <v>1630167</v>
      </c>
      <c r="B1074" t="s">
        <v>1308</v>
      </c>
      <c r="C1074">
        <v>0</v>
      </c>
      <c r="D1074">
        <v>1610612752</v>
      </c>
      <c r="E1074" t="s">
        <v>1248</v>
      </c>
      <c r="F1074">
        <v>240</v>
      </c>
      <c r="G1074">
        <v>72</v>
      </c>
      <c r="H1074">
        <v>100</v>
      </c>
      <c r="I1074">
        <v>12300</v>
      </c>
      <c r="J1074">
        <v>251</v>
      </c>
      <c r="K1074">
        <v>473</v>
      </c>
      <c r="L1074">
        <v>531</v>
      </c>
      <c r="M1074">
        <v>520</v>
      </c>
      <c r="N1074">
        <v>1690</v>
      </c>
      <c r="O1074">
        <v>308</v>
      </c>
      <c r="P1074">
        <v>94</v>
      </c>
      <c r="Q1074">
        <v>124</v>
      </c>
      <c r="R1074">
        <v>758</v>
      </c>
      <c r="S1074">
        <v>690</v>
      </c>
      <c r="T1074">
        <v>1990</v>
      </c>
      <c r="U1074">
        <v>2680</v>
      </c>
      <c r="V1074">
        <v>77</v>
      </c>
      <c r="W1074">
        <v>250</v>
      </c>
      <c r="X1074">
        <v>330</v>
      </c>
      <c r="Y1074">
        <v>560</v>
      </c>
      <c r="Z1074">
        <v>102</v>
      </c>
      <c r="AA1074">
        <v>648</v>
      </c>
      <c r="AB1074" t="s">
        <v>1798</v>
      </c>
    </row>
    <row r="1075" spans="1:28" x14ac:dyDescent="0.3">
      <c r="A1075">
        <v>1630167</v>
      </c>
      <c r="B1075" t="s">
        <v>1327</v>
      </c>
      <c r="C1075">
        <v>0</v>
      </c>
      <c r="D1075">
        <v>1610612752</v>
      </c>
      <c r="E1075" t="s">
        <v>1248</v>
      </c>
      <c r="F1075">
        <v>250</v>
      </c>
      <c r="G1075">
        <v>67</v>
      </c>
      <c r="H1075">
        <v>50</v>
      </c>
      <c r="I1075">
        <v>10510</v>
      </c>
      <c r="J1075">
        <v>187</v>
      </c>
      <c r="K1075">
        <v>419</v>
      </c>
      <c r="L1075">
        <v>446</v>
      </c>
      <c r="M1075">
        <v>850</v>
      </c>
      <c r="N1075">
        <v>2470</v>
      </c>
      <c r="O1075">
        <v>344</v>
      </c>
      <c r="P1075">
        <v>38</v>
      </c>
      <c r="Q1075">
        <v>47</v>
      </c>
      <c r="R1075">
        <v>809</v>
      </c>
      <c r="S1075">
        <v>290</v>
      </c>
      <c r="T1075">
        <v>1580</v>
      </c>
      <c r="U1075">
        <v>1870</v>
      </c>
      <c r="V1075">
        <v>66</v>
      </c>
      <c r="W1075">
        <v>230</v>
      </c>
      <c r="X1075">
        <v>120</v>
      </c>
      <c r="Y1075">
        <v>380</v>
      </c>
      <c r="Z1075">
        <v>68</v>
      </c>
      <c r="AA1075">
        <v>497</v>
      </c>
      <c r="AB1075" t="s">
        <v>1798</v>
      </c>
    </row>
    <row r="1076" spans="1:28" x14ac:dyDescent="0.3">
      <c r="A1076">
        <v>1629019</v>
      </c>
      <c r="B1076" t="s">
        <v>1287</v>
      </c>
      <c r="C1076">
        <v>0</v>
      </c>
      <c r="D1076">
        <v>1610612752</v>
      </c>
      <c r="E1076" t="s">
        <v>1248</v>
      </c>
      <c r="F1076">
        <v>230</v>
      </c>
      <c r="G1076">
        <v>64</v>
      </c>
      <c r="H1076">
        <v>30</v>
      </c>
      <c r="I1076">
        <v>14590</v>
      </c>
      <c r="J1076">
        <v>232</v>
      </c>
      <c r="K1076">
        <v>518</v>
      </c>
      <c r="L1076">
        <v>448</v>
      </c>
      <c r="M1076">
        <v>520</v>
      </c>
      <c r="N1076">
        <v>1320</v>
      </c>
      <c r="O1076">
        <v>394</v>
      </c>
      <c r="P1076">
        <v>179</v>
      </c>
      <c r="Q1076">
        <v>223</v>
      </c>
      <c r="R1076">
        <v>803</v>
      </c>
      <c r="S1076">
        <v>310</v>
      </c>
      <c r="T1076">
        <v>1660</v>
      </c>
      <c r="U1076">
        <v>1970</v>
      </c>
      <c r="V1076">
        <v>119</v>
      </c>
      <c r="W1076">
        <v>280</v>
      </c>
      <c r="X1076">
        <v>140</v>
      </c>
      <c r="Y1076">
        <v>1160</v>
      </c>
      <c r="Z1076">
        <v>117</v>
      </c>
      <c r="AA1076">
        <v>695</v>
      </c>
      <c r="AB1076" t="s">
        <v>1799</v>
      </c>
    </row>
    <row r="1077" spans="1:28" x14ac:dyDescent="0.3">
      <c r="A1077">
        <v>1629019</v>
      </c>
      <c r="B1077" t="s">
        <v>1288</v>
      </c>
      <c r="C1077">
        <v>0</v>
      </c>
      <c r="D1077">
        <v>1610612752</v>
      </c>
      <c r="E1077" t="s">
        <v>1248</v>
      </c>
      <c r="F1077">
        <v>240</v>
      </c>
      <c r="G1077">
        <v>24</v>
      </c>
      <c r="H1077">
        <v>10</v>
      </c>
      <c r="I1077">
        <v>2910</v>
      </c>
      <c r="J1077">
        <v>51</v>
      </c>
      <c r="K1077">
        <v>106</v>
      </c>
      <c r="L1077">
        <v>481</v>
      </c>
      <c r="M1077">
        <v>190</v>
      </c>
      <c r="N1077">
        <v>530</v>
      </c>
      <c r="O1077">
        <v>358</v>
      </c>
      <c r="P1077">
        <v>34</v>
      </c>
      <c r="Q1077">
        <v>43</v>
      </c>
      <c r="R1077">
        <v>791</v>
      </c>
      <c r="S1077">
        <v>60</v>
      </c>
      <c r="T1077">
        <v>230</v>
      </c>
      <c r="U1077">
        <v>290</v>
      </c>
      <c r="V1077">
        <v>28</v>
      </c>
      <c r="W1077">
        <v>30</v>
      </c>
      <c r="X1077">
        <v>40</v>
      </c>
      <c r="Y1077">
        <v>220</v>
      </c>
      <c r="Z1077">
        <v>29</v>
      </c>
      <c r="AA1077">
        <v>155</v>
      </c>
      <c r="AB1077" t="s">
        <v>1799</v>
      </c>
    </row>
    <row r="1078" spans="1:28" x14ac:dyDescent="0.3">
      <c r="A1078">
        <v>2456</v>
      </c>
      <c r="B1078" t="s">
        <v>1293</v>
      </c>
      <c r="C1078">
        <v>0</v>
      </c>
      <c r="D1078">
        <v>1610612752</v>
      </c>
      <c r="E1078" t="s">
        <v>1248</v>
      </c>
      <c r="F1078">
        <v>240</v>
      </c>
      <c r="G1078">
        <v>3</v>
      </c>
      <c r="H1078">
        <v>0</v>
      </c>
      <c r="I1078">
        <v>50</v>
      </c>
      <c r="J1078">
        <v>0</v>
      </c>
      <c r="K1078">
        <v>2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2</v>
      </c>
      <c r="R1078">
        <v>5</v>
      </c>
      <c r="S1078">
        <v>0</v>
      </c>
      <c r="T1078">
        <v>0</v>
      </c>
      <c r="U1078">
        <v>0</v>
      </c>
      <c r="V1078">
        <v>0</v>
      </c>
      <c r="W1078">
        <v>10</v>
      </c>
      <c r="X1078">
        <v>0</v>
      </c>
      <c r="Y1078">
        <v>0</v>
      </c>
      <c r="Z1078">
        <v>2</v>
      </c>
      <c r="AA1078">
        <v>1</v>
      </c>
      <c r="AB1078" t="s">
        <v>1800</v>
      </c>
    </row>
    <row r="1079" spans="1:28" x14ac:dyDescent="0.3">
      <c r="A1079">
        <v>78375</v>
      </c>
      <c r="B1079" t="s">
        <v>1468</v>
      </c>
      <c r="C1079">
        <v>0</v>
      </c>
      <c r="D1079">
        <v>1610612752</v>
      </c>
      <c r="E1079" t="s">
        <v>1248</v>
      </c>
      <c r="F1079">
        <v>230</v>
      </c>
      <c r="G1079">
        <v>78</v>
      </c>
      <c r="H1079">
        <v>590</v>
      </c>
      <c r="I1079">
        <v>18300</v>
      </c>
      <c r="J1079">
        <v>299</v>
      </c>
      <c r="K1079">
        <v>647</v>
      </c>
      <c r="L1079">
        <v>462</v>
      </c>
      <c r="M1079">
        <v>140</v>
      </c>
      <c r="N1079">
        <v>300</v>
      </c>
      <c r="O1079">
        <v>467</v>
      </c>
      <c r="P1079">
        <v>43</v>
      </c>
      <c r="Q1079">
        <v>64</v>
      </c>
      <c r="R1079">
        <v>672</v>
      </c>
      <c r="S1079">
        <v>750</v>
      </c>
      <c r="T1079">
        <v>1410</v>
      </c>
      <c r="U1079">
        <v>2160</v>
      </c>
      <c r="V1079">
        <v>195</v>
      </c>
      <c r="W1079">
        <v>560</v>
      </c>
      <c r="X1079">
        <v>60</v>
      </c>
      <c r="Y1079">
        <v>700</v>
      </c>
      <c r="Z1079">
        <v>235</v>
      </c>
      <c r="AA1079">
        <v>655</v>
      </c>
      <c r="AB1079" t="s">
        <v>1801</v>
      </c>
    </row>
    <row r="1080" spans="1:28" x14ac:dyDescent="0.3">
      <c r="A1080">
        <v>78375</v>
      </c>
      <c r="B1080" t="s">
        <v>1469</v>
      </c>
      <c r="C1080">
        <v>0</v>
      </c>
      <c r="D1080">
        <v>1610612752</v>
      </c>
      <c r="E1080" t="s">
        <v>1248</v>
      </c>
      <c r="F1080">
        <v>240</v>
      </c>
      <c r="G1080">
        <v>63</v>
      </c>
      <c r="H1080">
        <v>210</v>
      </c>
      <c r="I1080">
        <v>12280</v>
      </c>
      <c r="J1080">
        <v>225</v>
      </c>
      <c r="K1080">
        <v>450</v>
      </c>
      <c r="L1080">
        <v>5</v>
      </c>
      <c r="M1080">
        <v>60</v>
      </c>
      <c r="N1080">
        <v>160</v>
      </c>
      <c r="O1080">
        <v>375</v>
      </c>
      <c r="P1080">
        <v>25</v>
      </c>
      <c r="Q1080">
        <v>33</v>
      </c>
      <c r="R1080">
        <v>758</v>
      </c>
      <c r="S1080">
        <v>430</v>
      </c>
      <c r="T1080">
        <v>870</v>
      </c>
      <c r="U1080">
        <v>1300</v>
      </c>
      <c r="V1080">
        <v>138</v>
      </c>
      <c r="W1080">
        <v>630</v>
      </c>
      <c r="X1080">
        <v>80</v>
      </c>
      <c r="Y1080">
        <v>540</v>
      </c>
      <c r="Z1080">
        <v>124</v>
      </c>
      <c r="AA1080">
        <v>481</v>
      </c>
      <c r="AB1080" t="s">
        <v>1801</v>
      </c>
    </row>
    <row r="1081" spans="1:28" x14ac:dyDescent="0.3">
      <c r="A1081">
        <v>78375</v>
      </c>
      <c r="B1081" t="s">
        <v>1406</v>
      </c>
      <c r="C1081">
        <v>0</v>
      </c>
      <c r="D1081">
        <v>1610612752</v>
      </c>
      <c r="E1081" t="s">
        <v>1248</v>
      </c>
      <c r="F1081">
        <v>250</v>
      </c>
      <c r="G1081">
        <v>77</v>
      </c>
      <c r="H1081">
        <v>460</v>
      </c>
      <c r="I1081">
        <v>18190</v>
      </c>
      <c r="J1081">
        <v>293</v>
      </c>
      <c r="K1081">
        <v>606</v>
      </c>
      <c r="L1081">
        <v>483</v>
      </c>
      <c r="M1081">
        <v>290</v>
      </c>
      <c r="N1081">
        <v>720</v>
      </c>
      <c r="O1081">
        <v>403</v>
      </c>
      <c r="P1081">
        <v>38</v>
      </c>
      <c r="Q1081">
        <v>48</v>
      </c>
      <c r="R1081">
        <v>792</v>
      </c>
      <c r="S1081">
        <v>740</v>
      </c>
      <c r="T1081">
        <v>1140</v>
      </c>
      <c r="U1081">
        <v>1880</v>
      </c>
      <c r="V1081">
        <v>199</v>
      </c>
      <c r="W1081">
        <v>750</v>
      </c>
      <c r="X1081">
        <v>150</v>
      </c>
      <c r="Y1081">
        <v>640</v>
      </c>
      <c r="Z1081">
        <v>195</v>
      </c>
      <c r="AA1081">
        <v>653</v>
      </c>
      <c r="AB1081" t="s">
        <v>1801</v>
      </c>
    </row>
    <row r="1082" spans="1:28" x14ac:dyDescent="0.3">
      <c r="A1082">
        <v>78375</v>
      </c>
      <c r="B1082" t="s">
        <v>1392</v>
      </c>
      <c r="C1082">
        <v>0</v>
      </c>
      <c r="D1082">
        <v>1610612752</v>
      </c>
      <c r="E1082" t="s">
        <v>1248</v>
      </c>
      <c r="F1082">
        <v>260</v>
      </c>
      <c r="G1082">
        <v>77</v>
      </c>
      <c r="H1082">
        <v>230</v>
      </c>
      <c r="I1082">
        <v>17880</v>
      </c>
      <c r="J1082">
        <v>349</v>
      </c>
      <c r="K1082">
        <v>740</v>
      </c>
      <c r="L1082">
        <v>472</v>
      </c>
      <c r="M1082">
        <v>410</v>
      </c>
      <c r="N1082">
        <v>910</v>
      </c>
      <c r="O1082">
        <v>451</v>
      </c>
      <c r="P1082">
        <v>79</v>
      </c>
      <c r="Q1082">
        <v>100</v>
      </c>
      <c r="R1082">
        <v>79</v>
      </c>
      <c r="S1082">
        <v>700</v>
      </c>
      <c r="T1082">
        <v>990</v>
      </c>
      <c r="U1082">
        <v>1690</v>
      </c>
      <c r="V1082">
        <v>192</v>
      </c>
      <c r="W1082">
        <v>650</v>
      </c>
      <c r="X1082">
        <v>80</v>
      </c>
      <c r="Y1082">
        <v>700</v>
      </c>
      <c r="Z1082">
        <v>167</v>
      </c>
      <c r="AA1082">
        <v>818</v>
      </c>
      <c r="AB1082" t="s">
        <v>1801</v>
      </c>
    </row>
    <row r="1083" spans="1:28" x14ac:dyDescent="0.3">
      <c r="A1083">
        <v>78375</v>
      </c>
      <c r="B1083" t="s">
        <v>1394</v>
      </c>
      <c r="C1083">
        <v>0</v>
      </c>
      <c r="D1083">
        <v>1610612752</v>
      </c>
      <c r="E1083" t="s">
        <v>1248</v>
      </c>
      <c r="F1083">
        <v>270</v>
      </c>
      <c r="G1083">
        <v>70</v>
      </c>
      <c r="H1083">
        <v>150</v>
      </c>
      <c r="I1083">
        <v>16910</v>
      </c>
      <c r="J1083">
        <v>325</v>
      </c>
      <c r="K1083">
        <v>691</v>
      </c>
      <c r="L1083">
        <v>47</v>
      </c>
      <c r="M1083">
        <v>680</v>
      </c>
      <c r="N1083">
        <v>1610</v>
      </c>
      <c r="O1083">
        <v>422</v>
      </c>
      <c r="P1083">
        <v>77</v>
      </c>
      <c r="Q1083">
        <v>101</v>
      </c>
      <c r="R1083">
        <v>762</v>
      </c>
      <c r="S1083">
        <v>490</v>
      </c>
      <c r="T1083">
        <v>860</v>
      </c>
      <c r="U1083">
        <v>1350</v>
      </c>
      <c r="V1083">
        <v>166</v>
      </c>
      <c r="W1083">
        <v>1160</v>
      </c>
      <c r="X1083">
        <v>130</v>
      </c>
      <c r="Y1083">
        <v>780</v>
      </c>
      <c r="Z1083">
        <v>169</v>
      </c>
      <c r="AA1083">
        <v>795</v>
      </c>
      <c r="AB1083" t="s">
        <v>1801</v>
      </c>
    </row>
    <row r="1084" spans="1:28" x14ac:dyDescent="0.3">
      <c r="A1084">
        <v>78375</v>
      </c>
      <c r="B1084" t="s">
        <v>1253</v>
      </c>
      <c r="C1084">
        <v>0</v>
      </c>
      <c r="D1084">
        <v>1610612752</v>
      </c>
      <c r="E1084" t="s">
        <v>1248</v>
      </c>
      <c r="F1084">
        <v>280</v>
      </c>
      <c r="G1084">
        <v>71</v>
      </c>
      <c r="H1084">
        <v>40</v>
      </c>
      <c r="I1084">
        <v>12480</v>
      </c>
      <c r="J1084">
        <v>193</v>
      </c>
      <c r="K1084">
        <v>455</v>
      </c>
      <c r="L1084">
        <v>424</v>
      </c>
      <c r="M1084">
        <v>690</v>
      </c>
      <c r="N1084">
        <v>1670</v>
      </c>
      <c r="O1084">
        <v>413</v>
      </c>
      <c r="P1084">
        <v>51</v>
      </c>
      <c r="Q1084">
        <v>71</v>
      </c>
      <c r="R1084">
        <v>718</v>
      </c>
      <c r="S1084">
        <v>320</v>
      </c>
      <c r="T1084">
        <v>870</v>
      </c>
      <c r="U1084">
        <v>1190</v>
      </c>
      <c r="V1084">
        <v>117</v>
      </c>
      <c r="W1084">
        <v>530</v>
      </c>
      <c r="X1084">
        <v>60</v>
      </c>
      <c r="Y1084">
        <v>470</v>
      </c>
      <c r="Z1084">
        <v>158</v>
      </c>
      <c r="AA1084">
        <v>506</v>
      </c>
      <c r="AB1084" t="s">
        <v>1801</v>
      </c>
    </row>
    <row r="1085" spans="1:28" x14ac:dyDescent="0.3">
      <c r="A1085">
        <v>78375</v>
      </c>
      <c r="B1085" t="s">
        <v>1268</v>
      </c>
      <c r="C1085">
        <v>0</v>
      </c>
      <c r="D1085">
        <v>1610612752</v>
      </c>
      <c r="E1085" t="s">
        <v>1248</v>
      </c>
      <c r="F1085">
        <v>290</v>
      </c>
      <c r="G1085">
        <v>81</v>
      </c>
      <c r="H1085">
        <v>240</v>
      </c>
      <c r="I1085">
        <v>18240</v>
      </c>
      <c r="J1085">
        <v>263</v>
      </c>
      <c r="K1085">
        <v>579</v>
      </c>
      <c r="L1085">
        <v>454</v>
      </c>
      <c r="M1085">
        <v>1180</v>
      </c>
      <c r="N1085">
        <v>2960</v>
      </c>
      <c r="O1085">
        <v>399</v>
      </c>
      <c r="P1085">
        <v>43</v>
      </c>
      <c r="Q1085">
        <v>55</v>
      </c>
      <c r="R1085">
        <v>782</v>
      </c>
      <c r="S1085">
        <v>550</v>
      </c>
      <c r="T1085">
        <v>1210</v>
      </c>
      <c r="U1085">
        <v>1760</v>
      </c>
      <c r="V1085">
        <v>132</v>
      </c>
      <c r="W1085">
        <v>880</v>
      </c>
      <c r="X1085">
        <v>60</v>
      </c>
      <c r="Y1085">
        <v>590</v>
      </c>
      <c r="Z1085">
        <v>163</v>
      </c>
      <c r="AA1085">
        <v>687</v>
      </c>
      <c r="AB1085" t="s">
        <v>1801</v>
      </c>
    </row>
    <row r="1086" spans="1:28" x14ac:dyDescent="0.3">
      <c r="A1086">
        <v>78375</v>
      </c>
      <c r="B1086" t="s">
        <v>1270</v>
      </c>
      <c r="C1086">
        <v>0</v>
      </c>
      <c r="D1086">
        <v>1610612752</v>
      </c>
      <c r="E1086" t="s">
        <v>1248</v>
      </c>
      <c r="F1086">
        <v>300</v>
      </c>
      <c r="G1086">
        <v>81</v>
      </c>
      <c r="H1086">
        <v>20</v>
      </c>
      <c r="I1086">
        <v>17250</v>
      </c>
      <c r="J1086">
        <v>253</v>
      </c>
      <c r="K1086">
        <v>606</v>
      </c>
      <c r="L1086">
        <v>417</v>
      </c>
      <c r="M1086">
        <v>950</v>
      </c>
      <c r="N1086">
        <v>2450</v>
      </c>
      <c r="O1086">
        <v>388</v>
      </c>
      <c r="P1086">
        <v>66</v>
      </c>
      <c r="Q1086">
        <v>86</v>
      </c>
      <c r="R1086">
        <v>767</v>
      </c>
      <c r="S1086">
        <v>570</v>
      </c>
      <c r="T1086">
        <v>1170</v>
      </c>
      <c r="U1086">
        <v>1740</v>
      </c>
      <c r="V1086">
        <v>173</v>
      </c>
      <c r="W1086">
        <v>740</v>
      </c>
      <c r="X1086">
        <v>80</v>
      </c>
      <c r="Y1086">
        <v>730</v>
      </c>
      <c r="Z1086">
        <v>159</v>
      </c>
      <c r="AA1086">
        <v>667</v>
      </c>
      <c r="AB1086" t="s">
        <v>1801</v>
      </c>
    </row>
    <row r="1087" spans="1:28" x14ac:dyDescent="0.3">
      <c r="A1087">
        <v>78375</v>
      </c>
      <c r="B1087" t="s">
        <v>1271</v>
      </c>
      <c r="C1087">
        <v>0</v>
      </c>
      <c r="D1087">
        <v>1610612752</v>
      </c>
      <c r="E1087" t="s">
        <v>1248</v>
      </c>
      <c r="F1087">
        <v>310</v>
      </c>
      <c r="G1087">
        <v>65</v>
      </c>
      <c r="H1087">
        <v>130</v>
      </c>
      <c r="I1087">
        <v>11940</v>
      </c>
      <c r="J1087">
        <v>191</v>
      </c>
      <c r="K1087">
        <v>434</v>
      </c>
      <c r="L1087">
        <v>44</v>
      </c>
      <c r="M1087">
        <v>640</v>
      </c>
      <c r="N1087">
        <v>1530</v>
      </c>
      <c r="O1087">
        <v>418</v>
      </c>
      <c r="P1087">
        <v>17</v>
      </c>
      <c r="Q1087">
        <v>27</v>
      </c>
      <c r="R1087">
        <v>63</v>
      </c>
      <c r="S1087">
        <v>330</v>
      </c>
      <c r="T1087">
        <v>720</v>
      </c>
      <c r="U1087">
        <v>1050</v>
      </c>
      <c r="V1087">
        <v>111</v>
      </c>
      <c r="W1087">
        <v>440</v>
      </c>
      <c r="X1087">
        <v>90</v>
      </c>
      <c r="Y1087">
        <v>460</v>
      </c>
      <c r="Z1087">
        <v>120</v>
      </c>
      <c r="AA1087">
        <v>463</v>
      </c>
      <c r="AB1087" t="s">
        <v>1801</v>
      </c>
    </row>
    <row r="1088" spans="1:28" x14ac:dyDescent="0.3">
      <c r="A1088">
        <v>101142</v>
      </c>
      <c r="B1088" t="s">
        <v>1312</v>
      </c>
      <c r="C1088">
        <v>0</v>
      </c>
      <c r="D1088">
        <v>1610612752</v>
      </c>
      <c r="E1088" t="s">
        <v>1248</v>
      </c>
      <c r="F1088">
        <v>280</v>
      </c>
      <c r="G1088">
        <v>64</v>
      </c>
      <c r="H1088">
        <v>210</v>
      </c>
      <c r="I1088">
        <v>11410</v>
      </c>
      <c r="J1088">
        <v>103</v>
      </c>
      <c r="K1088">
        <v>163</v>
      </c>
      <c r="L1088">
        <v>632</v>
      </c>
      <c r="M1088">
        <v>0</v>
      </c>
      <c r="N1088">
        <v>0</v>
      </c>
      <c r="O1088">
        <v>0</v>
      </c>
      <c r="P1088">
        <v>61</v>
      </c>
      <c r="Q1088">
        <v>98</v>
      </c>
      <c r="R1088">
        <v>622</v>
      </c>
      <c r="S1088">
        <v>640</v>
      </c>
      <c r="T1088">
        <v>1430</v>
      </c>
      <c r="U1088">
        <v>2070</v>
      </c>
      <c r="V1088">
        <v>92</v>
      </c>
      <c r="W1088">
        <v>350</v>
      </c>
      <c r="X1088">
        <v>730</v>
      </c>
      <c r="Y1088">
        <v>410</v>
      </c>
      <c r="Z1088">
        <v>160</v>
      </c>
      <c r="AA1088">
        <v>267</v>
      </c>
      <c r="AB1088" t="s">
        <v>1802</v>
      </c>
    </row>
    <row r="1089" spans="1:28" x14ac:dyDescent="0.3">
      <c r="A1089">
        <v>1726</v>
      </c>
      <c r="B1089" t="s">
        <v>1464</v>
      </c>
      <c r="C1089">
        <v>0</v>
      </c>
      <c r="D1089">
        <v>1610612752</v>
      </c>
      <c r="E1089" t="s">
        <v>1248</v>
      </c>
      <c r="F1089">
        <v>240</v>
      </c>
      <c r="G1089">
        <v>7</v>
      </c>
      <c r="H1089">
        <v>0</v>
      </c>
      <c r="I1089">
        <v>250</v>
      </c>
      <c r="J1089">
        <v>2</v>
      </c>
      <c r="K1089">
        <v>10</v>
      </c>
      <c r="L1089">
        <v>2</v>
      </c>
      <c r="M1089">
        <v>0</v>
      </c>
      <c r="N1089">
        <v>20</v>
      </c>
      <c r="O1089">
        <v>0</v>
      </c>
      <c r="P1089">
        <v>0</v>
      </c>
      <c r="Q1089">
        <v>0</v>
      </c>
      <c r="R1089">
        <v>0</v>
      </c>
      <c r="S1089">
        <v>20</v>
      </c>
      <c r="T1089">
        <v>80</v>
      </c>
      <c r="U1089">
        <v>100</v>
      </c>
      <c r="V1089">
        <v>1</v>
      </c>
      <c r="W1089">
        <v>20</v>
      </c>
      <c r="X1089">
        <v>0</v>
      </c>
      <c r="Y1089">
        <v>10</v>
      </c>
      <c r="Z1089">
        <v>4</v>
      </c>
      <c r="AA1089">
        <v>4</v>
      </c>
      <c r="AB1089" t="s">
        <v>1803</v>
      </c>
    </row>
    <row r="1090" spans="1:28" x14ac:dyDescent="0.3">
      <c r="A1090">
        <v>78380</v>
      </c>
      <c r="B1090" t="s">
        <v>1362</v>
      </c>
      <c r="C1090">
        <v>0</v>
      </c>
      <c r="D1090">
        <v>1610612752</v>
      </c>
      <c r="E1090" t="s">
        <v>1248</v>
      </c>
      <c r="F1090">
        <v>250</v>
      </c>
      <c r="G1090">
        <v>65</v>
      </c>
      <c r="I1090">
        <v>9220</v>
      </c>
      <c r="J1090">
        <v>111</v>
      </c>
      <c r="K1090">
        <v>308</v>
      </c>
      <c r="L1090">
        <v>36</v>
      </c>
      <c r="P1090">
        <v>60</v>
      </c>
      <c r="Q1090">
        <v>76</v>
      </c>
      <c r="R1090">
        <v>789</v>
      </c>
      <c r="U1090">
        <v>1540</v>
      </c>
      <c r="V1090">
        <v>77</v>
      </c>
      <c r="Z1090">
        <v>76</v>
      </c>
      <c r="AA1090">
        <v>282</v>
      </c>
      <c r="AB1090" t="s">
        <v>1804</v>
      </c>
    </row>
    <row r="1091" spans="1:28" x14ac:dyDescent="0.3">
      <c r="A1091">
        <v>202719</v>
      </c>
      <c r="B1091" t="s">
        <v>1337</v>
      </c>
      <c r="C1091">
        <v>0</v>
      </c>
      <c r="D1091">
        <v>1610612752</v>
      </c>
      <c r="E1091" t="s">
        <v>1248</v>
      </c>
      <c r="F1091">
        <v>230</v>
      </c>
      <c r="G1091">
        <v>41</v>
      </c>
      <c r="H1091">
        <v>0</v>
      </c>
      <c r="I1091">
        <v>3980</v>
      </c>
      <c r="J1091">
        <v>60</v>
      </c>
      <c r="K1091">
        <v>116</v>
      </c>
      <c r="L1091">
        <v>517</v>
      </c>
      <c r="M1091">
        <v>0</v>
      </c>
      <c r="N1091">
        <v>0</v>
      </c>
      <c r="O1091">
        <v>0</v>
      </c>
      <c r="P1091">
        <v>26</v>
      </c>
      <c r="Q1091">
        <v>48</v>
      </c>
      <c r="R1091">
        <v>542</v>
      </c>
      <c r="S1091">
        <v>380</v>
      </c>
      <c r="T1091">
        <v>710</v>
      </c>
      <c r="U1091">
        <v>1090</v>
      </c>
      <c r="V1091">
        <v>8</v>
      </c>
      <c r="W1091">
        <v>60</v>
      </c>
      <c r="X1091">
        <v>200</v>
      </c>
      <c r="Y1091">
        <v>260</v>
      </c>
      <c r="Z1091">
        <v>70</v>
      </c>
      <c r="AA1091">
        <v>146</v>
      </c>
      <c r="AB1091" t="s">
        <v>1805</v>
      </c>
    </row>
    <row r="1092" spans="1:28" x14ac:dyDescent="0.3">
      <c r="A1092">
        <v>2137</v>
      </c>
      <c r="B1092" t="s">
        <v>1300</v>
      </c>
      <c r="C1092">
        <v>0</v>
      </c>
      <c r="D1092">
        <v>1610612752</v>
      </c>
      <c r="E1092" t="s">
        <v>1248</v>
      </c>
      <c r="F1092">
        <v>280</v>
      </c>
      <c r="G1092">
        <v>8</v>
      </c>
      <c r="H1092">
        <v>0</v>
      </c>
      <c r="I1092">
        <v>1140</v>
      </c>
      <c r="J1092">
        <v>9</v>
      </c>
      <c r="K1092">
        <v>24</v>
      </c>
      <c r="L1092">
        <v>375</v>
      </c>
      <c r="M1092">
        <v>10</v>
      </c>
      <c r="N1092">
        <v>30</v>
      </c>
      <c r="O1092">
        <v>333</v>
      </c>
      <c r="P1092">
        <v>3</v>
      </c>
      <c r="Q1092">
        <v>6</v>
      </c>
      <c r="R1092">
        <v>5</v>
      </c>
      <c r="S1092">
        <v>30</v>
      </c>
      <c r="T1092">
        <v>140</v>
      </c>
      <c r="U1092">
        <v>170</v>
      </c>
      <c r="V1092">
        <v>6</v>
      </c>
      <c r="W1092">
        <v>10</v>
      </c>
      <c r="X1092">
        <v>0</v>
      </c>
      <c r="Y1092">
        <v>20</v>
      </c>
      <c r="Z1092">
        <v>8</v>
      </c>
      <c r="AA1092">
        <v>22</v>
      </c>
      <c r="AB1092" t="s">
        <v>1806</v>
      </c>
    </row>
    <row r="1093" spans="1:28" x14ac:dyDescent="0.3">
      <c r="A1093">
        <v>1065</v>
      </c>
      <c r="B1093" t="s">
        <v>1465</v>
      </c>
      <c r="C1093">
        <v>0</v>
      </c>
      <c r="D1093">
        <v>1610612752</v>
      </c>
      <c r="E1093" t="s">
        <v>1248</v>
      </c>
      <c r="F1093">
        <v>270</v>
      </c>
      <c r="G1093">
        <v>28</v>
      </c>
      <c r="H1093">
        <v>0</v>
      </c>
      <c r="I1093">
        <v>4210</v>
      </c>
      <c r="J1093">
        <v>40</v>
      </c>
      <c r="K1093">
        <v>131</v>
      </c>
      <c r="L1093">
        <v>305</v>
      </c>
      <c r="M1093">
        <v>160</v>
      </c>
      <c r="N1093">
        <v>470</v>
      </c>
      <c r="O1093">
        <v>34</v>
      </c>
      <c r="P1093">
        <v>24</v>
      </c>
      <c r="Q1093">
        <v>28</v>
      </c>
      <c r="R1093">
        <v>857</v>
      </c>
      <c r="S1093">
        <v>90</v>
      </c>
      <c r="T1093">
        <v>430</v>
      </c>
      <c r="U1093">
        <v>520</v>
      </c>
      <c r="V1093">
        <v>29</v>
      </c>
      <c r="W1093">
        <v>220</v>
      </c>
      <c r="X1093">
        <v>10</v>
      </c>
      <c r="Y1093">
        <v>210</v>
      </c>
      <c r="Z1093">
        <v>46</v>
      </c>
      <c r="AA1093">
        <v>120</v>
      </c>
      <c r="AB1093" t="s">
        <v>1807</v>
      </c>
    </row>
    <row r="1094" spans="1:28" x14ac:dyDescent="0.3">
      <c r="A1094">
        <v>78398</v>
      </c>
      <c r="B1094" t="s">
        <v>1412</v>
      </c>
      <c r="C1094">
        <v>0</v>
      </c>
      <c r="D1094">
        <v>1610612752</v>
      </c>
      <c r="E1094" t="s">
        <v>1248</v>
      </c>
      <c r="F1094">
        <v>230</v>
      </c>
      <c r="G1094">
        <v>79</v>
      </c>
      <c r="I1094">
        <v>22890</v>
      </c>
      <c r="J1094">
        <v>359</v>
      </c>
      <c r="K1094">
        <v>838</v>
      </c>
      <c r="L1094">
        <v>428</v>
      </c>
      <c r="P1094">
        <v>251</v>
      </c>
      <c r="Q1094">
        <v>351</v>
      </c>
      <c r="R1094">
        <v>715</v>
      </c>
      <c r="U1094">
        <v>3760</v>
      </c>
      <c r="V1094">
        <v>184</v>
      </c>
      <c r="Z1094">
        <v>235</v>
      </c>
      <c r="AA1094">
        <v>969</v>
      </c>
      <c r="AB1094" t="s">
        <v>1808</v>
      </c>
    </row>
    <row r="1095" spans="1:28" x14ac:dyDescent="0.3">
      <c r="A1095">
        <v>78398</v>
      </c>
      <c r="B1095" t="s">
        <v>1360</v>
      </c>
      <c r="C1095">
        <v>0</v>
      </c>
      <c r="D1095">
        <v>1610612752</v>
      </c>
      <c r="E1095" t="s">
        <v>1248</v>
      </c>
      <c r="F1095">
        <v>240</v>
      </c>
      <c r="G1095">
        <v>79</v>
      </c>
      <c r="I1095">
        <v>28920</v>
      </c>
      <c r="J1095">
        <v>410</v>
      </c>
      <c r="K1095">
        <v>913</v>
      </c>
      <c r="L1095">
        <v>449</v>
      </c>
      <c r="P1095">
        <v>371</v>
      </c>
      <c r="Q1095">
        <v>509</v>
      </c>
      <c r="R1095">
        <v>729</v>
      </c>
      <c r="U1095">
        <v>5550</v>
      </c>
      <c r="V1095">
        <v>247</v>
      </c>
      <c r="Z1095">
        <v>264</v>
      </c>
      <c r="AA1095">
        <v>1191</v>
      </c>
      <c r="AB1095" t="s">
        <v>1808</v>
      </c>
    </row>
    <row r="1096" spans="1:28" x14ac:dyDescent="0.3">
      <c r="A1096">
        <v>78398</v>
      </c>
      <c r="B1096" t="s">
        <v>1414</v>
      </c>
      <c r="C1096">
        <v>0</v>
      </c>
      <c r="D1096">
        <v>1610612752</v>
      </c>
      <c r="E1096" t="s">
        <v>1248</v>
      </c>
      <c r="F1096">
        <v>250</v>
      </c>
      <c r="G1096">
        <v>78</v>
      </c>
      <c r="I1096">
        <v>23480</v>
      </c>
      <c r="J1096">
        <v>316</v>
      </c>
      <c r="K1096">
        <v>725</v>
      </c>
      <c r="L1096">
        <v>436</v>
      </c>
      <c r="P1096">
        <v>227</v>
      </c>
      <c r="Q1096">
        <v>339</v>
      </c>
      <c r="R1096">
        <v>67</v>
      </c>
      <c r="U1096">
        <v>4240</v>
      </c>
      <c r="V1096">
        <v>230</v>
      </c>
      <c r="Z1096">
        <v>225</v>
      </c>
      <c r="AA1096">
        <v>859</v>
      </c>
      <c r="AB1096" t="s">
        <v>1808</v>
      </c>
    </row>
    <row r="1097" spans="1:28" x14ac:dyDescent="0.3">
      <c r="A1097">
        <v>78401</v>
      </c>
      <c r="B1097" t="s">
        <v>1339</v>
      </c>
      <c r="C1097">
        <v>0</v>
      </c>
      <c r="D1097">
        <v>1610612752</v>
      </c>
      <c r="E1097" t="s">
        <v>1248</v>
      </c>
      <c r="F1097">
        <v>240</v>
      </c>
      <c r="G1097">
        <v>16</v>
      </c>
      <c r="J1097">
        <v>7</v>
      </c>
      <c r="K1097">
        <v>34</v>
      </c>
      <c r="L1097">
        <v>206</v>
      </c>
      <c r="P1097">
        <v>11</v>
      </c>
      <c r="Q1097">
        <v>17</v>
      </c>
      <c r="R1097">
        <v>647</v>
      </c>
      <c r="V1097">
        <v>6</v>
      </c>
      <c r="Z1097">
        <v>10</v>
      </c>
      <c r="AA1097">
        <v>25</v>
      </c>
      <c r="AB1097" t="s">
        <v>1809</v>
      </c>
    </row>
    <row r="1098" spans="1:28" x14ac:dyDescent="0.3">
      <c r="A1098">
        <v>78401</v>
      </c>
      <c r="B1098" t="s">
        <v>1297</v>
      </c>
      <c r="C1098">
        <v>0</v>
      </c>
      <c r="D1098">
        <v>1610612752</v>
      </c>
      <c r="E1098" t="s">
        <v>1248</v>
      </c>
      <c r="F1098">
        <v>250</v>
      </c>
      <c r="G1098">
        <v>44</v>
      </c>
      <c r="J1098">
        <v>53</v>
      </c>
      <c r="K1098">
        <v>192</v>
      </c>
      <c r="L1098">
        <v>276</v>
      </c>
      <c r="P1098">
        <v>74</v>
      </c>
      <c r="Q1098">
        <v>120</v>
      </c>
      <c r="R1098">
        <v>617</v>
      </c>
      <c r="V1098">
        <v>29</v>
      </c>
      <c r="Z1098">
        <v>81</v>
      </c>
      <c r="AA1098">
        <v>180</v>
      </c>
      <c r="AB1098" t="s">
        <v>1809</v>
      </c>
    </row>
    <row r="1099" spans="1:28" x14ac:dyDescent="0.3">
      <c r="A1099">
        <v>78401</v>
      </c>
      <c r="B1099" t="s">
        <v>1299</v>
      </c>
      <c r="C1099">
        <v>0</v>
      </c>
      <c r="D1099">
        <v>1610612752</v>
      </c>
      <c r="E1099" t="s">
        <v>1248</v>
      </c>
      <c r="F1099">
        <v>260</v>
      </c>
      <c r="G1099">
        <v>59</v>
      </c>
      <c r="J1099">
        <v>127</v>
      </c>
      <c r="K1099">
        <v>401</v>
      </c>
      <c r="L1099">
        <v>317</v>
      </c>
      <c r="P1099">
        <v>161</v>
      </c>
      <c r="Q1099">
        <v>240</v>
      </c>
      <c r="R1099">
        <v>671</v>
      </c>
      <c r="V1099">
        <v>143</v>
      </c>
      <c r="Z1099">
        <v>148</v>
      </c>
      <c r="AA1099">
        <v>415</v>
      </c>
      <c r="AB1099" t="s">
        <v>1809</v>
      </c>
    </row>
    <row r="1100" spans="1:28" x14ac:dyDescent="0.3">
      <c r="A1100">
        <v>78401</v>
      </c>
      <c r="B1100" t="s">
        <v>1266</v>
      </c>
      <c r="C1100">
        <v>0</v>
      </c>
      <c r="D1100">
        <v>1610612752</v>
      </c>
      <c r="E1100" t="s">
        <v>1248</v>
      </c>
      <c r="F1100">
        <v>270</v>
      </c>
      <c r="G1100">
        <v>56</v>
      </c>
      <c r="J1100">
        <v>55</v>
      </c>
      <c r="K1100">
        <v>167</v>
      </c>
      <c r="L1100">
        <v>329</v>
      </c>
      <c r="P1100">
        <v>96</v>
      </c>
      <c r="Q1100">
        <v>134</v>
      </c>
      <c r="R1100">
        <v>716</v>
      </c>
      <c r="V1100">
        <v>78</v>
      </c>
      <c r="Z1100">
        <v>111</v>
      </c>
      <c r="AA1100">
        <v>206</v>
      </c>
      <c r="AB1100" t="s">
        <v>1809</v>
      </c>
    </row>
    <row r="1101" spans="1:28" x14ac:dyDescent="0.3">
      <c r="A1101">
        <v>1496</v>
      </c>
      <c r="B1101" t="s">
        <v>1293</v>
      </c>
      <c r="C1101">
        <v>0</v>
      </c>
      <c r="D1101">
        <v>1610612752</v>
      </c>
      <c r="E1101" t="s">
        <v>1248</v>
      </c>
      <c r="F1101">
        <v>280</v>
      </c>
      <c r="G1101">
        <v>47</v>
      </c>
      <c r="H1101">
        <v>470</v>
      </c>
      <c r="I1101">
        <v>15780</v>
      </c>
      <c r="J1101">
        <v>273</v>
      </c>
      <c r="K1101">
        <v>613</v>
      </c>
      <c r="L1101">
        <v>445</v>
      </c>
      <c r="M1101">
        <v>600</v>
      </c>
      <c r="N1101">
        <v>1610</v>
      </c>
      <c r="O1101">
        <v>373</v>
      </c>
      <c r="P1101">
        <v>163</v>
      </c>
      <c r="Q1101">
        <v>199</v>
      </c>
      <c r="R1101">
        <v>819</v>
      </c>
      <c r="S1101">
        <v>980</v>
      </c>
      <c r="T1101">
        <v>2450</v>
      </c>
      <c r="U1101">
        <v>3430</v>
      </c>
      <c r="V1101">
        <v>83</v>
      </c>
      <c r="W1101">
        <v>520</v>
      </c>
      <c r="X1101">
        <v>180</v>
      </c>
      <c r="Y1101">
        <v>1190</v>
      </c>
      <c r="Z1101">
        <v>151</v>
      </c>
      <c r="AA1101">
        <v>769</v>
      </c>
      <c r="AB1101" t="s">
        <v>1810</v>
      </c>
    </row>
    <row r="1102" spans="1:28" x14ac:dyDescent="0.3">
      <c r="A1102">
        <v>78405</v>
      </c>
      <c r="B1102" t="s">
        <v>1266</v>
      </c>
      <c r="C1102">
        <v>0</v>
      </c>
      <c r="D1102">
        <v>1610612752</v>
      </c>
      <c r="E1102" t="s">
        <v>1248</v>
      </c>
      <c r="F1102">
        <v>210</v>
      </c>
      <c r="G1102">
        <v>42</v>
      </c>
      <c r="J1102">
        <v>164</v>
      </c>
      <c r="K1102">
        <v>390</v>
      </c>
      <c r="L1102">
        <v>421</v>
      </c>
      <c r="P1102">
        <v>93</v>
      </c>
      <c r="Q1102">
        <v>140</v>
      </c>
      <c r="R1102">
        <v>664</v>
      </c>
      <c r="V1102">
        <v>78</v>
      </c>
      <c r="Z1102">
        <v>126</v>
      </c>
      <c r="AA1102">
        <v>421</v>
      </c>
      <c r="AB1102" t="s">
        <v>1811</v>
      </c>
    </row>
    <row r="1103" spans="1:28" x14ac:dyDescent="0.3">
      <c r="A1103">
        <v>78405</v>
      </c>
      <c r="B1103" t="s">
        <v>1378</v>
      </c>
      <c r="C1103">
        <v>0</v>
      </c>
      <c r="D1103">
        <v>1610612752</v>
      </c>
      <c r="E1103" t="s">
        <v>1248</v>
      </c>
      <c r="F1103">
        <v>220</v>
      </c>
      <c r="G1103">
        <v>44</v>
      </c>
      <c r="J1103">
        <v>135</v>
      </c>
      <c r="K1103">
        <v>336</v>
      </c>
      <c r="L1103">
        <v>402</v>
      </c>
      <c r="P1103">
        <v>68</v>
      </c>
      <c r="Q1103">
        <v>97</v>
      </c>
      <c r="R1103">
        <v>701</v>
      </c>
      <c r="U1103">
        <v>1950</v>
      </c>
      <c r="V1103">
        <v>121</v>
      </c>
      <c r="Z1103">
        <v>144</v>
      </c>
      <c r="AA1103">
        <v>338</v>
      </c>
      <c r="AB1103" t="s">
        <v>1811</v>
      </c>
    </row>
    <row r="1104" spans="1:28" x14ac:dyDescent="0.3">
      <c r="A1104">
        <v>78405</v>
      </c>
      <c r="B1104" t="s">
        <v>1247</v>
      </c>
      <c r="C1104">
        <v>0</v>
      </c>
      <c r="D1104">
        <v>1610612752</v>
      </c>
      <c r="E1104" t="s">
        <v>1248</v>
      </c>
      <c r="F1104">
        <v>230</v>
      </c>
      <c r="G1104">
        <v>57</v>
      </c>
      <c r="I1104">
        <v>15070</v>
      </c>
      <c r="J1104">
        <v>200</v>
      </c>
      <c r="K1104">
        <v>457</v>
      </c>
      <c r="L1104">
        <v>438</v>
      </c>
      <c r="P1104">
        <v>124</v>
      </c>
      <c r="Q1104">
        <v>160</v>
      </c>
      <c r="R1104">
        <v>775</v>
      </c>
      <c r="U1104">
        <v>2640</v>
      </c>
      <c r="V1104">
        <v>164</v>
      </c>
      <c r="Z1104">
        <v>188</v>
      </c>
      <c r="AA1104">
        <v>524</v>
      </c>
      <c r="AB1104" t="s">
        <v>1811</v>
      </c>
    </row>
    <row r="1105" spans="1:28" x14ac:dyDescent="0.3">
      <c r="A1105">
        <v>78405</v>
      </c>
      <c r="B1105" t="s">
        <v>1390</v>
      </c>
      <c r="C1105">
        <v>0</v>
      </c>
      <c r="D1105">
        <v>1610612752</v>
      </c>
      <c r="E1105" t="s">
        <v>1248</v>
      </c>
      <c r="F1105">
        <v>240</v>
      </c>
      <c r="G1105">
        <v>61</v>
      </c>
      <c r="I1105">
        <v>17450</v>
      </c>
      <c r="J1105">
        <v>272</v>
      </c>
      <c r="K1105">
        <v>625</v>
      </c>
      <c r="L1105">
        <v>435</v>
      </c>
      <c r="P1105">
        <v>187</v>
      </c>
      <c r="Q1105">
        <v>244</v>
      </c>
      <c r="R1105">
        <v>766</v>
      </c>
      <c r="U1105">
        <v>3420</v>
      </c>
      <c r="V1105">
        <v>144</v>
      </c>
      <c r="Z1105">
        <v>242</v>
      </c>
      <c r="AA1105">
        <v>731</v>
      </c>
      <c r="AB1105" t="s">
        <v>1811</v>
      </c>
    </row>
    <row r="1106" spans="1:28" x14ac:dyDescent="0.3">
      <c r="A1106">
        <v>78405</v>
      </c>
      <c r="B1106" t="s">
        <v>1349</v>
      </c>
      <c r="C1106">
        <v>0</v>
      </c>
      <c r="D1106">
        <v>1610612752</v>
      </c>
      <c r="E1106" t="s">
        <v>1248</v>
      </c>
      <c r="F1106">
        <v>250</v>
      </c>
      <c r="G1106">
        <v>15</v>
      </c>
      <c r="I1106">
        <v>2710</v>
      </c>
      <c r="J1106">
        <v>37</v>
      </c>
      <c r="K1106">
        <v>103</v>
      </c>
      <c r="L1106">
        <v>359</v>
      </c>
      <c r="P1106">
        <v>25</v>
      </c>
      <c r="Q1106">
        <v>31</v>
      </c>
      <c r="R1106">
        <v>806</v>
      </c>
      <c r="U1106">
        <v>390</v>
      </c>
      <c r="V1106">
        <v>29</v>
      </c>
      <c r="Z1106">
        <v>38</v>
      </c>
      <c r="AA1106">
        <v>99</v>
      </c>
      <c r="AB1106" t="s">
        <v>1811</v>
      </c>
    </row>
    <row r="1107" spans="1:28" x14ac:dyDescent="0.3">
      <c r="A1107">
        <v>78405</v>
      </c>
      <c r="B1107" t="s">
        <v>1315</v>
      </c>
      <c r="C1107">
        <v>0</v>
      </c>
      <c r="D1107">
        <v>1610612752</v>
      </c>
      <c r="E1107" t="s">
        <v>1248</v>
      </c>
      <c r="F1107">
        <v>270</v>
      </c>
      <c r="G1107">
        <v>5</v>
      </c>
      <c r="I1107">
        <v>770</v>
      </c>
      <c r="J1107">
        <v>10</v>
      </c>
      <c r="K1107">
        <v>31</v>
      </c>
      <c r="L1107">
        <v>323</v>
      </c>
      <c r="P1107">
        <v>2</v>
      </c>
      <c r="Q1107">
        <v>2</v>
      </c>
      <c r="R1107">
        <v>10</v>
      </c>
      <c r="U1107">
        <v>130</v>
      </c>
      <c r="V1107">
        <v>12</v>
      </c>
      <c r="Z1107">
        <v>15</v>
      </c>
      <c r="AA1107">
        <v>22</v>
      </c>
      <c r="AB1107" t="s">
        <v>1811</v>
      </c>
    </row>
    <row r="1108" spans="1:28" x14ac:dyDescent="0.3">
      <c r="A1108">
        <v>78391</v>
      </c>
      <c r="B1108" t="s">
        <v>1320</v>
      </c>
      <c r="C1108">
        <v>0</v>
      </c>
      <c r="D1108">
        <v>1610612752</v>
      </c>
      <c r="E1108" t="s">
        <v>1248</v>
      </c>
      <c r="F1108">
        <v>220</v>
      </c>
      <c r="G1108">
        <v>68</v>
      </c>
      <c r="I1108">
        <v>11820</v>
      </c>
      <c r="J1108">
        <v>175</v>
      </c>
      <c r="K1108">
        <v>490</v>
      </c>
      <c r="L1108">
        <v>357</v>
      </c>
      <c r="P1108">
        <v>150</v>
      </c>
      <c r="Q1108">
        <v>224</v>
      </c>
      <c r="R1108">
        <v>67</v>
      </c>
      <c r="U1108">
        <v>4800</v>
      </c>
      <c r="V1108">
        <v>34</v>
      </c>
      <c r="Z1108">
        <v>175</v>
      </c>
      <c r="AA1108">
        <v>500</v>
      </c>
      <c r="AB1108" t="s">
        <v>1812</v>
      </c>
    </row>
    <row r="1109" spans="1:28" x14ac:dyDescent="0.3">
      <c r="A1109">
        <v>78391</v>
      </c>
      <c r="B1109" t="s">
        <v>1250</v>
      </c>
      <c r="C1109">
        <v>0</v>
      </c>
      <c r="D1109">
        <v>1610612752</v>
      </c>
      <c r="E1109" t="s">
        <v>1248</v>
      </c>
      <c r="F1109">
        <v>230</v>
      </c>
      <c r="G1109">
        <v>69</v>
      </c>
      <c r="I1109">
        <v>15860</v>
      </c>
      <c r="J1109">
        <v>240</v>
      </c>
      <c r="K1109">
        <v>606</v>
      </c>
      <c r="L1109">
        <v>396</v>
      </c>
      <c r="P1109">
        <v>129</v>
      </c>
      <c r="Q1109">
        <v>190</v>
      </c>
      <c r="R1109">
        <v>679</v>
      </c>
      <c r="U1109">
        <v>4850</v>
      </c>
      <c r="V1109">
        <v>33</v>
      </c>
      <c r="Z1109">
        <v>180</v>
      </c>
      <c r="AA1109">
        <v>609</v>
      </c>
      <c r="AB1109" t="s">
        <v>1812</v>
      </c>
    </row>
    <row r="1110" spans="1:28" x14ac:dyDescent="0.3">
      <c r="A1110">
        <v>78391</v>
      </c>
      <c r="B1110" t="s">
        <v>1321</v>
      </c>
      <c r="C1110">
        <v>0</v>
      </c>
      <c r="D1110">
        <v>1610612752</v>
      </c>
      <c r="E1110" t="s">
        <v>1248</v>
      </c>
      <c r="F1110">
        <v>240</v>
      </c>
      <c r="G1110">
        <v>74</v>
      </c>
      <c r="I1110">
        <v>20330</v>
      </c>
      <c r="J1110">
        <v>406</v>
      </c>
      <c r="K1110">
        <v>952</v>
      </c>
      <c r="L1110">
        <v>426</v>
      </c>
      <c r="P1110">
        <v>133</v>
      </c>
      <c r="Q1110">
        <v>189</v>
      </c>
      <c r="R1110">
        <v>704</v>
      </c>
      <c r="U1110">
        <v>5980</v>
      </c>
      <c r="V1110">
        <v>80</v>
      </c>
      <c r="Z1110">
        <v>258</v>
      </c>
      <c r="AA1110">
        <v>945</v>
      </c>
      <c r="AB1110" t="s">
        <v>1812</v>
      </c>
    </row>
    <row r="1111" spans="1:28" x14ac:dyDescent="0.3">
      <c r="A1111">
        <v>78391</v>
      </c>
      <c r="B1111" t="s">
        <v>1322</v>
      </c>
      <c r="C1111">
        <v>0</v>
      </c>
      <c r="D1111">
        <v>1610612752</v>
      </c>
      <c r="E1111" t="s">
        <v>1248</v>
      </c>
      <c r="F1111">
        <v>250</v>
      </c>
      <c r="G1111">
        <v>59</v>
      </c>
      <c r="I1111">
        <v>14040</v>
      </c>
      <c r="J1111">
        <v>199</v>
      </c>
      <c r="K1111">
        <v>549</v>
      </c>
      <c r="L1111">
        <v>362</v>
      </c>
      <c r="P1111">
        <v>120</v>
      </c>
      <c r="Q1111">
        <v>173</v>
      </c>
      <c r="R1111">
        <v>694</v>
      </c>
      <c r="U1111">
        <v>3940</v>
      </c>
      <c r="V1111">
        <v>82</v>
      </c>
      <c r="Z1111">
        <v>164</v>
      </c>
      <c r="AA1111">
        <v>518</v>
      </c>
      <c r="AB1111" t="s">
        <v>1812</v>
      </c>
    </row>
    <row r="1112" spans="1:28" x14ac:dyDescent="0.3">
      <c r="A1112">
        <v>203943</v>
      </c>
      <c r="B1112" t="s">
        <v>1287</v>
      </c>
      <c r="C1112">
        <v>0</v>
      </c>
      <c r="D1112">
        <v>1610612752</v>
      </c>
      <c r="E1112" t="s">
        <v>1248</v>
      </c>
      <c r="F1112">
        <v>230</v>
      </c>
      <c r="G1112">
        <v>68</v>
      </c>
      <c r="H1112">
        <v>570</v>
      </c>
      <c r="I1112">
        <v>17220</v>
      </c>
      <c r="J1112">
        <v>207</v>
      </c>
      <c r="K1112">
        <v>440</v>
      </c>
      <c r="L1112">
        <v>47</v>
      </c>
      <c r="M1112">
        <v>460</v>
      </c>
      <c r="N1112">
        <v>1370</v>
      </c>
      <c r="O1112">
        <v>336</v>
      </c>
      <c r="P1112">
        <v>111</v>
      </c>
      <c r="Q1112">
        <v>156</v>
      </c>
      <c r="R1112">
        <v>712</v>
      </c>
      <c r="S1112">
        <v>1130</v>
      </c>
      <c r="T1112">
        <v>4150</v>
      </c>
      <c r="U1112">
        <v>5280</v>
      </c>
      <c r="V1112">
        <v>129</v>
      </c>
      <c r="W1112">
        <v>460</v>
      </c>
      <c r="X1112">
        <v>510</v>
      </c>
      <c r="Y1112">
        <v>880</v>
      </c>
      <c r="Z1112">
        <v>174</v>
      </c>
      <c r="AA1112">
        <v>571</v>
      </c>
      <c r="AB1112" t="s">
        <v>1813</v>
      </c>
    </row>
    <row r="1113" spans="1:28" x14ac:dyDescent="0.3">
      <c r="A1113">
        <v>2756</v>
      </c>
      <c r="B1113" t="s">
        <v>1279</v>
      </c>
      <c r="C1113">
        <v>0</v>
      </c>
      <c r="D1113">
        <v>1610612752</v>
      </c>
      <c r="E1113" t="s">
        <v>1248</v>
      </c>
      <c r="F1113">
        <v>320</v>
      </c>
      <c r="G1113">
        <v>61</v>
      </c>
      <c r="H1113">
        <v>250</v>
      </c>
      <c r="I1113">
        <v>9080</v>
      </c>
      <c r="J1113">
        <v>106</v>
      </c>
      <c r="K1113">
        <v>277</v>
      </c>
      <c r="L1113">
        <v>383</v>
      </c>
      <c r="M1113">
        <v>520</v>
      </c>
      <c r="N1113">
        <v>1430</v>
      </c>
      <c r="O1113">
        <v>364</v>
      </c>
      <c r="P1113">
        <v>32</v>
      </c>
      <c r="Q1113">
        <v>39</v>
      </c>
      <c r="R1113">
        <v>821</v>
      </c>
      <c r="S1113">
        <v>260</v>
      </c>
      <c r="T1113">
        <v>1230</v>
      </c>
      <c r="U1113">
        <v>1490</v>
      </c>
      <c r="V1113">
        <v>84</v>
      </c>
      <c r="W1113">
        <v>340</v>
      </c>
      <c r="X1113">
        <v>50</v>
      </c>
      <c r="Y1113">
        <v>440</v>
      </c>
      <c r="Z1113">
        <v>83</v>
      </c>
      <c r="AA1113">
        <v>296</v>
      </c>
      <c r="AB1113" t="s">
        <v>1814</v>
      </c>
    </row>
    <row r="1114" spans="1:28" x14ac:dyDescent="0.3">
      <c r="A1114">
        <v>2756</v>
      </c>
      <c r="B1114" t="s">
        <v>1281</v>
      </c>
      <c r="C1114">
        <v>0</v>
      </c>
      <c r="D1114">
        <v>1610612752</v>
      </c>
      <c r="E1114" t="s">
        <v>1248</v>
      </c>
      <c r="F1114">
        <v>330</v>
      </c>
      <c r="G1114">
        <v>42</v>
      </c>
      <c r="H1114">
        <v>40</v>
      </c>
      <c r="I1114">
        <v>4080</v>
      </c>
      <c r="J1114">
        <v>42</v>
      </c>
      <c r="K1114">
        <v>136</v>
      </c>
      <c r="L1114">
        <v>309</v>
      </c>
      <c r="M1114">
        <v>230</v>
      </c>
      <c r="N1114">
        <v>740</v>
      </c>
      <c r="O1114">
        <v>311</v>
      </c>
      <c r="P1114">
        <v>17</v>
      </c>
      <c r="Q1114">
        <v>24</v>
      </c>
      <c r="R1114">
        <v>708</v>
      </c>
      <c r="S1114">
        <v>120</v>
      </c>
      <c r="T1114">
        <v>470</v>
      </c>
      <c r="U1114">
        <v>590</v>
      </c>
      <c r="V1114">
        <v>52</v>
      </c>
      <c r="W1114">
        <v>130</v>
      </c>
      <c r="X1114">
        <v>20</v>
      </c>
      <c r="Y1114">
        <v>160</v>
      </c>
      <c r="Z1114">
        <v>38</v>
      </c>
      <c r="AA1114">
        <v>124</v>
      </c>
      <c r="AB1114" t="s">
        <v>1814</v>
      </c>
    </row>
    <row r="1115" spans="1:28" x14ac:dyDescent="0.3">
      <c r="A1115">
        <v>78432</v>
      </c>
      <c r="B1115" t="s">
        <v>1358</v>
      </c>
      <c r="C1115">
        <v>0</v>
      </c>
      <c r="D1115">
        <v>1610612752</v>
      </c>
      <c r="E1115" t="s">
        <v>1248</v>
      </c>
      <c r="F1115">
        <v>260</v>
      </c>
      <c r="G1115">
        <v>30</v>
      </c>
      <c r="I1115">
        <v>2740</v>
      </c>
      <c r="J1115">
        <v>47</v>
      </c>
      <c r="K1115">
        <v>115</v>
      </c>
      <c r="L1115">
        <v>409</v>
      </c>
      <c r="P1115">
        <v>22</v>
      </c>
      <c r="Q1115">
        <v>25</v>
      </c>
      <c r="R1115">
        <v>88</v>
      </c>
      <c r="S1115">
        <v>180</v>
      </c>
      <c r="T1115">
        <v>590</v>
      </c>
      <c r="U1115">
        <v>770</v>
      </c>
      <c r="V1115">
        <v>22</v>
      </c>
      <c r="W1115">
        <v>70</v>
      </c>
      <c r="X1115">
        <v>30</v>
      </c>
      <c r="Z1115">
        <v>55</v>
      </c>
      <c r="AA1115">
        <v>116</v>
      </c>
      <c r="AB1115" t="s">
        <v>1815</v>
      </c>
    </row>
    <row r="1116" spans="1:28" x14ac:dyDescent="0.3">
      <c r="A1116">
        <v>78432</v>
      </c>
      <c r="B1116" t="s">
        <v>1261</v>
      </c>
      <c r="C1116">
        <v>0</v>
      </c>
      <c r="D1116">
        <v>1610612752</v>
      </c>
      <c r="E1116" t="s">
        <v>1248</v>
      </c>
      <c r="F1116">
        <v>270</v>
      </c>
      <c r="G1116">
        <v>82</v>
      </c>
      <c r="I1116">
        <v>13400</v>
      </c>
      <c r="J1116">
        <v>262</v>
      </c>
      <c r="K1116">
        <v>607</v>
      </c>
      <c r="L1116">
        <v>432</v>
      </c>
      <c r="P1116">
        <v>79</v>
      </c>
      <c r="Q1116">
        <v>99</v>
      </c>
      <c r="R1116">
        <v>798</v>
      </c>
      <c r="S1116">
        <v>980</v>
      </c>
      <c r="T1116">
        <v>2910</v>
      </c>
      <c r="U1116">
        <v>3890</v>
      </c>
      <c r="V1116">
        <v>119</v>
      </c>
      <c r="W1116">
        <v>260</v>
      </c>
      <c r="X1116">
        <v>220</v>
      </c>
      <c r="Z1116">
        <v>209</v>
      </c>
      <c r="AA1116">
        <v>603</v>
      </c>
      <c r="AB1116" t="s">
        <v>1815</v>
      </c>
    </row>
    <row r="1117" spans="1:28" x14ac:dyDescent="0.3">
      <c r="A1117">
        <v>78432</v>
      </c>
      <c r="B1117" t="s">
        <v>1263</v>
      </c>
      <c r="C1117">
        <v>0</v>
      </c>
      <c r="D1117">
        <v>1610612752</v>
      </c>
      <c r="E1117" t="s">
        <v>1248</v>
      </c>
      <c r="F1117">
        <v>280</v>
      </c>
      <c r="G1117">
        <v>11</v>
      </c>
      <c r="I1117">
        <v>1350</v>
      </c>
      <c r="J1117">
        <v>28</v>
      </c>
      <c r="K1117">
        <v>57</v>
      </c>
      <c r="L1117">
        <v>491</v>
      </c>
      <c r="P1117">
        <v>6</v>
      </c>
      <c r="Q1117">
        <v>7</v>
      </c>
      <c r="R1117">
        <v>857</v>
      </c>
      <c r="S1117">
        <v>50</v>
      </c>
      <c r="T1117">
        <v>220</v>
      </c>
      <c r="U1117">
        <v>270</v>
      </c>
      <c r="V1117">
        <v>6</v>
      </c>
      <c r="W1117">
        <v>40</v>
      </c>
      <c r="X1117">
        <v>30</v>
      </c>
      <c r="Z1117">
        <v>22</v>
      </c>
      <c r="AA1117">
        <v>62</v>
      </c>
      <c r="AB1117" t="s">
        <v>1815</v>
      </c>
    </row>
    <row r="1118" spans="1:28" x14ac:dyDescent="0.3">
      <c r="A1118">
        <v>78404</v>
      </c>
      <c r="B1118" t="s">
        <v>1268</v>
      </c>
      <c r="C1118">
        <v>0</v>
      </c>
      <c r="D1118">
        <v>1610612752</v>
      </c>
      <c r="E1118" t="s">
        <v>1248</v>
      </c>
      <c r="F1118">
        <v>300</v>
      </c>
      <c r="G1118">
        <v>27</v>
      </c>
      <c r="H1118">
        <v>0</v>
      </c>
      <c r="I1118">
        <v>5020</v>
      </c>
      <c r="J1118">
        <v>97</v>
      </c>
      <c r="K1118">
        <v>209</v>
      </c>
      <c r="L1118">
        <v>464</v>
      </c>
      <c r="M1118">
        <v>30</v>
      </c>
      <c r="N1118">
        <v>100</v>
      </c>
      <c r="O1118">
        <v>3</v>
      </c>
      <c r="P1118">
        <v>51</v>
      </c>
      <c r="Q1118">
        <v>56</v>
      </c>
      <c r="R1118">
        <v>911</v>
      </c>
      <c r="S1118">
        <v>150</v>
      </c>
      <c r="T1118">
        <v>210</v>
      </c>
      <c r="U1118">
        <v>360</v>
      </c>
      <c r="V1118">
        <v>35</v>
      </c>
      <c r="W1118">
        <v>120</v>
      </c>
      <c r="X1118">
        <v>70</v>
      </c>
      <c r="Y1118">
        <v>230</v>
      </c>
      <c r="Z1118">
        <v>38</v>
      </c>
      <c r="AA1118">
        <v>248</v>
      </c>
      <c r="AB1118" t="s">
        <v>1816</v>
      </c>
    </row>
    <row r="1119" spans="1:28" x14ac:dyDescent="0.3">
      <c r="A1119">
        <v>78404</v>
      </c>
      <c r="B1119" t="s">
        <v>1270</v>
      </c>
      <c r="C1119">
        <v>0</v>
      </c>
      <c r="D1119">
        <v>1610612752</v>
      </c>
      <c r="E1119" t="s">
        <v>1248</v>
      </c>
      <c r="F1119">
        <v>310</v>
      </c>
      <c r="G1119">
        <v>22</v>
      </c>
      <c r="H1119">
        <v>130</v>
      </c>
      <c r="I1119">
        <v>5630</v>
      </c>
      <c r="J1119">
        <v>102</v>
      </c>
      <c r="K1119">
        <v>231</v>
      </c>
      <c r="L1119">
        <v>442</v>
      </c>
      <c r="M1119">
        <v>100</v>
      </c>
      <c r="N1119">
        <v>190</v>
      </c>
      <c r="O1119">
        <v>526</v>
      </c>
      <c r="P1119">
        <v>44</v>
      </c>
      <c r="Q1119">
        <v>48</v>
      </c>
      <c r="R1119">
        <v>917</v>
      </c>
      <c r="S1119">
        <v>150</v>
      </c>
      <c r="T1119">
        <v>380</v>
      </c>
      <c r="U1119">
        <v>530</v>
      </c>
      <c r="V1119">
        <v>41</v>
      </c>
      <c r="W1119">
        <v>150</v>
      </c>
      <c r="X1119">
        <v>30</v>
      </c>
      <c r="Y1119">
        <v>260</v>
      </c>
      <c r="Z1119">
        <v>28</v>
      </c>
      <c r="AA1119">
        <v>258</v>
      </c>
      <c r="AB1119" t="s">
        <v>1816</v>
      </c>
    </row>
    <row r="1120" spans="1:28" x14ac:dyDescent="0.3">
      <c r="A1120">
        <v>78404</v>
      </c>
      <c r="B1120" t="s">
        <v>1271</v>
      </c>
      <c r="C1120">
        <v>0</v>
      </c>
      <c r="D1120">
        <v>1610612752</v>
      </c>
      <c r="E1120" t="s">
        <v>1248</v>
      </c>
      <c r="F1120">
        <v>320</v>
      </c>
      <c r="G1120">
        <v>75</v>
      </c>
      <c r="H1120">
        <v>720</v>
      </c>
      <c r="I1120">
        <v>24200</v>
      </c>
      <c r="J1120">
        <v>458</v>
      </c>
      <c r="K1120">
        <v>927</v>
      </c>
      <c r="L1120">
        <v>494</v>
      </c>
      <c r="M1120">
        <v>510</v>
      </c>
      <c r="N1120">
        <v>1410</v>
      </c>
      <c r="O1120">
        <v>362</v>
      </c>
      <c r="P1120">
        <v>259</v>
      </c>
      <c r="Q1120">
        <v>288</v>
      </c>
      <c r="R1120">
        <v>899</v>
      </c>
      <c r="S1120">
        <v>780</v>
      </c>
      <c r="T1120">
        <v>1020</v>
      </c>
      <c r="U1120">
        <v>1800</v>
      </c>
      <c r="V1120">
        <v>110</v>
      </c>
      <c r="W1120">
        <v>420</v>
      </c>
      <c r="X1120">
        <v>100</v>
      </c>
      <c r="Y1120">
        <v>1080</v>
      </c>
      <c r="Z1120">
        <v>122</v>
      </c>
      <c r="AA1120">
        <v>1226</v>
      </c>
      <c r="AB1120" t="s">
        <v>1816</v>
      </c>
    </row>
    <row r="1121" spans="1:28" x14ac:dyDescent="0.3">
      <c r="A1121">
        <v>78404</v>
      </c>
      <c r="B1121" t="s">
        <v>1272</v>
      </c>
      <c r="C1121">
        <v>0</v>
      </c>
      <c r="D1121">
        <v>1610612752</v>
      </c>
      <c r="E1121" t="s">
        <v>1248</v>
      </c>
      <c r="F1121">
        <v>330</v>
      </c>
      <c r="G1121">
        <v>67</v>
      </c>
      <c r="H1121">
        <v>0</v>
      </c>
      <c r="I1121">
        <v>9560</v>
      </c>
      <c r="J1121">
        <v>188</v>
      </c>
      <c r="K1121">
        <v>383</v>
      </c>
      <c r="L1121">
        <v>491</v>
      </c>
      <c r="M1121">
        <v>260</v>
      </c>
      <c r="N1121">
        <v>660</v>
      </c>
      <c r="O1121">
        <v>394</v>
      </c>
      <c r="P1121">
        <v>65</v>
      </c>
      <c r="Q1121">
        <v>81</v>
      </c>
      <c r="R1121">
        <v>802</v>
      </c>
      <c r="S1121">
        <v>310</v>
      </c>
      <c r="T1121">
        <v>570</v>
      </c>
      <c r="U1121">
        <v>880</v>
      </c>
      <c r="V1121">
        <v>57</v>
      </c>
      <c r="W1121">
        <v>150</v>
      </c>
      <c r="X1121">
        <v>80</v>
      </c>
      <c r="Y1121">
        <v>270</v>
      </c>
      <c r="Z1121">
        <v>87</v>
      </c>
      <c r="AA1121">
        <v>467</v>
      </c>
      <c r="AB1121" t="s">
        <v>1816</v>
      </c>
    </row>
    <row r="1122" spans="1:28" x14ac:dyDescent="0.3">
      <c r="A1122">
        <v>201611</v>
      </c>
      <c r="B1122" t="s">
        <v>1305</v>
      </c>
      <c r="C1122">
        <v>0</v>
      </c>
      <c r="D1122">
        <v>1610612752</v>
      </c>
      <c r="E1122" t="s">
        <v>1248</v>
      </c>
      <c r="F1122">
        <v>220</v>
      </c>
      <c r="G1122">
        <v>27</v>
      </c>
      <c r="H1122">
        <v>130</v>
      </c>
      <c r="I1122">
        <v>7390</v>
      </c>
      <c r="J1122">
        <v>117</v>
      </c>
      <c r="K1122">
        <v>226</v>
      </c>
      <c r="L1122">
        <v>518</v>
      </c>
      <c r="M1122">
        <v>500</v>
      </c>
      <c r="N1122">
        <v>1160</v>
      </c>
      <c r="O1122">
        <v>431</v>
      </c>
      <c r="P1122">
        <v>37</v>
      </c>
      <c r="Q1122">
        <v>47</v>
      </c>
      <c r="R1122">
        <v>787</v>
      </c>
      <c r="S1122">
        <v>150</v>
      </c>
      <c r="T1122">
        <v>680</v>
      </c>
      <c r="U1122">
        <v>830</v>
      </c>
      <c r="V1122">
        <v>37</v>
      </c>
      <c r="W1122">
        <v>230</v>
      </c>
      <c r="X1122">
        <v>30</v>
      </c>
      <c r="Y1122">
        <v>260</v>
      </c>
      <c r="Z1122">
        <v>79</v>
      </c>
      <c r="AA1122">
        <v>321</v>
      </c>
      <c r="AB1122" t="s">
        <v>1817</v>
      </c>
    </row>
    <row r="1123" spans="1:28" x14ac:dyDescent="0.3">
      <c r="A1123">
        <v>201611</v>
      </c>
      <c r="B1123" t="s">
        <v>1312</v>
      </c>
      <c r="C1123">
        <v>0</v>
      </c>
      <c r="D1123">
        <v>1610612752</v>
      </c>
      <c r="E1123" t="s">
        <v>1248</v>
      </c>
      <c r="F1123">
        <v>230</v>
      </c>
      <c r="G1123">
        <v>61</v>
      </c>
      <c r="H1123">
        <v>10</v>
      </c>
      <c r="I1123">
        <v>7840</v>
      </c>
      <c r="J1123">
        <v>104</v>
      </c>
      <c r="K1123">
        <v>236</v>
      </c>
      <c r="L1123">
        <v>441</v>
      </c>
      <c r="M1123">
        <v>590</v>
      </c>
      <c r="N1123">
        <v>1530</v>
      </c>
      <c r="O1123">
        <v>386</v>
      </c>
      <c r="P1123">
        <v>31</v>
      </c>
      <c r="Q1123">
        <v>44</v>
      </c>
      <c r="R1123">
        <v>705</v>
      </c>
      <c r="S1123">
        <v>160</v>
      </c>
      <c r="T1123">
        <v>1060</v>
      </c>
      <c r="U1123">
        <v>1220</v>
      </c>
      <c r="V1123">
        <v>34</v>
      </c>
      <c r="W1123">
        <v>210</v>
      </c>
      <c r="X1123">
        <v>60</v>
      </c>
      <c r="Y1123">
        <v>370</v>
      </c>
      <c r="Z1123">
        <v>81</v>
      </c>
      <c r="AA1123">
        <v>298</v>
      </c>
      <c r="AB1123" t="s">
        <v>1817</v>
      </c>
    </row>
    <row r="1124" spans="1:28" x14ac:dyDescent="0.3">
      <c r="A1124">
        <v>201611</v>
      </c>
      <c r="B1124" t="s">
        <v>1290</v>
      </c>
      <c r="C1124">
        <v>0</v>
      </c>
      <c r="D1124">
        <v>1610612752</v>
      </c>
      <c r="E1124" t="s">
        <v>1248</v>
      </c>
      <c r="F1124">
        <v>240</v>
      </c>
      <c r="G1124">
        <v>32</v>
      </c>
      <c r="H1124">
        <v>80</v>
      </c>
      <c r="I1124">
        <v>6200</v>
      </c>
      <c r="J1124">
        <v>68</v>
      </c>
      <c r="K1124">
        <v>171</v>
      </c>
      <c r="L1124">
        <v>398</v>
      </c>
      <c r="M1124">
        <v>360</v>
      </c>
      <c r="N1124">
        <v>1130</v>
      </c>
      <c r="O1124">
        <v>319</v>
      </c>
      <c r="P1124">
        <v>17</v>
      </c>
      <c r="Q1124">
        <v>20</v>
      </c>
      <c r="R1124">
        <v>85</v>
      </c>
      <c r="S1124">
        <v>90</v>
      </c>
      <c r="T1124">
        <v>710</v>
      </c>
      <c r="U1124">
        <v>800</v>
      </c>
      <c r="V1124">
        <v>37</v>
      </c>
      <c r="W1124">
        <v>190</v>
      </c>
      <c r="X1124">
        <v>70</v>
      </c>
      <c r="Y1124">
        <v>350</v>
      </c>
      <c r="Z1124">
        <v>84</v>
      </c>
      <c r="AA1124">
        <v>189</v>
      </c>
      <c r="AB1124" t="s">
        <v>1817</v>
      </c>
    </row>
    <row r="1125" spans="1:28" x14ac:dyDescent="0.3">
      <c r="A1125">
        <v>202689</v>
      </c>
      <c r="B1125" t="s">
        <v>1308</v>
      </c>
      <c r="C1125">
        <v>0</v>
      </c>
      <c r="D1125">
        <v>1610612752</v>
      </c>
      <c r="E1125" t="s">
        <v>1248</v>
      </c>
      <c r="F1125">
        <v>320</v>
      </c>
      <c r="G1125">
        <v>37</v>
      </c>
      <c r="H1125">
        <v>370</v>
      </c>
      <c r="I1125">
        <v>9480</v>
      </c>
      <c r="J1125">
        <v>149</v>
      </c>
      <c r="K1125">
        <v>370</v>
      </c>
      <c r="L1125">
        <v>403</v>
      </c>
      <c r="M1125">
        <v>730</v>
      </c>
      <c r="N1125">
        <v>1990</v>
      </c>
      <c r="O1125">
        <v>367</v>
      </c>
      <c r="P1125">
        <v>60</v>
      </c>
      <c r="Q1125">
        <v>71</v>
      </c>
      <c r="R1125">
        <v>845</v>
      </c>
      <c r="S1125">
        <v>140</v>
      </c>
      <c r="T1125">
        <v>970</v>
      </c>
      <c r="U1125">
        <v>1110</v>
      </c>
      <c r="V1125">
        <v>131</v>
      </c>
      <c r="W1125">
        <v>260</v>
      </c>
      <c r="X1125">
        <v>70</v>
      </c>
      <c r="Y1125">
        <v>480</v>
      </c>
      <c r="Z1125">
        <v>37</v>
      </c>
      <c r="AA1125">
        <v>431</v>
      </c>
      <c r="AB1125" t="s">
        <v>1818</v>
      </c>
    </row>
    <row r="1126" spans="1:28" x14ac:dyDescent="0.3">
      <c r="A1126">
        <v>78440</v>
      </c>
      <c r="B1126" t="s">
        <v>1394</v>
      </c>
      <c r="C1126">
        <v>0</v>
      </c>
      <c r="D1126">
        <v>1610612752</v>
      </c>
      <c r="E1126" t="s">
        <v>1248</v>
      </c>
      <c r="F1126">
        <v>220</v>
      </c>
      <c r="G1126">
        <v>68</v>
      </c>
      <c r="H1126">
        <v>640</v>
      </c>
      <c r="I1126">
        <v>17190</v>
      </c>
      <c r="J1126">
        <v>285</v>
      </c>
      <c r="K1126">
        <v>581</v>
      </c>
      <c r="L1126">
        <v>491</v>
      </c>
      <c r="M1126">
        <v>0</v>
      </c>
      <c r="N1126">
        <v>40</v>
      </c>
      <c r="O1126">
        <v>0</v>
      </c>
      <c r="P1126">
        <v>140</v>
      </c>
      <c r="Q1126">
        <v>185</v>
      </c>
      <c r="R1126">
        <v>757</v>
      </c>
      <c r="S1126">
        <v>1180</v>
      </c>
      <c r="T1126">
        <v>2200</v>
      </c>
      <c r="U1126">
        <v>3380</v>
      </c>
      <c r="V1126">
        <v>75</v>
      </c>
      <c r="W1126">
        <v>490</v>
      </c>
      <c r="X1126">
        <v>490</v>
      </c>
      <c r="Y1126">
        <v>750</v>
      </c>
      <c r="Z1126">
        <v>236</v>
      </c>
      <c r="AA1126">
        <v>710</v>
      </c>
      <c r="AB1126" t="s">
        <v>1819</v>
      </c>
    </row>
    <row r="1127" spans="1:28" x14ac:dyDescent="0.3">
      <c r="A1127">
        <v>78440</v>
      </c>
      <c r="B1127" t="s">
        <v>1253</v>
      </c>
      <c r="C1127">
        <v>0</v>
      </c>
      <c r="D1127">
        <v>1610612752</v>
      </c>
      <c r="E1127" t="s">
        <v>1248</v>
      </c>
      <c r="F1127">
        <v>230</v>
      </c>
      <c r="G1127">
        <v>82</v>
      </c>
      <c r="H1127">
        <v>610</v>
      </c>
      <c r="I1127">
        <v>21390</v>
      </c>
      <c r="J1127">
        <v>344</v>
      </c>
      <c r="K1127">
        <v>728</v>
      </c>
      <c r="L1127">
        <v>473</v>
      </c>
      <c r="M1127">
        <v>0</v>
      </c>
      <c r="N1127">
        <v>10</v>
      </c>
      <c r="O1127">
        <v>0</v>
      </c>
      <c r="P1127">
        <v>138</v>
      </c>
      <c r="Q1127">
        <v>178</v>
      </c>
      <c r="R1127">
        <v>775</v>
      </c>
      <c r="S1127">
        <v>1920</v>
      </c>
      <c r="T1127">
        <v>1970</v>
      </c>
      <c r="U1127">
        <v>3890</v>
      </c>
      <c r="V1127">
        <v>86</v>
      </c>
      <c r="W1127">
        <v>630</v>
      </c>
      <c r="X1127">
        <v>590</v>
      </c>
      <c r="Y1127">
        <v>830</v>
      </c>
      <c r="Z1127">
        <v>290</v>
      </c>
      <c r="AA1127">
        <v>826</v>
      </c>
      <c r="AB1127" t="s">
        <v>1819</v>
      </c>
    </row>
    <row r="1128" spans="1:28" x14ac:dyDescent="0.3">
      <c r="A1128">
        <v>78440</v>
      </c>
      <c r="B1128" t="s">
        <v>1268</v>
      </c>
      <c r="C1128">
        <v>0</v>
      </c>
      <c r="D1128">
        <v>1610612752</v>
      </c>
      <c r="E1128" t="s">
        <v>1248</v>
      </c>
      <c r="F1128">
        <v>240</v>
      </c>
      <c r="G1128">
        <v>79</v>
      </c>
      <c r="H1128">
        <v>20</v>
      </c>
      <c r="I1128">
        <v>11630</v>
      </c>
      <c r="J1128">
        <v>174</v>
      </c>
      <c r="K1128">
        <v>356</v>
      </c>
      <c r="L1128">
        <v>489</v>
      </c>
      <c r="M1128">
        <v>50</v>
      </c>
      <c r="N1128">
        <v>200</v>
      </c>
      <c r="O1128">
        <v>25</v>
      </c>
      <c r="P1128">
        <v>66</v>
      </c>
      <c r="Q1128">
        <v>85</v>
      </c>
      <c r="R1128">
        <v>776</v>
      </c>
      <c r="S1128">
        <v>1010</v>
      </c>
      <c r="T1128">
        <v>1290</v>
      </c>
      <c r="U1128">
        <v>2300</v>
      </c>
      <c r="V1128">
        <v>36</v>
      </c>
      <c r="W1128">
        <v>410</v>
      </c>
      <c r="X1128">
        <v>450</v>
      </c>
      <c r="Y1128">
        <v>440</v>
      </c>
      <c r="Z1128">
        <v>190</v>
      </c>
      <c r="AA1128">
        <v>419</v>
      </c>
      <c r="AB1128" t="s">
        <v>1819</v>
      </c>
    </row>
    <row r="1129" spans="1:28" x14ac:dyDescent="0.3">
      <c r="A1129">
        <v>78440</v>
      </c>
      <c r="B1129" t="s">
        <v>1270</v>
      </c>
      <c r="C1129">
        <v>0</v>
      </c>
      <c r="D1129">
        <v>1610612752</v>
      </c>
      <c r="E1129" t="s">
        <v>1248</v>
      </c>
      <c r="F1129">
        <v>250</v>
      </c>
      <c r="G1129">
        <v>68</v>
      </c>
      <c r="H1129">
        <v>210</v>
      </c>
      <c r="I1129">
        <v>15950</v>
      </c>
      <c r="J1129">
        <v>204</v>
      </c>
      <c r="K1129">
        <v>384</v>
      </c>
      <c r="L1129">
        <v>531</v>
      </c>
      <c r="M1129">
        <v>20</v>
      </c>
      <c r="N1129">
        <v>50</v>
      </c>
      <c r="O1129">
        <v>4</v>
      </c>
      <c r="P1129">
        <v>125</v>
      </c>
      <c r="Q1129">
        <v>173</v>
      </c>
      <c r="R1129">
        <v>723</v>
      </c>
      <c r="S1129">
        <v>1310</v>
      </c>
      <c r="T1129">
        <v>2120</v>
      </c>
      <c r="U1129">
        <v>3430</v>
      </c>
      <c r="V1129">
        <v>49</v>
      </c>
      <c r="W1129">
        <v>330</v>
      </c>
      <c r="X1129">
        <v>520</v>
      </c>
      <c r="Y1129">
        <v>600</v>
      </c>
      <c r="Z1129">
        <v>178</v>
      </c>
      <c r="AA1129">
        <v>535</v>
      </c>
      <c r="AB1129" t="s">
        <v>1819</v>
      </c>
    </row>
    <row r="1130" spans="1:28" x14ac:dyDescent="0.3">
      <c r="A1130">
        <v>78440</v>
      </c>
      <c r="B1130" t="s">
        <v>1271</v>
      </c>
      <c r="C1130">
        <v>0</v>
      </c>
      <c r="D1130">
        <v>1610612752</v>
      </c>
      <c r="E1130" t="s">
        <v>1248</v>
      </c>
      <c r="F1130">
        <v>260</v>
      </c>
      <c r="G1130">
        <v>54</v>
      </c>
      <c r="H1130">
        <v>80</v>
      </c>
      <c r="I1130">
        <v>7710</v>
      </c>
      <c r="J1130">
        <v>83</v>
      </c>
      <c r="K1130">
        <v>191</v>
      </c>
      <c r="L1130">
        <v>435</v>
      </c>
      <c r="M1130">
        <v>0</v>
      </c>
      <c r="N1130">
        <v>10</v>
      </c>
      <c r="O1130">
        <v>0</v>
      </c>
      <c r="P1130">
        <v>64</v>
      </c>
      <c r="Q1130">
        <v>82</v>
      </c>
      <c r="R1130">
        <v>78</v>
      </c>
      <c r="S1130">
        <v>630</v>
      </c>
      <c r="T1130">
        <v>940</v>
      </c>
      <c r="U1130">
        <v>1570</v>
      </c>
      <c r="V1130">
        <v>13</v>
      </c>
      <c r="W1130">
        <v>180</v>
      </c>
      <c r="X1130">
        <v>300</v>
      </c>
      <c r="Y1130">
        <v>300</v>
      </c>
      <c r="Z1130">
        <v>92</v>
      </c>
      <c r="AA1130">
        <v>230</v>
      </c>
      <c r="AB1130" t="s">
        <v>1819</v>
      </c>
    </row>
    <row r="1131" spans="1:28" x14ac:dyDescent="0.3">
      <c r="A1131">
        <v>961</v>
      </c>
      <c r="B1131" t="s">
        <v>1277</v>
      </c>
      <c r="C1131">
        <v>0</v>
      </c>
      <c r="D1131">
        <v>1610612752</v>
      </c>
      <c r="E1131" t="s">
        <v>1248</v>
      </c>
      <c r="F1131">
        <v>230</v>
      </c>
      <c r="G1131">
        <v>68</v>
      </c>
      <c r="H1131">
        <v>60</v>
      </c>
      <c r="I1131">
        <v>7870</v>
      </c>
      <c r="J1131">
        <v>122</v>
      </c>
      <c r="K1131">
        <v>236</v>
      </c>
      <c r="L1131">
        <v>517</v>
      </c>
      <c r="M1131">
        <v>20</v>
      </c>
      <c r="N1131">
        <v>40</v>
      </c>
      <c r="O1131">
        <v>5</v>
      </c>
      <c r="P1131">
        <v>79</v>
      </c>
      <c r="Q1131">
        <v>110</v>
      </c>
      <c r="R1131">
        <v>718</v>
      </c>
      <c r="S1131">
        <v>510</v>
      </c>
      <c r="T1131">
        <v>1040</v>
      </c>
      <c r="U1131">
        <v>1550</v>
      </c>
      <c r="V1131">
        <v>37</v>
      </c>
      <c r="W1131">
        <v>210</v>
      </c>
      <c r="X1131">
        <v>250</v>
      </c>
      <c r="Y1131">
        <v>760</v>
      </c>
      <c r="Z1131">
        <v>102</v>
      </c>
      <c r="AA1131">
        <v>325</v>
      </c>
      <c r="AB1131" t="s">
        <v>1820</v>
      </c>
    </row>
    <row r="1132" spans="1:28" x14ac:dyDescent="0.3">
      <c r="A1132">
        <v>961</v>
      </c>
      <c r="B1132" t="s">
        <v>1464</v>
      </c>
      <c r="C1132">
        <v>0</v>
      </c>
      <c r="D1132">
        <v>1610612752</v>
      </c>
      <c r="E1132" t="s">
        <v>1248</v>
      </c>
      <c r="F1132">
        <v>260</v>
      </c>
      <c r="G1132">
        <v>60</v>
      </c>
      <c r="H1132">
        <v>0</v>
      </c>
      <c r="I1132">
        <v>7980</v>
      </c>
      <c r="J1132">
        <v>155</v>
      </c>
      <c r="K1132">
        <v>332</v>
      </c>
      <c r="L1132">
        <v>467</v>
      </c>
      <c r="M1132">
        <v>0</v>
      </c>
      <c r="N1132">
        <v>30</v>
      </c>
      <c r="O1132">
        <v>0</v>
      </c>
      <c r="P1132">
        <v>82</v>
      </c>
      <c r="Q1132">
        <v>102</v>
      </c>
      <c r="R1132">
        <v>804</v>
      </c>
      <c r="S1132">
        <v>420</v>
      </c>
      <c r="T1132">
        <v>930</v>
      </c>
      <c r="U1132">
        <v>1350</v>
      </c>
      <c r="V1132">
        <v>22</v>
      </c>
      <c r="W1132">
        <v>100</v>
      </c>
      <c r="X1132">
        <v>140</v>
      </c>
      <c r="Y1132">
        <v>630</v>
      </c>
      <c r="Z1132">
        <v>103</v>
      </c>
      <c r="AA1132">
        <v>392</v>
      </c>
      <c r="AB1132" t="s">
        <v>1820</v>
      </c>
    </row>
    <row r="1133" spans="1:28" x14ac:dyDescent="0.3">
      <c r="A1133">
        <v>739</v>
      </c>
      <c r="B1133" t="s">
        <v>1292</v>
      </c>
      <c r="C1133">
        <v>0</v>
      </c>
      <c r="D1133">
        <v>1610612752</v>
      </c>
      <c r="E1133" t="s">
        <v>1248</v>
      </c>
      <c r="F1133">
        <v>380</v>
      </c>
      <c r="G1133">
        <v>21</v>
      </c>
      <c r="H1133">
        <v>0</v>
      </c>
      <c r="I1133">
        <v>2960</v>
      </c>
      <c r="J1133">
        <v>55</v>
      </c>
      <c r="K1133">
        <v>142</v>
      </c>
      <c r="L1133">
        <v>387</v>
      </c>
      <c r="M1133">
        <v>220</v>
      </c>
      <c r="N1133">
        <v>690</v>
      </c>
      <c r="O1133">
        <v>319</v>
      </c>
      <c r="P1133">
        <v>14</v>
      </c>
      <c r="Q1133">
        <v>20</v>
      </c>
      <c r="R1133">
        <v>7</v>
      </c>
      <c r="S1133">
        <v>110</v>
      </c>
      <c r="T1133">
        <v>720</v>
      </c>
      <c r="U1133">
        <v>830</v>
      </c>
      <c r="V1133">
        <v>6</v>
      </c>
      <c r="W1133">
        <v>130</v>
      </c>
      <c r="X1133">
        <v>150</v>
      </c>
      <c r="Y1133">
        <v>100</v>
      </c>
      <c r="Z1133">
        <v>40</v>
      </c>
      <c r="AA1133">
        <v>146</v>
      </c>
      <c r="AB1133" t="s">
        <v>1821</v>
      </c>
    </row>
    <row r="1134" spans="1:28" x14ac:dyDescent="0.3">
      <c r="A1134">
        <v>369</v>
      </c>
      <c r="B1134" t="s">
        <v>1275</v>
      </c>
      <c r="C1134">
        <v>0</v>
      </c>
      <c r="D1134">
        <v>1610612752</v>
      </c>
      <c r="E1134" t="s">
        <v>1248</v>
      </c>
      <c r="F1134">
        <v>240</v>
      </c>
      <c r="G1134">
        <v>10</v>
      </c>
      <c r="H1134">
        <v>0</v>
      </c>
      <c r="I1134">
        <v>440</v>
      </c>
      <c r="J1134">
        <v>4</v>
      </c>
      <c r="K1134">
        <v>19</v>
      </c>
      <c r="L1134">
        <v>211</v>
      </c>
      <c r="M1134">
        <v>10</v>
      </c>
      <c r="N1134">
        <v>100</v>
      </c>
      <c r="O1134">
        <v>1</v>
      </c>
      <c r="P1134">
        <v>7</v>
      </c>
      <c r="Q1134">
        <v>10</v>
      </c>
      <c r="R1134">
        <v>7</v>
      </c>
      <c r="S1134">
        <v>10</v>
      </c>
      <c r="T1134">
        <v>50</v>
      </c>
      <c r="U1134">
        <v>60</v>
      </c>
      <c r="V1134">
        <v>4</v>
      </c>
      <c r="W1134">
        <v>20</v>
      </c>
      <c r="X1134">
        <v>0</v>
      </c>
      <c r="Y1134">
        <v>80</v>
      </c>
      <c r="Z1134">
        <v>7</v>
      </c>
      <c r="AA1134">
        <v>16</v>
      </c>
      <c r="AB1134" t="s">
        <v>1822</v>
      </c>
    </row>
    <row r="1135" spans="1:28" x14ac:dyDescent="0.3">
      <c r="A1135">
        <v>369</v>
      </c>
      <c r="B1135" t="s">
        <v>1276</v>
      </c>
      <c r="C1135">
        <v>0</v>
      </c>
      <c r="D1135">
        <v>1610612752</v>
      </c>
      <c r="E1135" t="s">
        <v>1248</v>
      </c>
      <c r="F1135">
        <v>250</v>
      </c>
      <c r="G1135">
        <v>62</v>
      </c>
      <c r="H1135">
        <v>10</v>
      </c>
      <c r="I1135">
        <v>7870</v>
      </c>
      <c r="J1135">
        <v>87</v>
      </c>
      <c r="K1135">
        <v>218</v>
      </c>
      <c r="L1135">
        <v>399</v>
      </c>
      <c r="M1135">
        <v>330</v>
      </c>
      <c r="N1135">
        <v>990</v>
      </c>
      <c r="O1135">
        <v>333</v>
      </c>
      <c r="P1135">
        <v>37</v>
      </c>
      <c r="Q1135">
        <v>54</v>
      </c>
      <c r="R1135">
        <v>685</v>
      </c>
      <c r="S1135">
        <v>290</v>
      </c>
      <c r="T1135">
        <v>730</v>
      </c>
      <c r="U1135">
        <v>1020</v>
      </c>
      <c r="V1135">
        <v>132</v>
      </c>
      <c r="W1135">
        <v>540</v>
      </c>
      <c r="X1135">
        <v>60</v>
      </c>
      <c r="Y1135">
        <v>790</v>
      </c>
      <c r="Z1135">
        <v>98</v>
      </c>
      <c r="AA1135">
        <v>244</v>
      </c>
      <c r="AB1135" t="s">
        <v>1822</v>
      </c>
    </row>
    <row r="1136" spans="1:28" x14ac:dyDescent="0.3">
      <c r="A1136">
        <v>369</v>
      </c>
      <c r="B1136" t="s">
        <v>1277</v>
      </c>
      <c r="C1136">
        <v>0</v>
      </c>
      <c r="D1136">
        <v>1610612752</v>
      </c>
      <c r="E1136" t="s">
        <v>1248</v>
      </c>
      <c r="F1136">
        <v>260</v>
      </c>
      <c r="G1136">
        <v>79</v>
      </c>
      <c r="H1136">
        <v>210</v>
      </c>
      <c r="I1136">
        <v>17650</v>
      </c>
      <c r="J1136">
        <v>133</v>
      </c>
      <c r="K1136">
        <v>337</v>
      </c>
      <c r="L1136">
        <v>395</v>
      </c>
      <c r="M1136">
        <v>480</v>
      </c>
      <c r="N1136">
        <v>1540</v>
      </c>
      <c r="O1136">
        <v>312</v>
      </c>
      <c r="P1136">
        <v>95</v>
      </c>
      <c r="Q1136">
        <v>125</v>
      </c>
      <c r="R1136">
        <v>76</v>
      </c>
      <c r="S1136">
        <v>450</v>
      </c>
      <c r="T1136">
        <v>1750</v>
      </c>
      <c r="U1136">
        <v>2200</v>
      </c>
      <c r="V1136">
        <v>326</v>
      </c>
      <c r="W1136">
        <v>830</v>
      </c>
      <c r="X1136">
        <v>150</v>
      </c>
      <c r="Y1136">
        <v>1470</v>
      </c>
      <c r="Z1136">
        <v>188</v>
      </c>
      <c r="AA1136">
        <v>409</v>
      </c>
      <c r="AB1136" t="s">
        <v>1822</v>
      </c>
    </row>
    <row r="1137" spans="1:28" x14ac:dyDescent="0.3">
      <c r="A1137">
        <v>369</v>
      </c>
      <c r="B1137" t="s">
        <v>1278</v>
      </c>
      <c r="C1137">
        <v>0</v>
      </c>
      <c r="D1137">
        <v>1610612752</v>
      </c>
      <c r="E1137" t="s">
        <v>1248</v>
      </c>
      <c r="F1137">
        <v>270</v>
      </c>
      <c r="G1137">
        <v>82</v>
      </c>
      <c r="H1137">
        <v>820</v>
      </c>
      <c r="I1137">
        <v>23170</v>
      </c>
      <c r="J1137">
        <v>235</v>
      </c>
      <c r="K1137">
        <v>516</v>
      </c>
      <c r="L1137">
        <v>455</v>
      </c>
      <c r="M1137">
        <v>810</v>
      </c>
      <c r="N1137">
        <v>2150</v>
      </c>
      <c r="O1137">
        <v>377</v>
      </c>
      <c r="P1137">
        <v>91</v>
      </c>
      <c r="Q1137">
        <v>113</v>
      </c>
      <c r="R1137">
        <v>805</v>
      </c>
      <c r="S1137">
        <v>320</v>
      </c>
      <c r="T1137">
        <v>2420</v>
      </c>
      <c r="U1137">
        <v>2740</v>
      </c>
      <c r="V1137">
        <v>466</v>
      </c>
      <c r="W1137">
        <v>1440</v>
      </c>
      <c r="X1137">
        <v>370</v>
      </c>
      <c r="Y1137">
        <v>1750</v>
      </c>
      <c r="Z1137">
        <v>195</v>
      </c>
      <c r="AA1137">
        <v>642</v>
      </c>
      <c r="AB1137" t="s">
        <v>1822</v>
      </c>
    </row>
    <row r="1138" spans="1:28" x14ac:dyDescent="0.3">
      <c r="A1138">
        <v>369</v>
      </c>
      <c r="B1138" t="s">
        <v>1429</v>
      </c>
      <c r="C1138">
        <v>0</v>
      </c>
      <c r="D1138">
        <v>1610612752</v>
      </c>
      <c r="E1138" t="s">
        <v>1248</v>
      </c>
      <c r="F1138">
        <v>280</v>
      </c>
      <c r="G1138">
        <v>50</v>
      </c>
      <c r="H1138">
        <v>500</v>
      </c>
      <c r="I1138">
        <v>15560</v>
      </c>
      <c r="J1138">
        <v>135</v>
      </c>
      <c r="K1138">
        <v>334</v>
      </c>
      <c r="L1138">
        <v>404</v>
      </c>
      <c r="M1138">
        <v>530</v>
      </c>
      <c r="N1138">
        <v>1490</v>
      </c>
      <c r="O1138">
        <v>356</v>
      </c>
      <c r="P1138">
        <v>55</v>
      </c>
      <c r="Q1138">
        <v>78</v>
      </c>
      <c r="R1138">
        <v>705</v>
      </c>
      <c r="S1138">
        <v>230</v>
      </c>
      <c r="T1138">
        <v>1490</v>
      </c>
      <c r="U1138">
        <v>1720</v>
      </c>
      <c r="V1138">
        <v>271</v>
      </c>
      <c r="W1138">
        <v>1030</v>
      </c>
      <c r="X1138">
        <v>80</v>
      </c>
      <c r="Y1138">
        <v>1310</v>
      </c>
      <c r="Z1138">
        <v>105</v>
      </c>
      <c r="AA1138">
        <v>378</v>
      </c>
      <c r="AB1138" t="s">
        <v>1822</v>
      </c>
    </row>
    <row r="1139" spans="1:28" x14ac:dyDescent="0.3">
      <c r="A1139">
        <v>369</v>
      </c>
      <c r="B1139" t="s">
        <v>1464</v>
      </c>
      <c r="C1139">
        <v>0</v>
      </c>
      <c r="D1139">
        <v>1610612752</v>
      </c>
      <c r="E1139" t="s">
        <v>1248</v>
      </c>
      <c r="F1139">
        <v>290</v>
      </c>
      <c r="G1139">
        <v>72</v>
      </c>
      <c r="H1139">
        <v>690</v>
      </c>
      <c r="I1139">
        <v>19860</v>
      </c>
      <c r="J1139">
        <v>189</v>
      </c>
      <c r="K1139">
        <v>447</v>
      </c>
      <c r="L1139">
        <v>423</v>
      </c>
      <c r="M1139">
        <v>1020</v>
      </c>
      <c r="N1139">
        <v>2640</v>
      </c>
      <c r="O1139">
        <v>386</v>
      </c>
      <c r="P1139">
        <v>48</v>
      </c>
      <c r="Q1139">
        <v>58</v>
      </c>
      <c r="R1139">
        <v>828</v>
      </c>
      <c r="S1139">
        <v>220</v>
      </c>
      <c r="T1139">
        <v>2060</v>
      </c>
      <c r="U1139">
        <v>2280</v>
      </c>
      <c r="V1139">
        <v>300</v>
      </c>
      <c r="W1139">
        <v>950</v>
      </c>
      <c r="X1139">
        <v>160</v>
      </c>
      <c r="Y1139">
        <v>1020</v>
      </c>
      <c r="Z1139">
        <v>176</v>
      </c>
      <c r="AA1139">
        <v>528</v>
      </c>
      <c r="AB1139" t="s">
        <v>1822</v>
      </c>
    </row>
    <row r="1140" spans="1:28" x14ac:dyDescent="0.3">
      <c r="A1140">
        <v>369</v>
      </c>
      <c r="B1140" t="s">
        <v>1465</v>
      </c>
      <c r="C1140">
        <v>0</v>
      </c>
      <c r="D1140">
        <v>1610612752</v>
      </c>
      <c r="E1140" t="s">
        <v>1248</v>
      </c>
      <c r="F1140">
        <v>300</v>
      </c>
      <c r="G1140">
        <v>61</v>
      </c>
      <c r="H1140">
        <v>330</v>
      </c>
      <c r="I1140">
        <v>14950</v>
      </c>
      <c r="J1140">
        <v>155</v>
      </c>
      <c r="K1140">
        <v>373</v>
      </c>
      <c r="L1140">
        <v>416</v>
      </c>
      <c r="M1140">
        <v>670</v>
      </c>
      <c r="N1140">
        <v>1750</v>
      </c>
      <c r="O1140">
        <v>383</v>
      </c>
      <c r="P1140">
        <v>56</v>
      </c>
      <c r="Q1140">
        <v>70</v>
      </c>
      <c r="R1140">
        <v>8</v>
      </c>
      <c r="S1140">
        <v>320</v>
      </c>
      <c r="T1140">
        <v>1270</v>
      </c>
      <c r="U1140">
        <v>1590</v>
      </c>
      <c r="V1140">
        <v>273</v>
      </c>
      <c r="W1140">
        <v>700</v>
      </c>
      <c r="X1140">
        <v>100</v>
      </c>
      <c r="Y1140">
        <v>1120</v>
      </c>
      <c r="Z1140">
        <v>132</v>
      </c>
      <c r="AA1140">
        <v>433</v>
      </c>
      <c r="AB1140" t="s">
        <v>1822</v>
      </c>
    </row>
    <row r="1141" spans="1:28" x14ac:dyDescent="0.3">
      <c r="A1141">
        <v>369</v>
      </c>
      <c r="B1141" t="s">
        <v>1330</v>
      </c>
      <c r="C1141">
        <v>0</v>
      </c>
      <c r="D1141">
        <v>1610612752</v>
      </c>
      <c r="E1141" t="s">
        <v>1248</v>
      </c>
      <c r="F1141">
        <v>310</v>
      </c>
      <c r="G1141">
        <v>63</v>
      </c>
      <c r="H1141">
        <v>0</v>
      </c>
      <c r="I1141">
        <v>10580</v>
      </c>
      <c r="J1141">
        <v>113</v>
      </c>
      <c r="K1141">
        <v>303</v>
      </c>
      <c r="L1141">
        <v>373</v>
      </c>
      <c r="M1141">
        <v>530</v>
      </c>
      <c r="N1141">
        <v>1640</v>
      </c>
      <c r="O1141">
        <v>323</v>
      </c>
      <c r="P1141">
        <v>47</v>
      </c>
      <c r="Q1141">
        <v>58</v>
      </c>
      <c r="R1141">
        <v>81</v>
      </c>
      <c r="S1141">
        <v>150</v>
      </c>
      <c r="T1141">
        <v>1120</v>
      </c>
      <c r="U1141">
        <v>1270</v>
      </c>
      <c r="V1141">
        <v>203</v>
      </c>
      <c r="W1141">
        <v>680</v>
      </c>
      <c r="X1141">
        <v>140</v>
      </c>
      <c r="Y1141">
        <v>750</v>
      </c>
      <c r="Z1141">
        <v>100</v>
      </c>
      <c r="AA1141">
        <v>326</v>
      </c>
      <c r="AB1141" t="s">
        <v>1822</v>
      </c>
    </row>
    <row r="1142" spans="1:28" x14ac:dyDescent="0.3">
      <c r="A1142">
        <v>369</v>
      </c>
      <c r="B1142" t="s">
        <v>1325</v>
      </c>
      <c r="C1142">
        <v>0</v>
      </c>
      <c r="D1142">
        <v>1610612752</v>
      </c>
      <c r="E1142" t="s">
        <v>1248</v>
      </c>
      <c r="F1142">
        <v>320</v>
      </c>
      <c r="G1142">
        <v>66</v>
      </c>
      <c r="H1142">
        <v>60</v>
      </c>
      <c r="I1142">
        <v>14670</v>
      </c>
      <c r="J1142">
        <v>165</v>
      </c>
      <c r="K1142">
        <v>414</v>
      </c>
      <c r="L1142">
        <v>399</v>
      </c>
      <c r="M1142">
        <v>1010</v>
      </c>
      <c r="N1142">
        <v>2670</v>
      </c>
      <c r="O1142">
        <v>378</v>
      </c>
      <c r="P1142">
        <v>41</v>
      </c>
      <c r="Q1142">
        <v>53</v>
      </c>
      <c r="R1142">
        <v>774</v>
      </c>
      <c r="S1142">
        <v>250</v>
      </c>
      <c r="T1142">
        <v>1520</v>
      </c>
      <c r="U1142">
        <v>1770</v>
      </c>
      <c r="V1142">
        <v>306</v>
      </c>
      <c r="W1142">
        <v>780</v>
      </c>
      <c r="X1142">
        <v>110</v>
      </c>
      <c r="Y1142">
        <v>950</v>
      </c>
      <c r="Z1142">
        <v>146</v>
      </c>
      <c r="AA1142">
        <v>472</v>
      </c>
      <c r="AB1142" t="s">
        <v>1822</v>
      </c>
    </row>
    <row r="1143" spans="1:28" x14ac:dyDescent="0.3">
      <c r="A1143">
        <v>369</v>
      </c>
      <c r="B1143" t="s">
        <v>1293</v>
      </c>
      <c r="C1143">
        <v>0</v>
      </c>
      <c r="D1143">
        <v>1610612752</v>
      </c>
      <c r="E1143" t="s">
        <v>1248</v>
      </c>
      <c r="F1143">
        <v>330</v>
      </c>
      <c r="G1143">
        <v>35</v>
      </c>
      <c r="H1143">
        <v>100</v>
      </c>
      <c r="I1143">
        <v>8280</v>
      </c>
      <c r="J1143">
        <v>115</v>
      </c>
      <c r="K1143">
        <v>260</v>
      </c>
      <c r="L1143">
        <v>442</v>
      </c>
      <c r="M1143">
        <v>590</v>
      </c>
      <c r="N1143">
        <v>1380</v>
      </c>
      <c r="O1143">
        <v>428</v>
      </c>
      <c r="P1143">
        <v>16</v>
      </c>
      <c r="Q1143">
        <v>21</v>
      </c>
      <c r="R1143">
        <v>762</v>
      </c>
      <c r="S1143">
        <v>100</v>
      </c>
      <c r="T1143">
        <v>860</v>
      </c>
      <c r="U1143">
        <v>960</v>
      </c>
      <c r="V1143">
        <v>170</v>
      </c>
      <c r="W1143">
        <v>470</v>
      </c>
      <c r="X1143">
        <v>80</v>
      </c>
      <c r="Y1143">
        <v>690</v>
      </c>
      <c r="Z1143">
        <v>74</v>
      </c>
      <c r="AA1143">
        <v>305</v>
      </c>
      <c r="AB1143" t="s">
        <v>1822</v>
      </c>
    </row>
    <row r="1144" spans="1:28" x14ac:dyDescent="0.3">
      <c r="A1144">
        <v>78461</v>
      </c>
      <c r="B1144" t="s">
        <v>1416</v>
      </c>
      <c r="C1144">
        <v>0</v>
      </c>
      <c r="D1144">
        <v>1610612752</v>
      </c>
      <c r="E1144" t="s">
        <v>1248</v>
      </c>
      <c r="F1144">
        <v>220</v>
      </c>
      <c r="G1144">
        <v>44</v>
      </c>
      <c r="I1144">
        <v>2720</v>
      </c>
      <c r="J1144">
        <v>44</v>
      </c>
      <c r="K1144">
        <v>108</v>
      </c>
      <c r="L1144">
        <v>407</v>
      </c>
      <c r="P1144">
        <v>24</v>
      </c>
      <c r="Q1144">
        <v>35</v>
      </c>
      <c r="R1144">
        <v>686</v>
      </c>
      <c r="U1144">
        <v>400</v>
      </c>
      <c r="V1144">
        <v>30</v>
      </c>
      <c r="Z1144">
        <v>53</v>
      </c>
      <c r="AA1144">
        <v>112</v>
      </c>
      <c r="AB1144" t="s">
        <v>1823</v>
      </c>
    </row>
    <row r="1145" spans="1:28" x14ac:dyDescent="0.3">
      <c r="A1145">
        <v>204037</v>
      </c>
      <c r="B1145" t="s">
        <v>1343</v>
      </c>
      <c r="C1145">
        <v>0</v>
      </c>
      <c r="D1145">
        <v>1610612752</v>
      </c>
      <c r="E1145" t="s">
        <v>1248</v>
      </c>
      <c r="F1145">
        <v>240</v>
      </c>
      <c r="G1145">
        <v>51</v>
      </c>
      <c r="H1145">
        <v>10</v>
      </c>
      <c r="I1145">
        <v>6720</v>
      </c>
      <c r="J1145">
        <v>84</v>
      </c>
      <c r="K1145">
        <v>209</v>
      </c>
      <c r="L1145">
        <v>402</v>
      </c>
      <c r="M1145">
        <v>110</v>
      </c>
      <c r="N1145">
        <v>300</v>
      </c>
      <c r="O1145">
        <v>367</v>
      </c>
      <c r="P1145">
        <v>20</v>
      </c>
      <c r="Q1145">
        <v>26</v>
      </c>
      <c r="R1145">
        <v>769</v>
      </c>
      <c r="S1145">
        <v>310</v>
      </c>
      <c r="T1145">
        <v>750</v>
      </c>
      <c r="U1145">
        <v>1060</v>
      </c>
      <c r="V1145">
        <v>40</v>
      </c>
      <c r="W1145">
        <v>150</v>
      </c>
      <c r="X1145">
        <v>110</v>
      </c>
      <c r="Y1145">
        <v>350</v>
      </c>
      <c r="Z1145">
        <v>55</v>
      </c>
      <c r="AA1145">
        <v>199</v>
      </c>
      <c r="AB1145" t="s">
        <v>1824</v>
      </c>
    </row>
    <row r="1146" spans="1:28" x14ac:dyDescent="0.3">
      <c r="A1146">
        <v>2757</v>
      </c>
      <c r="B1146" t="s">
        <v>1337</v>
      </c>
      <c r="C1146">
        <v>0</v>
      </c>
      <c r="D1146">
        <v>1610612752</v>
      </c>
      <c r="E1146" t="s">
        <v>1248</v>
      </c>
      <c r="F1146">
        <v>310</v>
      </c>
      <c r="G1146">
        <v>31</v>
      </c>
      <c r="H1146">
        <v>120</v>
      </c>
      <c r="I1146">
        <v>5880</v>
      </c>
      <c r="J1146">
        <v>68</v>
      </c>
      <c r="K1146">
        <v>160</v>
      </c>
      <c r="L1146">
        <v>425</v>
      </c>
      <c r="M1146">
        <v>170</v>
      </c>
      <c r="N1146">
        <v>400</v>
      </c>
      <c r="O1146">
        <v>425</v>
      </c>
      <c r="P1146">
        <v>20</v>
      </c>
      <c r="Q1146">
        <v>24</v>
      </c>
      <c r="R1146">
        <v>833</v>
      </c>
      <c r="S1146">
        <v>100</v>
      </c>
      <c r="T1146">
        <v>470</v>
      </c>
      <c r="U1146">
        <v>570</v>
      </c>
      <c r="V1146">
        <v>110</v>
      </c>
      <c r="W1146">
        <v>220</v>
      </c>
      <c r="X1146">
        <v>30</v>
      </c>
      <c r="Y1146">
        <v>420</v>
      </c>
      <c r="Z1146">
        <v>46</v>
      </c>
      <c r="AA1146">
        <v>173</v>
      </c>
      <c r="AB1146" t="s">
        <v>1825</v>
      </c>
    </row>
    <row r="1147" spans="1:28" x14ac:dyDescent="0.3">
      <c r="A1147">
        <v>78479</v>
      </c>
      <c r="B1147" t="s">
        <v>1339</v>
      </c>
      <c r="C1147">
        <v>0</v>
      </c>
      <c r="D1147">
        <v>1610612752</v>
      </c>
      <c r="E1147" t="s">
        <v>1248</v>
      </c>
      <c r="F1147">
        <v>290</v>
      </c>
      <c r="G1147">
        <v>11</v>
      </c>
      <c r="I1147">
        <v>0</v>
      </c>
      <c r="J1147">
        <v>7</v>
      </c>
      <c r="K1147">
        <v>24</v>
      </c>
      <c r="L1147">
        <v>292</v>
      </c>
      <c r="P1147">
        <v>6</v>
      </c>
      <c r="Q1147">
        <v>8</v>
      </c>
      <c r="R1147">
        <v>75</v>
      </c>
      <c r="U1147">
        <v>0</v>
      </c>
      <c r="V1147">
        <v>1</v>
      </c>
      <c r="Z1147">
        <v>20</v>
      </c>
      <c r="AA1147">
        <v>20</v>
      </c>
      <c r="AB1147" t="s">
        <v>1826</v>
      </c>
    </row>
    <row r="1148" spans="1:28" x14ac:dyDescent="0.3">
      <c r="A1148">
        <v>78481</v>
      </c>
      <c r="B1148" t="s">
        <v>1265</v>
      </c>
      <c r="C1148">
        <v>0</v>
      </c>
      <c r="D1148">
        <v>1610612752</v>
      </c>
      <c r="E1148" t="s">
        <v>1248</v>
      </c>
      <c r="F1148">
        <v>270</v>
      </c>
      <c r="G1148">
        <v>60</v>
      </c>
      <c r="I1148">
        <v>20270</v>
      </c>
      <c r="J1148">
        <v>264</v>
      </c>
      <c r="K1148">
        <v>558</v>
      </c>
      <c r="L1148">
        <v>473</v>
      </c>
      <c r="P1148">
        <v>150</v>
      </c>
      <c r="Q1148">
        <v>262</v>
      </c>
      <c r="R1148">
        <v>573</v>
      </c>
      <c r="S1148">
        <v>1980</v>
      </c>
      <c r="T1148">
        <v>4570</v>
      </c>
      <c r="U1148">
        <v>6550</v>
      </c>
      <c r="V1148">
        <v>172</v>
      </c>
      <c r="W1148">
        <v>240</v>
      </c>
      <c r="X1148">
        <v>1120</v>
      </c>
      <c r="Y1148">
        <v>1700</v>
      </c>
      <c r="Z1148">
        <v>183</v>
      </c>
      <c r="AA1148">
        <v>678</v>
      </c>
      <c r="AB1148" t="s">
        <v>1827</v>
      </c>
    </row>
    <row r="1149" spans="1:28" x14ac:dyDescent="0.3">
      <c r="A1149">
        <v>78481</v>
      </c>
      <c r="B1149" t="s">
        <v>1359</v>
      </c>
      <c r="C1149">
        <v>0</v>
      </c>
      <c r="D1149">
        <v>1610612752</v>
      </c>
      <c r="E1149" t="s">
        <v>1248</v>
      </c>
      <c r="F1149">
        <v>280</v>
      </c>
      <c r="G1149">
        <v>20</v>
      </c>
      <c r="I1149">
        <v>2980</v>
      </c>
      <c r="J1149">
        <v>38</v>
      </c>
      <c r="K1149">
        <v>79</v>
      </c>
      <c r="L1149">
        <v>481</v>
      </c>
      <c r="M1149">
        <v>0</v>
      </c>
      <c r="N1149">
        <v>0</v>
      </c>
      <c r="P1149">
        <v>12</v>
      </c>
      <c r="Q1149">
        <v>16</v>
      </c>
      <c r="R1149">
        <v>75</v>
      </c>
      <c r="S1149">
        <v>280</v>
      </c>
      <c r="T1149">
        <v>520</v>
      </c>
      <c r="U1149">
        <v>800</v>
      </c>
      <c r="V1149">
        <v>9</v>
      </c>
      <c r="W1149">
        <v>30</v>
      </c>
      <c r="X1149">
        <v>110</v>
      </c>
      <c r="Y1149">
        <v>200</v>
      </c>
      <c r="Z1149">
        <v>39</v>
      </c>
      <c r="AA1149">
        <v>88</v>
      </c>
      <c r="AB1149" t="s">
        <v>1827</v>
      </c>
    </row>
    <row r="1150" spans="1:28" x14ac:dyDescent="0.3">
      <c r="A1150">
        <v>78481</v>
      </c>
      <c r="B1150" t="s">
        <v>1282</v>
      </c>
      <c r="C1150">
        <v>0</v>
      </c>
      <c r="D1150">
        <v>1610612752</v>
      </c>
      <c r="E1150" t="s">
        <v>1248</v>
      </c>
      <c r="F1150">
        <v>290</v>
      </c>
      <c r="G1150">
        <v>82</v>
      </c>
      <c r="I1150">
        <v>17080</v>
      </c>
      <c r="J1150">
        <v>159</v>
      </c>
      <c r="K1150">
        <v>341</v>
      </c>
      <c r="L1150">
        <v>466</v>
      </c>
      <c r="M1150">
        <v>10</v>
      </c>
      <c r="N1150">
        <v>40</v>
      </c>
      <c r="O1150">
        <v>25</v>
      </c>
      <c r="P1150">
        <v>104</v>
      </c>
      <c r="Q1150">
        <v>163</v>
      </c>
      <c r="R1150">
        <v>638</v>
      </c>
      <c r="S1150">
        <v>1620</v>
      </c>
      <c r="T1150">
        <v>3030</v>
      </c>
      <c r="U1150">
        <v>4650</v>
      </c>
      <c r="V1150">
        <v>72</v>
      </c>
      <c r="W1150">
        <v>270</v>
      </c>
      <c r="X1150">
        <v>970</v>
      </c>
      <c r="Y1150">
        <v>1030</v>
      </c>
      <c r="Z1150">
        <v>187</v>
      </c>
      <c r="AA1150">
        <v>423</v>
      </c>
      <c r="AB1150" t="s">
        <v>1827</v>
      </c>
    </row>
    <row r="1151" spans="1:28" x14ac:dyDescent="0.3">
      <c r="A1151">
        <v>78481</v>
      </c>
      <c r="B1151" t="s">
        <v>1284</v>
      </c>
      <c r="C1151">
        <v>0</v>
      </c>
      <c r="D1151">
        <v>1610612752</v>
      </c>
      <c r="E1151" t="s">
        <v>1248</v>
      </c>
      <c r="F1151">
        <v>300</v>
      </c>
      <c r="G1151">
        <v>82</v>
      </c>
      <c r="H1151">
        <v>320</v>
      </c>
      <c r="I1151">
        <v>18830</v>
      </c>
      <c r="J1151">
        <v>199</v>
      </c>
      <c r="K1151">
        <v>405</v>
      </c>
      <c r="L1151">
        <v>491</v>
      </c>
      <c r="M1151">
        <v>0</v>
      </c>
      <c r="N1151">
        <v>0</v>
      </c>
      <c r="P1151">
        <v>108</v>
      </c>
      <c r="Q1151">
        <v>170</v>
      </c>
      <c r="R1151">
        <v>635</v>
      </c>
      <c r="S1151">
        <v>1840</v>
      </c>
      <c r="T1151">
        <v>3060</v>
      </c>
      <c r="U1151">
        <v>4900</v>
      </c>
      <c r="V1151">
        <v>99</v>
      </c>
      <c r="W1151">
        <v>220</v>
      </c>
      <c r="X1151">
        <v>900</v>
      </c>
      <c r="Y1151">
        <v>900</v>
      </c>
      <c r="Z1151">
        <v>211</v>
      </c>
      <c r="AA1151">
        <v>506</v>
      </c>
      <c r="AB1151" t="s">
        <v>1827</v>
      </c>
    </row>
    <row r="1152" spans="1:28" x14ac:dyDescent="0.3">
      <c r="A1152">
        <v>78481</v>
      </c>
      <c r="B1152" t="s">
        <v>1468</v>
      </c>
      <c r="C1152">
        <v>0</v>
      </c>
      <c r="D1152">
        <v>1610612752</v>
      </c>
      <c r="E1152" t="s">
        <v>1248</v>
      </c>
      <c r="F1152">
        <v>310</v>
      </c>
      <c r="G1152">
        <v>82</v>
      </c>
      <c r="H1152">
        <v>0</v>
      </c>
      <c r="I1152">
        <v>14720</v>
      </c>
      <c r="J1152">
        <v>168</v>
      </c>
      <c r="K1152">
        <v>331</v>
      </c>
      <c r="L1152">
        <v>508</v>
      </c>
      <c r="M1152">
        <v>0</v>
      </c>
      <c r="N1152">
        <v>10</v>
      </c>
      <c r="O1152">
        <v>0</v>
      </c>
      <c r="P1152">
        <v>106</v>
      </c>
      <c r="Q1152">
        <v>180</v>
      </c>
      <c r="R1152">
        <v>589</v>
      </c>
      <c r="S1152">
        <v>1760</v>
      </c>
      <c r="T1152">
        <v>2670</v>
      </c>
      <c r="U1152">
        <v>4430</v>
      </c>
      <c r="V1152">
        <v>49</v>
      </c>
      <c r="W1152">
        <v>350</v>
      </c>
      <c r="X1152">
        <v>1310</v>
      </c>
      <c r="Y1152">
        <v>1020</v>
      </c>
      <c r="Z1152">
        <v>210</v>
      </c>
      <c r="AA1152">
        <v>442</v>
      </c>
      <c r="AB1152" t="s">
        <v>1827</v>
      </c>
    </row>
    <row r="1153" spans="1:28" x14ac:dyDescent="0.3">
      <c r="A1153">
        <v>78481</v>
      </c>
      <c r="B1153" t="s">
        <v>1469</v>
      </c>
      <c r="C1153">
        <v>0</v>
      </c>
      <c r="D1153">
        <v>1610612752</v>
      </c>
      <c r="E1153" t="s">
        <v>1248</v>
      </c>
      <c r="F1153">
        <v>320</v>
      </c>
      <c r="G1153">
        <v>76</v>
      </c>
      <c r="H1153">
        <v>50</v>
      </c>
      <c r="I1153">
        <v>12900</v>
      </c>
      <c r="J1153">
        <v>112</v>
      </c>
      <c r="K1153">
        <v>239</v>
      </c>
      <c r="L1153">
        <v>469</v>
      </c>
      <c r="M1153">
        <v>0</v>
      </c>
      <c r="N1153">
        <v>0</v>
      </c>
      <c r="O1153">
        <v>0</v>
      </c>
      <c r="P1153">
        <v>66</v>
      </c>
      <c r="Q1153">
        <v>117</v>
      </c>
      <c r="R1153">
        <v>564</v>
      </c>
      <c r="S1153">
        <v>1460</v>
      </c>
      <c r="T1153">
        <v>2200</v>
      </c>
      <c r="U1153">
        <v>3660</v>
      </c>
      <c r="V1153">
        <v>53</v>
      </c>
      <c r="W1153">
        <v>340</v>
      </c>
      <c r="X1153">
        <v>1000</v>
      </c>
      <c r="Y1153">
        <v>850</v>
      </c>
      <c r="Z1153">
        <v>187</v>
      </c>
      <c r="AA1153">
        <v>290</v>
      </c>
      <c r="AB1153" t="s">
        <v>1827</v>
      </c>
    </row>
    <row r="1154" spans="1:28" x14ac:dyDescent="0.3">
      <c r="A1154">
        <v>78500</v>
      </c>
      <c r="B1154" t="s">
        <v>1284</v>
      </c>
      <c r="C1154">
        <v>0</v>
      </c>
      <c r="D1154">
        <v>1610612752</v>
      </c>
      <c r="E1154" t="s">
        <v>1248</v>
      </c>
      <c r="F1154">
        <v>310</v>
      </c>
      <c r="G1154">
        <v>18</v>
      </c>
      <c r="H1154">
        <v>120</v>
      </c>
      <c r="I1154">
        <v>4510</v>
      </c>
      <c r="J1154">
        <v>86</v>
      </c>
      <c r="K1154">
        <v>194</v>
      </c>
      <c r="L1154">
        <v>443</v>
      </c>
      <c r="M1154">
        <v>20</v>
      </c>
      <c r="N1154">
        <v>80</v>
      </c>
      <c r="O1154">
        <v>25</v>
      </c>
      <c r="P1154">
        <v>36</v>
      </c>
      <c r="Q1154">
        <v>47</v>
      </c>
      <c r="R1154">
        <v>766</v>
      </c>
      <c r="S1154">
        <v>90</v>
      </c>
      <c r="T1154">
        <v>130</v>
      </c>
      <c r="U1154">
        <v>220</v>
      </c>
      <c r="V1154">
        <v>100</v>
      </c>
      <c r="W1154">
        <v>190</v>
      </c>
      <c r="X1154">
        <v>80</v>
      </c>
      <c r="Y1154">
        <v>470</v>
      </c>
      <c r="Z1154">
        <v>61</v>
      </c>
      <c r="AA1154">
        <v>210</v>
      </c>
      <c r="AB1154" t="s">
        <v>1828</v>
      </c>
    </row>
    <row r="1155" spans="1:28" x14ac:dyDescent="0.3">
      <c r="A1155">
        <v>78500</v>
      </c>
      <c r="B1155" t="s">
        <v>1468</v>
      </c>
      <c r="C1155">
        <v>0</v>
      </c>
      <c r="D1155">
        <v>1610612752</v>
      </c>
      <c r="E1155" t="s">
        <v>1248</v>
      </c>
      <c r="F1155">
        <v>320</v>
      </c>
      <c r="G1155">
        <v>80</v>
      </c>
      <c r="H1155">
        <v>590</v>
      </c>
      <c r="I1155">
        <v>19780</v>
      </c>
      <c r="J1155">
        <v>318</v>
      </c>
      <c r="K1155">
        <v>693</v>
      </c>
      <c r="L1155">
        <v>459</v>
      </c>
      <c r="M1155">
        <v>140</v>
      </c>
      <c r="N1155">
        <v>480</v>
      </c>
      <c r="O1155">
        <v>292</v>
      </c>
      <c r="P1155">
        <v>148</v>
      </c>
      <c r="Q1155">
        <v>184</v>
      </c>
      <c r="R1155">
        <v>804</v>
      </c>
      <c r="S1155">
        <v>190</v>
      </c>
      <c r="T1155">
        <v>960</v>
      </c>
      <c r="U1155">
        <v>1150</v>
      </c>
      <c r="V1155">
        <v>439</v>
      </c>
      <c r="W1155">
        <v>870</v>
      </c>
      <c r="X1155">
        <v>160</v>
      </c>
      <c r="Y1155">
        <v>1960</v>
      </c>
      <c r="Z1155">
        <v>180</v>
      </c>
      <c r="AA1155">
        <v>798</v>
      </c>
      <c r="AB1155" t="s">
        <v>1828</v>
      </c>
    </row>
    <row r="1156" spans="1:28" x14ac:dyDescent="0.3">
      <c r="A1156">
        <v>200778</v>
      </c>
      <c r="B1156" t="s">
        <v>1292</v>
      </c>
      <c r="C1156">
        <v>0</v>
      </c>
      <c r="D1156">
        <v>1610612752</v>
      </c>
      <c r="E1156" t="s">
        <v>1248</v>
      </c>
      <c r="F1156">
        <v>300</v>
      </c>
      <c r="G1156">
        <v>57</v>
      </c>
      <c r="H1156">
        <v>160</v>
      </c>
      <c r="I1156">
        <v>4350</v>
      </c>
      <c r="J1156">
        <v>50</v>
      </c>
      <c r="K1156">
        <v>116</v>
      </c>
      <c r="L1156">
        <v>431</v>
      </c>
      <c r="M1156">
        <v>140</v>
      </c>
      <c r="N1156">
        <v>410</v>
      </c>
      <c r="O1156">
        <v>341</v>
      </c>
      <c r="P1156">
        <v>11</v>
      </c>
      <c r="Q1156">
        <v>19</v>
      </c>
      <c r="R1156">
        <v>579</v>
      </c>
      <c r="S1156">
        <v>50</v>
      </c>
      <c r="T1156">
        <v>430</v>
      </c>
      <c r="U1156">
        <v>480</v>
      </c>
      <c r="V1156">
        <v>29</v>
      </c>
      <c r="W1156">
        <v>130</v>
      </c>
      <c r="X1156">
        <v>40</v>
      </c>
      <c r="Y1156">
        <v>170</v>
      </c>
      <c r="Z1156">
        <v>44</v>
      </c>
      <c r="AA1156">
        <v>125</v>
      </c>
      <c r="AB1156" t="s">
        <v>1829</v>
      </c>
    </row>
    <row r="1157" spans="1:28" x14ac:dyDescent="0.3">
      <c r="A1157">
        <v>78514</v>
      </c>
      <c r="B1157" t="s">
        <v>1253</v>
      </c>
      <c r="C1157">
        <v>0</v>
      </c>
      <c r="D1157">
        <v>1610612752</v>
      </c>
      <c r="E1157" t="s">
        <v>1248</v>
      </c>
      <c r="F1157">
        <v>230</v>
      </c>
      <c r="G1157">
        <v>12</v>
      </c>
      <c r="H1157">
        <v>0</v>
      </c>
      <c r="I1157">
        <v>1170</v>
      </c>
      <c r="J1157">
        <v>17</v>
      </c>
      <c r="K1157">
        <v>46</v>
      </c>
      <c r="L1157">
        <v>37</v>
      </c>
      <c r="M1157">
        <v>0</v>
      </c>
      <c r="N1157">
        <v>10</v>
      </c>
      <c r="O1157">
        <v>0</v>
      </c>
      <c r="P1157">
        <v>9</v>
      </c>
      <c r="Q1157">
        <v>13</v>
      </c>
      <c r="R1157">
        <v>692</v>
      </c>
      <c r="S1157">
        <v>10</v>
      </c>
      <c r="T1157">
        <v>20</v>
      </c>
      <c r="U1157">
        <v>30</v>
      </c>
      <c r="V1157">
        <v>10</v>
      </c>
      <c r="W1157">
        <v>10</v>
      </c>
      <c r="X1157">
        <v>0</v>
      </c>
      <c r="Y1157">
        <v>130</v>
      </c>
      <c r="Z1157">
        <v>14</v>
      </c>
      <c r="AA1157">
        <v>43</v>
      </c>
      <c r="AB1157" t="s">
        <v>1830</v>
      </c>
    </row>
    <row r="1158" spans="1:28" x14ac:dyDescent="0.3">
      <c r="A1158">
        <v>2404</v>
      </c>
      <c r="B1158" t="s">
        <v>1304</v>
      </c>
      <c r="C1158">
        <v>0</v>
      </c>
      <c r="D1158">
        <v>1610612752</v>
      </c>
      <c r="E1158" t="s">
        <v>1248</v>
      </c>
      <c r="F1158">
        <v>260</v>
      </c>
      <c r="G1158">
        <v>25</v>
      </c>
      <c r="H1158">
        <v>0</v>
      </c>
      <c r="I1158">
        <v>3300</v>
      </c>
      <c r="J1158">
        <v>54</v>
      </c>
      <c r="K1158">
        <v>102</v>
      </c>
      <c r="L1158">
        <v>529</v>
      </c>
      <c r="M1158">
        <v>0</v>
      </c>
      <c r="N1158">
        <v>10</v>
      </c>
      <c r="O1158">
        <v>0</v>
      </c>
      <c r="P1158">
        <v>27</v>
      </c>
      <c r="Q1158">
        <v>53</v>
      </c>
      <c r="R1158">
        <v>509</v>
      </c>
      <c r="S1158">
        <v>310</v>
      </c>
      <c r="T1158">
        <v>510</v>
      </c>
      <c r="U1158">
        <v>820</v>
      </c>
      <c r="V1158">
        <v>14</v>
      </c>
      <c r="W1158">
        <v>80</v>
      </c>
      <c r="X1158">
        <v>50</v>
      </c>
      <c r="Y1158">
        <v>200</v>
      </c>
      <c r="Z1158">
        <v>48</v>
      </c>
      <c r="AA1158">
        <v>135</v>
      </c>
      <c r="AB1158" t="s">
        <v>1831</v>
      </c>
    </row>
    <row r="1159" spans="1:28" x14ac:dyDescent="0.3">
      <c r="A1159">
        <v>78534</v>
      </c>
      <c r="B1159" t="s">
        <v>1406</v>
      </c>
      <c r="C1159">
        <v>0</v>
      </c>
      <c r="D1159">
        <v>1610612752</v>
      </c>
      <c r="E1159" t="s">
        <v>1248</v>
      </c>
      <c r="F1159">
        <v>230</v>
      </c>
      <c r="G1159">
        <v>54</v>
      </c>
      <c r="H1159">
        <v>160</v>
      </c>
      <c r="I1159">
        <v>9170</v>
      </c>
      <c r="J1159">
        <v>116</v>
      </c>
      <c r="K1159">
        <v>233</v>
      </c>
      <c r="L1159">
        <v>498</v>
      </c>
      <c r="M1159">
        <v>0</v>
      </c>
      <c r="N1159">
        <v>20</v>
      </c>
      <c r="O1159">
        <v>0</v>
      </c>
      <c r="P1159">
        <v>66</v>
      </c>
      <c r="Q1159">
        <v>122</v>
      </c>
      <c r="R1159">
        <v>541</v>
      </c>
      <c r="S1159">
        <v>860</v>
      </c>
      <c r="T1159">
        <v>1760</v>
      </c>
      <c r="U1159">
        <v>2620</v>
      </c>
      <c r="V1159">
        <v>16</v>
      </c>
      <c r="W1159">
        <v>210</v>
      </c>
      <c r="X1159">
        <v>160</v>
      </c>
      <c r="Y1159">
        <v>640</v>
      </c>
      <c r="Z1159">
        <v>155</v>
      </c>
      <c r="AA1159">
        <v>298</v>
      </c>
      <c r="AB1159" t="s">
        <v>1832</v>
      </c>
    </row>
    <row r="1160" spans="1:28" x14ac:dyDescent="0.3">
      <c r="A1160">
        <v>78534</v>
      </c>
      <c r="B1160" t="s">
        <v>1394</v>
      </c>
      <c r="C1160">
        <v>0</v>
      </c>
      <c r="D1160">
        <v>1610612752</v>
      </c>
      <c r="E1160" t="s">
        <v>1248</v>
      </c>
      <c r="F1160">
        <v>250</v>
      </c>
      <c r="G1160">
        <v>24</v>
      </c>
      <c r="H1160">
        <v>100</v>
      </c>
      <c r="I1160">
        <v>4540</v>
      </c>
      <c r="J1160">
        <v>56</v>
      </c>
      <c r="K1160">
        <v>127</v>
      </c>
      <c r="L1160">
        <v>441</v>
      </c>
      <c r="M1160">
        <v>0</v>
      </c>
      <c r="N1160">
        <v>10</v>
      </c>
      <c r="O1160">
        <v>0</v>
      </c>
      <c r="P1160">
        <v>27</v>
      </c>
      <c r="Q1160">
        <v>58</v>
      </c>
      <c r="R1160">
        <v>466</v>
      </c>
      <c r="S1160">
        <v>450</v>
      </c>
      <c r="T1160">
        <v>620</v>
      </c>
      <c r="U1160">
        <v>1070</v>
      </c>
      <c r="V1160">
        <v>6</v>
      </c>
      <c r="W1160">
        <v>90</v>
      </c>
      <c r="X1160">
        <v>20</v>
      </c>
      <c r="Y1160">
        <v>280</v>
      </c>
      <c r="Z1160">
        <v>67</v>
      </c>
      <c r="AA1160">
        <v>139</v>
      </c>
      <c r="AB1160" t="s">
        <v>1832</v>
      </c>
    </row>
    <row r="1161" spans="1:28" x14ac:dyDescent="0.3">
      <c r="A1161">
        <v>78534</v>
      </c>
      <c r="B1161" t="s">
        <v>1268</v>
      </c>
      <c r="C1161">
        <v>0</v>
      </c>
      <c r="D1161">
        <v>1610612752</v>
      </c>
      <c r="E1161" t="s">
        <v>1248</v>
      </c>
      <c r="F1161">
        <v>270</v>
      </c>
      <c r="G1161">
        <v>71</v>
      </c>
      <c r="H1161">
        <v>20</v>
      </c>
      <c r="I1161">
        <v>5840</v>
      </c>
      <c r="J1161">
        <v>114</v>
      </c>
      <c r="K1161">
        <v>245</v>
      </c>
      <c r="L1161">
        <v>465</v>
      </c>
      <c r="M1161">
        <v>0</v>
      </c>
      <c r="N1161">
        <v>10</v>
      </c>
      <c r="O1161">
        <v>0</v>
      </c>
      <c r="P1161">
        <v>61</v>
      </c>
      <c r="Q1161">
        <v>111</v>
      </c>
      <c r="R1161">
        <v>55</v>
      </c>
      <c r="S1161">
        <v>720</v>
      </c>
      <c r="T1161">
        <v>760</v>
      </c>
      <c r="U1161">
        <v>1480</v>
      </c>
      <c r="V1161">
        <v>7</v>
      </c>
      <c r="W1161">
        <v>100</v>
      </c>
      <c r="X1161">
        <v>160</v>
      </c>
      <c r="Y1161">
        <v>560</v>
      </c>
      <c r="Z1161">
        <v>110</v>
      </c>
      <c r="AA1161">
        <v>289</v>
      </c>
      <c r="AB1161" t="s">
        <v>1832</v>
      </c>
    </row>
    <row r="1162" spans="1:28" x14ac:dyDescent="0.3">
      <c r="A1162">
        <v>78534</v>
      </c>
      <c r="B1162" t="s">
        <v>1270</v>
      </c>
      <c r="C1162">
        <v>0</v>
      </c>
      <c r="D1162">
        <v>1610612752</v>
      </c>
      <c r="E1162" t="s">
        <v>1248</v>
      </c>
      <c r="F1162">
        <v>280</v>
      </c>
      <c r="G1162">
        <v>79</v>
      </c>
      <c r="H1162">
        <v>0</v>
      </c>
      <c r="I1162">
        <v>9720</v>
      </c>
      <c r="J1162">
        <v>141</v>
      </c>
      <c r="K1162">
        <v>310</v>
      </c>
      <c r="L1162">
        <v>455</v>
      </c>
      <c r="M1162">
        <v>0</v>
      </c>
      <c r="N1162">
        <v>20</v>
      </c>
      <c r="O1162">
        <v>0</v>
      </c>
      <c r="P1162">
        <v>89</v>
      </c>
      <c r="Q1162">
        <v>147</v>
      </c>
      <c r="R1162">
        <v>605</v>
      </c>
      <c r="S1162">
        <v>1140</v>
      </c>
      <c r="T1162">
        <v>1510</v>
      </c>
      <c r="U1162">
        <v>2650</v>
      </c>
      <c r="V1162">
        <v>16</v>
      </c>
      <c r="W1162">
        <v>180</v>
      </c>
      <c r="X1162">
        <v>180</v>
      </c>
      <c r="Y1162">
        <v>730</v>
      </c>
      <c r="Z1162">
        <v>152</v>
      </c>
      <c r="AA1162">
        <v>371</v>
      </c>
      <c r="AB1162" t="s">
        <v>1832</v>
      </c>
    </row>
    <row r="1163" spans="1:28" x14ac:dyDescent="0.3">
      <c r="A1163">
        <v>78534</v>
      </c>
      <c r="B1163" t="s">
        <v>1271</v>
      </c>
      <c r="C1163">
        <v>0</v>
      </c>
      <c r="D1163">
        <v>1610612752</v>
      </c>
      <c r="E1163" t="s">
        <v>1248</v>
      </c>
      <c r="F1163">
        <v>290</v>
      </c>
      <c r="G1163">
        <v>68</v>
      </c>
      <c r="H1163">
        <v>10</v>
      </c>
      <c r="I1163">
        <v>6680</v>
      </c>
      <c r="J1163">
        <v>114</v>
      </c>
      <c r="K1163">
        <v>255</v>
      </c>
      <c r="L1163">
        <v>447</v>
      </c>
      <c r="M1163">
        <v>0</v>
      </c>
      <c r="N1163">
        <v>10</v>
      </c>
      <c r="O1163">
        <v>0</v>
      </c>
      <c r="P1163">
        <v>51</v>
      </c>
      <c r="Q1163">
        <v>90</v>
      </c>
      <c r="R1163">
        <v>567</v>
      </c>
      <c r="S1163">
        <v>690</v>
      </c>
      <c r="T1163">
        <v>1110</v>
      </c>
      <c r="U1163">
        <v>1800</v>
      </c>
      <c r="V1163">
        <v>15</v>
      </c>
      <c r="W1163">
        <v>170</v>
      </c>
      <c r="X1163">
        <v>70</v>
      </c>
      <c r="Y1163">
        <v>500</v>
      </c>
      <c r="Z1163">
        <v>91</v>
      </c>
      <c r="AA1163">
        <v>279</v>
      </c>
      <c r="AB1163" t="s">
        <v>1832</v>
      </c>
    </row>
    <row r="1164" spans="1:28" x14ac:dyDescent="0.3">
      <c r="A1164">
        <v>202682</v>
      </c>
      <c r="B1164" t="s">
        <v>1279</v>
      </c>
      <c r="C1164">
        <v>0</v>
      </c>
      <c r="D1164">
        <v>1610612752</v>
      </c>
      <c r="E1164" t="s">
        <v>1248</v>
      </c>
      <c r="F1164">
        <v>250</v>
      </c>
      <c r="G1164">
        <v>80</v>
      </c>
      <c r="H1164">
        <v>90</v>
      </c>
      <c r="I1164">
        <v>14350</v>
      </c>
      <c r="J1164">
        <v>254</v>
      </c>
      <c r="K1164">
        <v>565</v>
      </c>
      <c r="L1164">
        <v>45</v>
      </c>
      <c r="M1164">
        <v>440</v>
      </c>
      <c r="N1164">
        <v>1500</v>
      </c>
      <c r="O1164">
        <v>293</v>
      </c>
      <c r="P1164">
        <v>194</v>
      </c>
      <c r="Q1164">
        <v>256</v>
      </c>
      <c r="R1164">
        <v>758</v>
      </c>
      <c r="S1164">
        <v>470</v>
      </c>
      <c r="T1164">
        <v>2490</v>
      </c>
      <c r="U1164">
        <v>2960</v>
      </c>
      <c r="V1164">
        <v>75</v>
      </c>
      <c r="W1164">
        <v>290</v>
      </c>
      <c r="X1164">
        <v>90</v>
      </c>
      <c r="Y1164">
        <v>610</v>
      </c>
      <c r="Z1164">
        <v>69</v>
      </c>
      <c r="AA1164">
        <v>746</v>
      </c>
      <c r="AB1164" t="s">
        <v>1833</v>
      </c>
    </row>
    <row r="1165" spans="1:28" x14ac:dyDescent="0.3">
      <c r="A1165">
        <v>2421</v>
      </c>
      <c r="B1165" t="s">
        <v>1325</v>
      </c>
      <c r="C1165">
        <v>0</v>
      </c>
      <c r="D1165">
        <v>1610612752</v>
      </c>
      <c r="E1165" t="s">
        <v>1248</v>
      </c>
      <c r="F1165">
        <v>230</v>
      </c>
      <c r="G1165">
        <v>21</v>
      </c>
      <c r="H1165">
        <v>0</v>
      </c>
      <c r="I1165">
        <v>1670</v>
      </c>
      <c r="J1165">
        <v>9</v>
      </c>
      <c r="K1165">
        <v>33</v>
      </c>
      <c r="L1165">
        <v>273</v>
      </c>
      <c r="M1165">
        <v>60</v>
      </c>
      <c r="N1165">
        <v>160</v>
      </c>
      <c r="O1165">
        <v>375</v>
      </c>
      <c r="P1165">
        <v>4</v>
      </c>
      <c r="Q1165">
        <v>6</v>
      </c>
      <c r="R1165">
        <v>667</v>
      </c>
      <c r="S1165">
        <v>30</v>
      </c>
      <c r="T1165">
        <v>150</v>
      </c>
      <c r="U1165">
        <v>180</v>
      </c>
      <c r="V1165">
        <v>34</v>
      </c>
      <c r="W1165">
        <v>70</v>
      </c>
      <c r="X1165">
        <v>20</v>
      </c>
      <c r="Y1165">
        <v>170</v>
      </c>
      <c r="Z1165">
        <v>20</v>
      </c>
      <c r="AA1165">
        <v>28</v>
      </c>
      <c r="AB1165" t="s">
        <v>1834</v>
      </c>
    </row>
    <row r="1166" spans="1:28" x14ac:dyDescent="0.3">
      <c r="A1166">
        <v>2421</v>
      </c>
      <c r="B1166" t="s">
        <v>1293</v>
      </c>
      <c r="C1166">
        <v>0</v>
      </c>
      <c r="D1166">
        <v>1610612752</v>
      </c>
      <c r="E1166" t="s">
        <v>1248</v>
      </c>
      <c r="F1166">
        <v>240</v>
      </c>
      <c r="G1166">
        <v>56</v>
      </c>
      <c r="H1166">
        <v>30</v>
      </c>
      <c r="I1166">
        <v>7110</v>
      </c>
      <c r="J1166">
        <v>80</v>
      </c>
      <c r="K1166">
        <v>208</v>
      </c>
      <c r="L1166">
        <v>385</v>
      </c>
      <c r="M1166">
        <v>180</v>
      </c>
      <c r="N1166">
        <v>600</v>
      </c>
      <c r="O1166">
        <v>3</v>
      </c>
      <c r="P1166">
        <v>41</v>
      </c>
      <c r="Q1166">
        <v>48</v>
      </c>
      <c r="R1166">
        <v>854</v>
      </c>
      <c r="S1166">
        <v>80</v>
      </c>
      <c r="T1166">
        <v>450</v>
      </c>
      <c r="U1166">
        <v>530</v>
      </c>
      <c r="V1166">
        <v>121</v>
      </c>
      <c r="W1166">
        <v>250</v>
      </c>
      <c r="X1166">
        <v>60</v>
      </c>
      <c r="Y1166">
        <v>630</v>
      </c>
      <c r="Z1166">
        <v>58</v>
      </c>
      <c r="AA1166">
        <v>219</v>
      </c>
      <c r="AB1166" t="s">
        <v>1834</v>
      </c>
    </row>
    <row r="1167" spans="1:28" x14ac:dyDescent="0.3">
      <c r="A1167">
        <v>1006</v>
      </c>
      <c r="B1167" t="s">
        <v>1273</v>
      </c>
      <c r="C1167">
        <v>0</v>
      </c>
      <c r="D1167">
        <v>1610612752</v>
      </c>
      <c r="E1167" t="s">
        <v>1248</v>
      </c>
      <c r="F1167">
        <v>350</v>
      </c>
      <c r="G1167">
        <v>55</v>
      </c>
      <c r="H1167">
        <v>0</v>
      </c>
      <c r="I1167">
        <v>5710</v>
      </c>
      <c r="J1167">
        <v>72</v>
      </c>
      <c r="K1167">
        <v>175</v>
      </c>
      <c r="L1167">
        <v>411</v>
      </c>
      <c r="M1167">
        <v>0</v>
      </c>
      <c r="N1167">
        <v>0</v>
      </c>
      <c r="O1167">
        <v>0</v>
      </c>
      <c r="P1167">
        <v>14</v>
      </c>
      <c r="Q1167">
        <v>21</v>
      </c>
      <c r="R1167">
        <v>667</v>
      </c>
      <c r="S1167">
        <v>440</v>
      </c>
      <c r="T1167">
        <v>1020</v>
      </c>
      <c r="U1167">
        <v>1460</v>
      </c>
      <c r="V1167">
        <v>19</v>
      </c>
      <c r="W1167">
        <v>210</v>
      </c>
      <c r="X1167">
        <v>280</v>
      </c>
      <c r="Y1167">
        <v>220</v>
      </c>
      <c r="Z1167">
        <v>78</v>
      </c>
      <c r="AA1167">
        <v>158</v>
      </c>
      <c r="AB1167" t="s">
        <v>1835</v>
      </c>
    </row>
    <row r="1168" spans="1:28" x14ac:dyDescent="0.3">
      <c r="A1168">
        <v>1006</v>
      </c>
      <c r="B1168" t="s">
        <v>1274</v>
      </c>
      <c r="C1168">
        <v>0</v>
      </c>
      <c r="D1168">
        <v>1610612752</v>
      </c>
      <c r="E1168" t="s">
        <v>1248</v>
      </c>
      <c r="F1168">
        <v>360</v>
      </c>
      <c r="G1168">
        <v>70</v>
      </c>
      <c r="H1168">
        <v>30</v>
      </c>
      <c r="I1168">
        <v>7740</v>
      </c>
      <c r="J1168">
        <v>103</v>
      </c>
      <c r="K1168">
        <v>233</v>
      </c>
      <c r="L1168">
        <v>442</v>
      </c>
      <c r="M1168">
        <v>0</v>
      </c>
      <c r="N1168">
        <v>10</v>
      </c>
      <c r="O1168">
        <v>0</v>
      </c>
      <c r="P1168">
        <v>27</v>
      </c>
      <c r="Q1168">
        <v>42</v>
      </c>
      <c r="R1168">
        <v>643</v>
      </c>
      <c r="S1168">
        <v>560</v>
      </c>
      <c r="T1168">
        <v>1260</v>
      </c>
      <c r="U1168">
        <v>1820</v>
      </c>
      <c r="V1168">
        <v>28</v>
      </c>
      <c r="W1168">
        <v>180</v>
      </c>
      <c r="X1168">
        <v>430</v>
      </c>
      <c r="Y1168">
        <v>390</v>
      </c>
      <c r="Z1168">
        <v>108</v>
      </c>
      <c r="AA1168">
        <v>233</v>
      </c>
      <c r="AB1168" t="s">
        <v>1835</v>
      </c>
    </row>
    <row r="1169" spans="1:28" x14ac:dyDescent="0.3">
      <c r="A1169">
        <v>1006</v>
      </c>
      <c r="B1169" t="s">
        <v>1275</v>
      </c>
      <c r="C1169">
        <v>0</v>
      </c>
      <c r="D1169">
        <v>1610612752</v>
      </c>
      <c r="E1169" t="s">
        <v>1248</v>
      </c>
      <c r="F1169">
        <v>370</v>
      </c>
      <c r="G1169">
        <v>56</v>
      </c>
      <c r="H1169">
        <v>30</v>
      </c>
      <c r="I1169">
        <v>7430</v>
      </c>
      <c r="J1169">
        <v>82</v>
      </c>
      <c r="K1169">
        <v>180</v>
      </c>
      <c r="L1169">
        <v>456</v>
      </c>
      <c r="M1169">
        <v>0</v>
      </c>
      <c r="N1169">
        <v>0</v>
      </c>
      <c r="O1169">
        <v>0</v>
      </c>
      <c r="P1169">
        <v>23</v>
      </c>
      <c r="Q1169">
        <v>37</v>
      </c>
      <c r="R1169">
        <v>622</v>
      </c>
      <c r="S1169">
        <v>230</v>
      </c>
      <c r="T1169">
        <v>1090</v>
      </c>
      <c r="U1169">
        <v>1320</v>
      </c>
      <c r="V1169">
        <v>27</v>
      </c>
      <c r="W1169">
        <v>130</v>
      </c>
      <c r="X1169">
        <v>450</v>
      </c>
      <c r="Y1169">
        <v>400</v>
      </c>
      <c r="Z1169">
        <v>108</v>
      </c>
      <c r="AA1169">
        <v>187</v>
      </c>
      <c r="AB1169" t="s">
        <v>1835</v>
      </c>
    </row>
    <row r="1170" spans="1:28" x14ac:dyDescent="0.3">
      <c r="A1170">
        <v>1006</v>
      </c>
      <c r="B1170" t="s">
        <v>1276</v>
      </c>
      <c r="C1170">
        <v>0</v>
      </c>
      <c r="D1170">
        <v>1610612752</v>
      </c>
      <c r="E1170" t="s">
        <v>1248</v>
      </c>
      <c r="F1170">
        <v>380</v>
      </c>
      <c r="G1170">
        <v>43</v>
      </c>
      <c r="H1170">
        <v>20</v>
      </c>
      <c r="I1170">
        <v>5400</v>
      </c>
      <c r="J1170">
        <v>59</v>
      </c>
      <c r="K1170">
        <v>144</v>
      </c>
      <c r="L1170">
        <v>41</v>
      </c>
      <c r="M1170">
        <v>10</v>
      </c>
      <c r="N1170">
        <v>40</v>
      </c>
      <c r="O1170">
        <v>25</v>
      </c>
      <c r="P1170">
        <v>13</v>
      </c>
      <c r="Q1170">
        <v>20</v>
      </c>
      <c r="R1170">
        <v>65</v>
      </c>
      <c r="S1170">
        <v>140</v>
      </c>
      <c r="T1170">
        <v>680</v>
      </c>
      <c r="U1170">
        <v>820</v>
      </c>
      <c r="V1170">
        <v>27</v>
      </c>
      <c r="W1170">
        <v>130</v>
      </c>
      <c r="X1170">
        <v>310</v>
      </c>
      <c r="Y1170">
        <v>220</v>
      </c>
      <c r="Z1170">
        <v>75</v>
      </c>
      <c r="AA1170">
        <v>132</v>
      </c>
      <c r="AB1170" t="s">
        <v>1835</v>
      </c>
    </row>
    <row r="1171" spans="1:28" x14ac:dyDescent="0.3">
      <c r="A1171">
        <v>1006</v>
      </c>
      <c r="B1171" t="s">
        <v>1277</v>
      </c>
      <c r="C1171">
        <v>0</v>
      </c>
      <c r="D1171">
        <v>1610612752</v>
      </c>
      <c r="E1171" t="s">
        <v>1248</v>
      </c>
      <c r="F1171">
        <v>390</v>
      </c>
      <c r="G1171">
        <v>21</v>
      </c>
      <c r="H1171">
        <v>20</v>
      </c>
      <c r="I1171">
        <v>1840</v>
      </c>
      <c r="J1171">
        <v>18</v>
      </c>
      <c r="K1171">
        <v>46</v>
      </c>
      <c r="L1171">
        <v>391</v>
      </c>
      <c r="M1171">
        <v>0</v>
      </c>
      <c r="N1171">
        <v>10</v>
      </c>
      <c r="O1171">
        <v>0</v>
      </c>
      <c r="P1171">
        <v>3</v>
      </c>
      <c r="Q1171">
        <v>4</v>
      </c>
      <c r="R1171">
        <v>75</v>
      </c>
      <c r="S1171">
        <v>90</v>
      </c>
      <c r="T1171">
        <v>220</v>
      </c>
      <c r="U1171">
        <v>310</v>
      </c>
      <c r="V1171">
        <v>5</v>
      </c>
      <c r="W1171">
        <v>40</v>
      </c>
      <c r="X1171">
        <v>50</v>
      </c>
      <c r="Y1171">
        <v>50</v>
      </c>
      <c r="Z1171">
        <v>18</v>
      </c>
      <c r="AA1171">
        <v>39</v>
      </c>
      <c r="AB1171" t="s">
        <v>1835</v>
      </c>
    </row>
    <row r="1172" spans="1:28" x14ac:dyDescent="0.3">
      <c r="A1172">
        <v>1006</v>
      </c>
      <c r="B1172" t="s">
        <v>1278</v>
      </c>
      <c r="C1172">
        <v>0</v>
      </c>
      <c r="D1172">
        <v>1610612752</v>
      </c>
      <c r="E1172" t="s">
        <v>1248</v>
      </c>
      <c r="F1172">
        <v>400</v>
      </c>
      <c r="G1172">
        <v>27</v>
      </c>
      <c r="H1172">
        <v>0</v>
      </c>
      <c r="I1172">
        <v>1780</v>
      </c>
      <c r="J1172">
        <v>18</v>
      </c>
      <c r="K1172">
        <v>43</v>
      </c>
      <c r="L1172">
        <v>419</v>
      </c>
      <c r="M1172">
        <v>0</v>
      </c>
      <c r="N1172">
        <v>0</v>
      </c>
      <c r="O1172">
        <v>0</v>
      </c>
      <c r="P1172">
        <v>1</v>
      </c>
      <c r="Q1172">
        <v>8</v>
      </c>
      <c r="R1172">
        <v>125</v>
      </c>
      <c r="S1172">
        <v>60</v>
      </c>
      <c r="T1172">
        <v>230</v>
      </c>
      <c r="U1172">
        <v>290</v>
      </c>
      <c r="V1172">
        <v>4</v>
      </c>
      <c r="W1172">
        <v>60</v>
      </c>
      <c r="X1172">
        <v>90</v>
      </c>
      <c r="Y1172">
        <v>50</v>
      </c>
      <c r="Z1172">
        <v>34</v>
      </c>
      <c r="AA1172">
        <v>37</v>
      </c>
      <c r="AB1172" t="s">
        <v>1835</v>
      </c>
    </row>
    <row r="1173" spans="1:28" x14ac:dyDescent="0.3">
      <c r="A1173">
        <v>1006</v>
      </c>
      <c r="B1173" t="s">
        <v>1429</v>
      </c>
      <c r="C1173">
        <v>0</v>
      </c>
      <c r="D1173">
        <v>1610612752</v>
      </c>
      <c r="E1173" t="s">
        <v>1248</v>
      </c>
      <c r="F1173">
        <v>410</v>
      </c>
      <c r="G1173">
        <v>6</v>
      </c>
      <c r="H1173">
        <v>0</v>
      </c>
      <c r="I1173">
        <v>340</v>
      </c>
      <c r="J1173">
        <v>4</v>
      </c>
      <c r="K1173">
        <v>8</v>
      </c>
      <c r="L1173">
        <v>5</v>
      </c>
      <c r="M1173">
        <v>0</v>
      </c>
      <c r="N1173">
        <v>0</v>
      </c>
      <c r="O1173">
        <v>0</v>
      </c>
      <c r="P1173">
        <v>2</v>
      </c>
      <c r="Q1173">
        <v>2</v>
      </c>
      <c r="R1173">
        <v>10</v>
      </c>
      <c r="S1173">
        <v>30</v>
      </c>
      <c r="T1173">
        <v>30</v>
      </c>
      <c r="U1173">
        <v>60</v>
      </c>
      <c r="V1173">
        <v>0</v>
      </c>
      <c r="W1173">
        <v>0</v>
      </c>
      <c r="X1173">
        <v>20</v>
      </c>
      <c r="Y1173">
        <v>20</v>
      </c>
      <c r="Z1173">
        <v>2</v>
      </c>
      <c r="AA1173">
        <v>10</v>
      </c>
      <c r="AB1173" t="s">
        <v>1835</v>
      </c>
    </row>
    <row r="1174" spans="1:28" x14ac:dyDescent="0.3">
      <c r="A1174">
        <v>786</v>
      </c>
      <c r="B1174" t="s">
        <v>1392</v>
      </c>
      <c r="C1174">
        <v>0</v>
      </c>
      <c r="D1174">
        <v>1610612752</v>
      </c>
      <c r="E1174" t="s">
        <v>1248</v>
      </c>
      <c r="F1174">
        <v>220</v>
      </c>
      <c r="G1174">
        <v>81</v>
      </c>
      <c r="H1174">
        <v>530</v>
      </c>
      <c r="I1174">
        <v>20250</v>
      </c>
      <c r="J1174">
        <v>437</v>
      </c>
      <c r="K1174">
        <v>934</v>
      </c>
      <c r="L1174">
        <v>468</v>
      </c>
      <c r="M1174">
        <v>70</v>
      </c>
      <c r="N1174">
        <v>250</v>
      </c>
      <c r="O1174">
        <v>28</v>
      </c>
      <c r="P1174">
        <v>132</v>
      </c>
      <c r="Q1174">
        <v>237</v>
      </c>
      <c r="R1174">
        <v>557</v>
      </c>
      <c r="S1174">
        <v>920</v>
      </c>
      <c r="T1174">
        <v>1160</v>
      </c>
      <c r="U1174">
        <v>2080</v>
      </c>
      <c r="V1174">
        <v>161</v>
      </c>
      <c r="W1174">
        <v>680</v>
      </c>
      <c r="X1174">
        <v>90</v>
      </c>
      <c r="Y1174">
        <v>1570</v>
      </c>
      <c r="Z1174">
        <v>155</v>
      </c>
      <c r="AA1174">
        <v>1013</v>
      </c>
      <c r="AB1174" t="s">
        <v>1836</v>
      </c>
    </row>
    <row r="1175" spans="1:28" x14ac:dyDescent="0.3">
      <c r="A1175">
        <v>786</v>
      </c>
      <c r="B1175" t="s">
        <v>1394</v>
      </c>
      <c r="C1175">
        <v>0</v>
      </c>
      <c r="D1175">
        <v>1610612752</v>
      </c>
      <c r="E1175" t="s">
        <v>1248</v>
      </c>
      <c r="F1175">
        <v>230</v>
      </c>
      <c r="G1175">
        <v>80</v>
      </c>
      <c r="H1175">
        <v>730</v>
      </c>
      <c r="I1175">
        <v>27580</v>
      </c>
      <c r="J1175">
        <v>633</v>
      </c>
      <c r="K1175">
        <v>1302</v>
      </c>
      <c r="L1175">
        <v>486</v>
      </c>
      <c r="M1175">
        <v>260</v>
      </c>
      <c r="N1175">
        <v>740</v>
      </c>
      <c r="O1175">
        <v>351</v>
      </c>
      <c r="P1175">
        <v>235</v>
      </c>
      <c r="Q1175">
        <v>335</v>
      </c>
      <c r="R1175">
        <v>701</v>
      </c>
      <c r="S1175">
        <v>1200</v>
      </c>
      <c r="T1175">
        <v>1740</v>
      </c>
      <c r="U1175">
        <v>2940</v>
      </c>
      <c r="V1175">
        <v>354</v>
      </c>
      <c r="W1175">
        <v>880</v>
      </c>
      <c r="X1175">
        <v>180</v>
      </c>
      <c r="Y1175">
        <v>2140</v>
      </c>
      <c r="Z1175">
        <v>165</v>
      </c>
      <c r="AA1175">
        <v>1527</v>
      </c>
      <c r="AB1175" t="s">
        <v>1836</v>
      </c>
    </row>
    <row r="1176" spans="1:28" x14ac:dyDescent="0.3">
      <c r="A1176">
        <v>786</v>
      </c>
      <c r="B1176" t="s">
        <v>1253</v>
      </c>
      <c r="C1176">
        <v>0</v>
      </c>
      <c r="D1176">
        <v>1610612752</v>
      </c>
      <c r="E1176" t="s">
        <v>1248</v>
      </c>
      <c r="F1176">
        <v>240</v>
      </c>
      <c r="G1176">
        <v>81</v>
      </c>
      <c r="H1176">
        <v>780</v>
      </c>
      <c r="I1176">
        <v>27030</v>
      </c>
      <c r="J1176">
        <v>591</v>
      </c>
      <c r="K1176">
        <v>1324</v>
      </c>
      <c r="L1176">
        <v>446</v>
      </c>
      <c r="M1176">
        <v>390</v>
      </c>
      <c r="N1176">
        <v>1290</v>
      </c>
      <c r="O1176">
        <v>302</v>
      </c>
      <c r="P1176">
        <v>191</v>
      </c>
      <c r="Q1176">
        <v>243</v>
      </c>
      <c r="R1176">
        <v>786</v>
      </c>
      <c r="S1176">
        <v>1060</v>
      </c>
      <c r="T1176">
        <v>1640</v>
      </c>
      <c r="U1176">
        <v>2700</v>
      </c>
      <c r="V1176">
        <v>326</v>
      </c>
      <c r="W1176">
        <v>900</v>
      </c>
      <c r="X1176">
        <v>220</v>
      </c>
      <c r="Y1176">
        <v>2120</v>
      </c>
      <c r="Z1176">
        <v>183</v>
      </c>
      <c r="AA1176">
        <v>1412</v>
      </c>
      <c r="AB1176" t="s">
        <v>1836</v>
      </c>
    </row>
    <row r="1177" spans="1:28" x14ac:dyDescent="0.3">
      <c r="A1177">
        <v>786</v>
      </c>
      <c r="B1177" t="s">
        <v>1268</v>
      </c>
      <c r="C1177">
        <v>0</v>
      </c>
      <c r="D1177">
        <v>1610612752</v>
      </c>
      <c r="E1177" t="s">
        <v>1248</v>
      </c>
      <c r="F1177">
        <v>250</v>
      </c>
      <c r="G1177">
        <v>81</v>
      </c>
      <c r="H1177">
        <v>580</v>
      </c>
      <c r="I1177">
        <v>24140</v>
      </c>
      <c r="J1177">
        <v>462</v>
      </c>
      <c r="K1177">
        <v>1025</v>
      </c>
      <c r="L1177">
        <v>451</v>
      </c>
      <c r="M1177">
        <v>510</v>
      </c>
      <c r="N1177">
        <v>1720</v>
      </c>
      <c r="O1177">
        <v>297</v>
      </c>
      <c r="P1177">
        <v>186</v>
      </c>
      <c r="Q1177">
        <v>246</v>
      </c>
      <c r="R1177">
        <v>756</v>
      </c>
      <c r="S1177">
        <v>950</v>
      </c>
      <c r="T1177">
        <v>1490</v>
      </c>
      <c r="U1177">
        <v>2440</v>
      </c>
      <c r="V1177">
        <v>274</v>
      </c>
      <c r="W1177">
        <v>1150</v>
      </c>
      <c r="X1177">
        <v>220</v>
      </c>
      <c r="Y1177">
        <v>1690</v>
      </c>
      <c r="Z1177">
        <v>166</v>
      </c>
      <c r="AA1177">
        <v>1161</v>
      </c>
      <c r="AB1177" t="s">
        <v>1836</v>
      </c>
    </row>
    <row r="1178" spans="1:28" x14ac:dyDescent="0.3">
      <c r="A1178">
        <v>786</v>
      </c>
      <c r="B1178" t="s">
        <v>1270</v>
      </c>
      <c r="C1178">
        <v>0</v>
      </c>
      <c r="D1178">
        <v>1610612752</v>
      </c>
      <c r="E1178" t="s">
        <v>1248</v>
      </c>
      <c r="F1178">
        <v>260</v>
      </c>
      <c r="G1178">
        <v>82</v>
      </c>
      <c r="H1178">
        <v>800</v>
      </c>
      <c r="I1178">
        <v>26090</v>
      </c>
      <c r="J1178">
        <v>472</v>
      </c>
      <c r="K1178">
        <v>1032</v>
      </c>
      <c r="L1178">
        <v>457</v>
      </c>
      <c r="M1178">
        <v>390</v>
      </c>
      <c r="N1178">
        <v>1250</v>
      </c>
      <c r="O1178">
        <v>312</v>
      </c>
      <c r="P1178">
        <v>208</v>
      </c>
      <c r="Q1178">
        <v>259</v>
      </c>
      <c r="R1178">
        <v>803</v>
      </c>
      <c r="S1178">
        <v>1330</v>
      </c>
      <c r="T1178">
        <v>2380</v>
      </c>
      <c r="U1178">
        <v>3710</v>
      </c>
      <c r="V1178">
        <v>330</v>
      </c>
      <c r="W1178">
        <v>950</v>
      </c>
      <c r="X1178">
        <v>210</v>
      </c>
      <c r="Y1178">
        <v>1940</v>
      </c>
      <c r="Z1178">
        <v>188</v>
      </c>
      <c r="AA1178">
        <v>1191</v>
      </c>
      <c r="AB1178" t="s">
        <v>1836</v>
      </c>
    </row>
    <row r="1179" spans="1:28" x14ac:dyDescent="0.3">
      <c r="A1179">
        <v>786</v>
      </c>
      <c r="B1179" t="s">
        <v>1271</v>
      </c>
      <c r="C1179">
        <v>0</v>
      </c>
      <c r="D1179">
        <v>1610612752</v>
      </c>
      <c r="E1179" t="s">
        <v>1248</v>
      </c>
      <c r="F1179">
        <v>270</v>
      </c>
      <c r="G1179">
        <v>68</v>
      </c>
      <c r="H1179">
        <v>560</v>
      </c>
      <c r="I1179">
        <v>21640</v>
      </c>
      <c r="J1179">
        <v>380</v>
      </c>
      <c r="K1179">
        <v>804</v>
      </c>
      <c r="L1179">
        <v>473</v>
      </c>
      <c r="M1179">
        <v>90</v>
      </c>
      <c r="N1179">
        <v>430</v>
      </c>
      <c r="O1179">
        <v>209</v>
      </c>
      <c r="P1179">
        <v>169</v>
      </c>
      <c r="Q1179">
        <v>206</v>
      </c>
      <c r="R1179">
        <v>82</v>
      </c>
      <c r="S1179">
        <v>780</v>
      </c>
      <c r="T1179">
        <v>1290</v>
      </c>
      <c r="U1179">
        <v>2070</v>
      </c>
      <c r="V1179">
        <v>275</v>
      </c>
      <c r="W1179">
        <v>820</v>
      </c>
      <c r="X1179">
        <v>230</v>
      </c>
      <c r="Y1179">
        <v>1610</v>
      </c>
      <c r="Z1179">
        <v>181</v>
      </c>
      <c r="AA1179">
        <v>938</v>
      </c>
      <c r="AB1179" t="s">
        <v>1836</v>
      </c>
    </row>
    <row r="1180" spans="1:28" x14ac:dyDescent="0.3">
      <c r="A1180">
        <v>786</v>
      </c>
      <c r="B1180" t="s">
        <v>1272</v>
      </c>
      <c r="C1180">
        <v>0</v>
      </c>
      <c r="D1180">
        <v>1610612752</v>
      </c>
      <c r="E1180" t="s">
        <v>1248</v>
      </c>
      <c r="F1180">
        <v>280</v>
      </c>
      <c r="G1180">
        <v>82</v>
      </c>
      <c r="H1180">
        <v>820</v>
      </c>
      <c r="I1180">
        <v>23440</v>
      </c>
      <c r="J1180">
        <v>431</v>
      </c>
      <c r="K1180">
        <v>964</v>
      </c>
      <c r="L1180">
        <v>447</v>
      </c>
      <c r="M1180">
        <v>380</v>
      </c>
      <c r="N1180">
        <v>1080</v>
      </c>
      <c r="O1180">
        <v>352</v>
      </c>
      <c r="P1180">
        <v>116</v>
      </c>
      <c r="Q1180">
        <v>159</v>
      </c>
      <c r="R1180">
        <v>73</v>
      </c>
      <c r="S1180">
        <v>740</v>
      </c>
      <c r="T1180">
        <v>1320</v>
      </c>
      <c r="U1180">
        <v>2060</v>
      </c>
      <c r="V1180">
        <v>219</v>
      </c>
      <c r="W1180">
        <v>760</v>
      </c>
      <c r="X1180">
        <v>170</v>
      </c>
      <c r="Y1180">
        <v>1130</v>
      </c>
      <c r="Z1180">
        <v>195</v>
      </c>
      <c r="AA1180">
        <v>1016</v>
      </c>
      <c r="AB1180" t="s">
        <v>1836</v>
      </c>
    </row>
    <row r="1181" spans="1:28" x14ac:dyDescent="0.3">
      <c r="A1181">
        <v>78560</v>
      </c>
      <c r="B1181" t="s">
        <v>1417</v>
      </c>
      <c r="C1181">
        <v>0</v>
      </c>
      <c r="D1181">
        <v>1610612752</v>
      </c>
      <c r="E1181" t="s">
        <v>1248</v>
      </c>
      <c r="F1181">
        <v>250</v>
      </c>
      <c r="G1181">
        <v>5</v>
      </c>
      <c r="I1181">
        <v>130</v>
      </c>
      <c r="J1181">
        <v>1</v>
      </c>
      <c r="K1181">
        <v>1</v>
      </c>
      <c r="L1181">
        <v>10</v>
      </c>
      <c r="P1181">
        <v>2</v>
      </c>
      <c r="Q1181">
        <v>3</v>
      </c>
      <c r="R1181">
        <v>667</v>
      </c>
      <c r="U1181">
        <v>0</v>
      </c>
      <c r="V1181">
        <v>2</v>
      </c>
      <c r="Z1181">
        <v>3</v>
      </c>
      <c r="AA1181">
        <v>4</v>
      </c>
      <c r="AB1181" t="s">
        <v>1837</v>
      </c>
    </row>
    <row r="1182" spans="1:28" x14ac:dyDescent="0.3">
      <c r="A1182">
        <v>42</v>
      </c>
      <c r="B1182" t="s">
        <v>1275</v>
      </c>
      <c r="C1182">
        <v>0</v>
      </c>
      <c r="D1182">
        <v>1610612752</v>
      </c>
      <c r="E1182" t="s">
        <v>1248</v>
      </c>
      <c r="F1182">
        <v>230</v>
      </c>
      <c r="G1182">
        <v>41</v>
      </c>
      <c r="H1182">
        <v>230</v>
      </c>
      <c r="I1182">
        <v>5030</v>
      </c>
      <c r="J1182">
        <v>60</v>
      </c>
      <c r="K1182">
        <v>133</v>
      </c>
      <c r="L1182">
        <v>451</v>
      </c>
      <c r="M1182">
        <v>0</v>
      </c>
      <c r="N1182">
        <v>80</v>
      </c>
      <c r="O1182">
        <v>0</v>
      </c>
      <c r="P1182">
        <v>17</v>
      </c>
      <c r="Q1182">
        <v>38</v>
      </c>
      <c r="R1182">
        <v>447</v>
      </c>
      <c r="S1182">
        <v>420</v>
      </c>
      <c r="T1182">
        <v>560</v>
      </c>
      <c r="U1182">
        <v>980</v>
      </c>
      <c r="V1182">
        <v>49</v>
      </c>
      <c r="W1182">
        <v>200</v>
      </c>
      <c r="X1182">
        <v>40</v>
      </c>
      <c r="Y1182">
        <v>410</v>
      </c>
      <c r="Z1182">
        <v>87</v>
      </c>
      <c r="AA1182">
        <v>137</v>
      </c>
      <c r="AB1182" t="s">
        <v>1838</v>
      </c>
    </row>
    <row r="1183" spans="1:28" x14ac:dyDescent="0.3">
      <c r="A1183">
        <v>42</v>
      </c>
      <c r="B1183" t="s">
        <v>1276</v>
      </c>
      <c r="C1183">
        <v>0</v>
      </c>
      <c r="D1183">
        <v>1610612752</v>
      </c>
      <c r="E1183" t="s">
        <v>1248</v>
      </c>
      <c r="F1183">
        <v>240</v>
      </c>
      <c r="G1183">
        <v>14</v>
      </c>
      <c r="H1183">
        <v>0</v>
      </c>
      <c r="I1183">
        <v>620</v>
      </c>
      <c r="J1183">
        <v>7</v>
      </c>
      <c r="K1183">
        <v>22</v>
      </c>
      <c r="L1183">
        <v>318</v>
      </c>
      <c r="M1183">
        <v>0</v>
      </c>
      <c r="N1183">
        <v>0</v>
      </c>
      <c r="O1183">
        <v>0</v>
      </c>
      <c r="P1183">
        <v>5</v>
      </c>
      <c r="Q1183">
        <v>8</v>
      </c>
      <c r="R1183">
        <v>625</v>
      </c>
      <c r="S1183">
        <v>90</v>
      </c>
      <c r="T1183">
        <v>80</v>
      </c>
      <c r="U1183">
        <v>170</v>
      </c>
      <c r="V1183">
        <v>4</v>
      </c>
      <c r="W1183">
        <v>20</v>
      </c>
      <c r="X1183">
        <v>0</v>
      </c>
      <c r="Y1183">
        <v>50</v>
      </c>
      <c r="Z1183">
        <v>9</v>
      </c>
      <c r="AA1183">
        <v>19</v>
      </c>
      <c r="AB1183" t="s">
        <v>1838</v>
      </c>
    </row>
    <row r="1184" spans="1:28" x14ac:dyDescent="0.3">
      <c r="A1184">
        <v>78571</v>
      </c>
      <c r="B1184" t="s">
        <v>1264</v>
      </c>
      <c r="C1184">
        <v>0</v>
      </c>
      <c r="D1184">
        <v>1610612752</v>
      </c>
      <c r="E1184" t="s">
        <v>1248</v>
      </c>
      <c r="F1184">
        <v>230</v>
      </c>
      <c r="G1184">
        <v>81</v>
      </c>
      <c r="I1184">
        <v>15500</v>
      </c>
      <c r="J1184">
        <v>305</v>
      </c>
      <c r="K1184">
        <v>689</v>
      </c>
      <c r="L1184">
        <v>443</v>
      </c>
      <c r="P1184">
        <v>146</v>
      </c>
      <c r="Q1184">
        <v>207</v>
      </c>
      <c r="R1184">
        <v>705</v>
      </c>
      <c r="S1184">
        <v>850</v>
      </c>
      <c r="T1184">
        <v>1240</v>
      </c>
      <c r="U1184">
        <v>2090</v>
      </c>
      <c r="V1184">
        <v>363</v>
      </c>
      <c r="W1184">
        <v>1080</v>
      </c>
      <c r="X1184">
        <v>150</v>
      </c>
      <c r="Y1184">
        <v>2420</v>
      </c>
      <c r="Z1184">
        <v>211</v>
      </c>
      <c r="AA1184">
        <v>756</v>
      </c>
      <c r="AB1184" t="s">
        <v>1839</v>
      </c>
    </row>
    <row r="1185" spans="1:28" x14ac:dyDescent="0.3">
      <c r="A1185">
        <v>78571</v>
      </c>
      <c r="B1185" t="s">
        <v>1265</v>
      </c>
      <c r="C1185">
        <v>0</v>
      </c>
      <c r="D1185">
        <v>1610612752</v>
      </c>
      <c r="E1185" t="s">
        <v>1248</v>
      </c>
      <c r="F1185">
        <v>240</v>
      </c>
      <c r="G1185">
        <v>81</v>
      </c>
      <c r="I1185">
        <v>23700</v>
      </c>
      <c r="J1185">
        <v>575</v>
      </c>
      <c r="K1185">
        <v>1257</v>
      </c>
      <c r="L1185">
        <v>457</v>
      </c>
      <c r="P1185">
        <v>251</v>
      </c>
      <c r="Q1185">
        <v>313</v>
      </c>
      <c r="R1185">
        <v>802</v>
      </c>
      <c r="S1185">
        <v>1040</v>
      </c>
      <c r="T1185">
        <v>1870</v>
      </c>
      <c r="U1185">
        <v>2910</v>
      </c>
      <c r="V1185">
        <v>504</v>
      </c>
      <c r="W1185">
        <v>1280</v>
      </c>
      <c r="X1185">
        <v>190</v>
      </c>
      <c r="Y1185">
        <v>2850</v>
      </c>
      <c r="Z1185">
        <v>274</v>
      </c>
      <c r="AA1185">
        <v>1401</v>
      </c>
      <c r="AB1185" t="s">
        <v>1839</v>
      </c>
    </row>
    <row r="1186" spans="1:28" x14ac:dyDescent="0.3">
      <c r="A1186">
        <v>78571</v>
      </c>
      <c r="B1186" t="s">
        <v>1359</v>
      </c>
      <c r="C1186">
        <v>0</v>
      </c>
      <c r="D1186">
        <v>1610612752</v>
      </c>
      <c r="E1186" t="s">
        <v>1248</v>
      </c>
      <c r="F1186">
        <v>250</v>
      </c>
      <c r="G1186">
        <v>82</v>
      </c>
      <c r="I1186">
        <v>25820</v>
      </c>
      <c r="J1186">
        <v>687</v>
      </c>
      <c r="K1186">
        <v>1384</v>
      </c>
      <c r="L1186">
        <v>496</v>
      </c>
      <c r="M1186">
        <v>70</v>
      </c>
      <c r="N1186">
        <v>370</v>
      </c>
      <c r="O1186">
        <v>189</v>
      </c>
      <c r="P1186">
        <v>333</v>
      </c>
      <c r="Q1186">
        <v>423</v>
      </c>
      <c r="R1186">
        <v>787</v>
      </c>
      <c r="S1186">
        <v>1490</v>
      </c>
      <c r="T1186">
        <v>2630</v>
      </c>
      <c r="U1186">
        <v>4120</v>
      </c>
      <c r="V1186">
        <v>512</v>
      </c>
      <c r="W1186">
        <v>1670</v>
      </c>
      <c r="X1186">
        <v>240</v>
      </c>
      <c r="Y1186">
        <v>2560</v>
      </c>
      <c r="Z1186">
        <v>295</v>
      </c>
      <c r="AA1186">
        <v>1714</v>
      </c>
      <c r="AB1186" t="s">
        <v>1839</v>
      </c>
    </row>
    <row r="1187" spans="1:28" x14ac:dyDescent="0.3">
      <c r="A1187">
        <v>78571</v>
      </c>
      <c r="B1187" t="s">
        <v>1282</v>
      </c>
      <c r="C1187">
        <v>0</v>
      </c>
      <c r="D1187">
        <v>1610612752</v>
      </c>
      <c r="E1187" t="s">
        <v>1248</v>
      </c>
      <c r="F1187">
        <v>260</v>
      </c>
      <c r="G1187">
        <v>79</v>
      </c>
      <c r="I1187">
        <v>27420</v>
      </c>
      <c r="J1187">
        <v>616</v>
      </c>
      <c r="K1187">
        <v>1335</v>
      </c>
      <c r="L1187">
        <v>461</v>
      </c>
      <c r="M1187">
        <v>160</v>
      </c>
      <c r="N1187">
        <v>680</v>
      </c>
      <c r="O1187">
        <v>235</v>
      </c>
      <c r="P1187">
        <v>312</v>
      </c>
      <c r="Q1187">
        <v>382</v>
      </c>
      <c r="R1187">
        <v>817</v>
      </c>
      <c r="S1187">
        <v>1220</v>
      </c>
      <c r="T1187">
        <v>1990</v>
      </c>
      <c r="U1187">
        <v>3210</v>
      </c>
      <c r="V1187">
        <v>432</v>
      </c>
      <c r="W1187">
        <v>1850</v>
      </c>
      <c r="X1187">
        <v>370</v>
      </c>
      <c r="Y1187">
        <v>2350</v>
      </c>
      <c r="Z1187">
        <v>270</v>
      </c>
      <c r="AA1187">
        <v>1560</v>
      </c>
      <c r="AB1187" t="s">
        <v>1839</v>
      </c>
    </row>
    <row r="1188" spans="1:28" x14ac:dyDescent="0.3">
      <c r="A1188">
        <v>78571</v>
      </c>
      <c r="B1188" t="s">
        <v>1469</v>
      </c>
      <c r="C1188">
        <v>0</v>
      </c>
      <c r="D1188">
        <v>1610612752</v>
      </c>
      <c r="E1188" t="s">
        <v>1248</v>
      </c>
      <c r="F1188">
        <v>290</v>
      </c>
      <c r="G1188">
        <v>76</v>
      </c>
      <c r="H1188">
        <v>630</v>
      </c>
      <c r="I1188">
        <v>22300</v>
      </c>
      <c r="J1188">
        <v>418</v>
      </c>
      <c r="K1188">
        <v>939</v>
      </c>
      <c r="L1188">
        <v>445</v>
      </c>
      <c r="M1188">
        <v>250</v>
      </c>
      <c r="N1188">
        <v>810</v>
      </c>
      <c r="O1188">
        <v>309</v>
      </c>
      <c r="P1188">
        <v>263</v>
      </c>
      <c r="Q1188">
        <v>318</v>
      </c>
      <c r="R1188">
        <v>827</v>
      </c>
      <c r="S1188">
        <v>670</v>
      </c>
      <c r="T1188">
        <v>2000</v>
      </c>
      <c r="U1188">
        <v>2670</v>
      </c>
      <c r="V1188">
        <v>449</v>
      </c>
      <c r="W1188">
        <v>1620</v>
      </c>
      <c r="X1188">
        <v>260</v>
      </c>
      <c r="Y1188">
        <v>2190</v>
      </c>
      <c r="Z1188">
        <v>274</v>
      </c>
      <c r="AA1188">
        <v>1124</v>
      </c>
      <c r="AB1188" t="s">
        <v>1839</v>
      </c>
    </row>
    <row r="1189" spans="1:28" x14ac:dyDescent="0.3">
      <c r="A1189">
        <v>200761</v>
      </c>
      <c r="B1189" t="s">
        <v>1312</v>
      </c>
      <c r="C1189">
        <v>0</v>
      </c>
      <c r="D1189">
        <v>1610612752</v>
      </c>
      <c r="E1189" t="s">
        <v>1248</v>
      </c>
      <c r="F1189">
        <v>250</v>
      </c>
      <c r="G1189">
        <v>64</v>
      </c>
      <c r="H1189">
        <v>110</v>
      </c>
      <c r="I1189">
        <v>13230</v>
      </c>
      <c r="J1189">
        <v>164</v>
      </c>
      <c r="K1189">
        <v>385</v>
      </c>
      <c r="L1189">
        <v>426</v>
      </c>
      <c r="M1189">
        <v>850</v>
      </c>
      <c r="N1189">
        <v>2120</v>
      </c>
      <c r="O1189">
        <v>401</v>
      </c>
      <c r="P1189">
        <v>41</v>
      </c>
      <c r="Q1189">
        <v>49</v>
      </c>
      <c r="R1189">
        <v>837</v>
      </c>
      <c r="S1189">
        <v>600</v>
      </c>
      <c r="T1189">
        <v>1790</v>
      </c>
      <c r="U1189">
        <v>2390</v>
      </c>
      <c r="V1189">
        <v>47</v>
      </c>
      <c r="W1189">
        <v>390</v>
      </c>
      <c r="X1189">
        <v>510</v>
      </c>
      <c r="Y1189">
        <v>460</v>
      </c>
      <c r="Z1189">
        <v>164</v>
      </c>
      <c r="AA1189">
        <v>454</v>
      </c>
      <c r="AB1189" t="s">
        <v>1840</v>
      </c>
    </row>
    <row r="1190" spans="1:28" x14ac:dyDescent="0.3">
      <c r="A1190">
        <v>200749</v>
      </c>
      <c r="B1190" t="s">
        <v>1312</v>
      </c>
      <c r="C1190">
        <v>0</v>
      </c>
      <c r="D1190">
        <v>1610612752</v>
      </c>
      <c r="E1190" t="s">
        <v>1248</v>
      </c>
      <c r="F1190">
        <v>270</v>
      </c>
      <c r="G1190">
        <v>17</v>
      </c>
      <c r="H1190">
        <v>60</v>
      </c>
      <c r="I1190">
        <v>1980</v>
      </c>
      <c r="J1190">
        <v>21</v>
      </c>
      <c r="K1190">
        <v>39</v>
      </c>
      <c r="L1190">
        <v>538</v>
      </c>
      <c r="M1190">
        <v>0</v>
      </c>
      <c r="N1190">
        <v>0</v>
      </c>
      <c r="O1190">
        <v>0</v>
      </c>
      <c r="P1190">
        <v>24</v>
      </c>
      <c r="Q1190">
        <v>29</v>
      </c>
      <c r="R1190">
        <v>828</v>
      </c>
      <c r="S1190">
        <v>190</v>
      </c>
      <c r="T1190">
        <v>310</v>
      </c>
      <c r="U1190">
        <v>500</v>
      </c>
      <c r="V1190">
        <v>13</v>
      </c>
      <c r="W1190">
        <v>50</v>
      </c>
      <c r="X1190">
        <v>40</v>
      </c>
      <c r="Y1190">
        <v>60</v>
      </c>
      <c r="Z1190">
        <v>34</v>
      </c>
      <c r="AA1190">
        <v>66</v>
      </c>
      <c r="AB1190" t="s">
        <v>1841</v>
      </c>
    </row>
    <row r="1191" spans="1:28" x14ac:dyDescent="0.3">
      <c r="A1191">
        <v>78570</v>
      </c>
      <c r="B1191" t="s">
        <v>1359</v>
      </c>
      <c r="C1191">
        <v>0</v>
      </c>
      <c r="D1191">
        <v>1610612752</v>
      </c>
      <c r="E1191" t="s">
        <v>1248</v>
      </c>
      <c r="F1191">
        <v>220</v>
      </c>
      <c r="G1191">
        <v>57</v>
      </c>
      <c r="I1191">
        <v>5560</v>
      </c>
      <c r="J1191">
        <v>104</v>
      </c>
      <c r="K1191">
        <v>267</v>
      </c>
      <c r="L1191">
        <v>39</v>
      </c>
      <c r="M1191">
        <v>0</v>
      </c>
      <c r="N1191">
        <v>40</v>
      </c>
      <c r="O1191">
        <v>0</v>
      </c>
      <c r="P1191">
        <v>58</v>
      </c>
      <c r="Q1191">
        <v>90</v>
      </c>
      <c r="R1191">
        <v>644</v>
      </c>
      <c r="S1191">
        <v>650</v>
      </c>
      <c r="T1191">
        <v>560</v>
      </c>
      <c r="U1191">
        <v>1210</v>
      </c>
      <c r="V1191">
        <v>36</v>
      </c>
      <c r="W1191">
        <v>190</v>
      </c>
      <c r="X1191">
        <v>80</v>
      </c>
      <c r="Y1191">
        <v>490</v>
      </c>
      <c r="Z1191">
        <v>73</v>
      </c>
      <c r="AA1191">
        <v>266</v>
      </c>
      <c r="AB1191" t="s">
        <v>1842</v>
      </c>
    </row>
    <row r="1192" spans="1:28" x14ac:dyDescent="0.3">
      <c r="A1192">
        <v>78570</v>
      </c>
      <c r="B1192" t="s">
        <v>1282</v>
      </c>
      <c r="C1192">
        <v>0</v>
      </c>
      <c r="D1192">
        <v>1610612752</v>
      </c>
      <c r="E1192" t="s">
        <v>1248</v>
      </c>
      <c r="F1192">
        <v>230</v>
      </c>
      <c r="G1192">
        <v>67</v>
      </c>
      <c r="I1192">
        <v>19760</v>
      </c>
      <c r="J1192">
        <v>349</v>
      </c>
      <c r="K1192">
        <v>708</v>
      </c>
      <c r="L1192">
        <v>493</v>
      </c>
      <c r="M1192">
        <v>20</v>
      </c>
      <c r="N1192">
        <v>80</v>
      </c>
      <c r="O1192">
        <v>25</v>
      </c>
      <c r="P1192">
        <v>185</v>
      </c>
      <c r="Q1192">
        <v>268</v>
      </c>
      <c r="R1192">
        <v>69</v>
      </c>
      <c r="S1192">
        <v>1590</v>
      </c>
      <c r="T1192">
        <v>2570</v>
      </c>
      <c r="U1192">
        <v>4160</v>
      </c>
      <c r="V1192">
        <v>180</v>
      </c>
      <c r="W1192">
        <v>1160</v>
      </c>
      <c r="X1192">
        <v>180</v>
      </c>
      <c r="Y1192">
        <v>1410</v>
      </c>
      <c r="Z1192">
        <v>199</v>
      </c>
      <c r="AA1192">
        <v>885</v>
      </c>
      <c r="AB1192" t="s">
        <v>1842</v>
      </c>
    </row>
    <row r="1193" spans="1:28" x14ac:dyDescent="0.3">
      <c r="A1193">
        <v>78570</v>
      </c>
      <c r="B1193" t="s">
        <v>1284</v>
      </c>
      <c r="C1193">
        <v>0</v>
      </c>
      <c r="D1193">
        <v>1610612752</v>
      </c>
      <c r="E1193" t="s">
        <v>1248</v>
      </c>
      <c r="F1193">
        <v>240</v>
      </c>
      <c r="G1193">
        <v>60</v>
      </c>
      <c r="H1193">
        <v>270</v>
      </c>
      <c r="I1193">
        <v>15210</v>
      </c>
      <c r="J1193">
        <v>349</v>
      </c>
      <c r="K1193">
        <v>628</v>
      </c>
      <c r="L1193">
        <v>556</v>
      </c>
      <c r="M1193">
        <v>20</v>
      </c>
      <c r="N1193">
        <v>90</v>
      </c>
      <c r="O1193">
        <v>222</v>
      </c>
      <c r="P1193">
        <v>131</v>
      </c>
      <c r="Q1193">
        <v>173</v>
      </c>
      <c r="R1193">
        <v>757</v>
      </c>
      <c r="S1193">
        <v>1000</v>
      </c>
      <c r="T1193">
        <v>1270</v>
      </c>
      <c r="U1193">
        <v>2270</v>
      </c>
      <c r="V1193">
        <v>142</v>
      </c>
      <c r="W1193">
        <v>770</v>
      </c>
      <c r="X1193">
        <v>160</v>
      </c>
      <c r="Y1193">
        <v>1140</v>
      </c>
      <c r="Z1193">
        <v>153</v>
      </c>
      <c r="AA1193">
        <v>831</v>
      </c>
      <c r="AB1193" t="s">
        <v>1842</v>
      </c>
    </row>
    <row r="1194" spans="1:28" x14ac:dyDescent="0.3">
      <c r="A1194">
        <v>78570</v>
      </c>
      <c r="B1194" t="s">
        <v>1468</v>
      </c>
      <c r="C1194">
        <v>0</v>
      </c>
      <c r="D1194">
        <v>1610612752</v>
      </c>
      <c r="E1194" t="s">
        <v>1248</v>
      </c>
      <c r="F1194">
        <v>250</v>
      </c>
      <c r="G1194">
        <v>68</v>
      </c>
      <c r="H1194">
        <v>60</v>
      </c>
      <c r="I1194">
        <v>13850</v>
      </c>
      <c r="J1194">
        <v>314</v>
      </c>
      <c r="K1194">
        <v>647</v>
      </c>
      <c r="L1194">
        <v>485</v>
      </c>
      <c r="M1194">
        <v>20</v>
      </c>
      <c r="N1194">
        <v>190</v>
      </c>
      <c r="O1194">
        <v>105</v>
      </c>
      <c r="P1194">
        <v>176</v>
      </c>
      <c r="Q1194">
        <v>259</v>
      </c>
      <c r="R1194">
        <v>68</v>
      </c>
      <c r="S1194">
        <v>940</v>
      </c>
      <c r="T1194">
        <v>1960</v>
      </c>
      <c r="U1194">
        <v>2900</v>
      </c>
      <c r="V1194">
        <v>133</v>
      </c>
      <c r="W1194">
        <v>730</v>
      </c>
      <c r="X1194">
        <v>30</v>
      </c>
      <c r="Y1194">
        <v>1330</v>
      </c>
      <c r="Z1194">
        <v>166</v>
      </c>
      <c r="AA1194">
        <v>806</v>
      </c>
      <c r="AB1194" t="s">
        <v>1842</v>
      </c>
    </row>
    <row r="1195" spans="1:28" x14ac:dyDescent="0.3">
      <c r="A1195">
        <v>1627786</v>
      </c>
      <c r="B1195" t="s">
        <v>1259</v>
      </c>
      <c r="C1195">
        <v>0</v>
      </c>
      <c r="D1195">
        <v>1610612752</v>
      </c>
      <c r="E1195" t="s">
        <v>1248</v>
      </c>
      <c r="F1195">
        <v>230</v>
      </c>
      <c r="G1195">
        <v>17</v>
      </c>
      <c r="H1195">
        <v>10</v>
      </c>
      <c r="I1195">
        <v>2900</v>
      </c>
      <c r="J1195">
        <v>49</v>
      </c>
      <c r="K1195">
        <v>100</v>
      </c>
      <c r="L1195">
        <v>49</v>
      </c>
      <c r="M1195">
        <v>110</v>
      </c>
      <c r="N1195">
        <v>330</v>
      </c>
      <c r="O1195">
        <v>333</v>
      </c>
      <c r="P1195">
        <v>19</v>
      </c>
      <c r="Q1195">
        <v>27</v>
      </c>
      <c r="R1195">
        <v>704</v>
      </c>
      <c r="S1195">
        <v>210</v>
      </c>
      <c r="T1195">
        <v>380</v>
      </c>
      <c r="U1195">
        <v>590</v>
      </c>
      <c r="V1195">
        <v>15</v>
      </c>
      <c r="W1195">
        <v>190</v>
      </c>
      <c r="X1195">
        <v>40</v>
      </c>
      <c r="Y1195">
        <v>180</v>
      </c>
      <c r="Z1195">
        <v>32</v>
      </c>
      <c r="AA1195">
        <v>128</v>
      </c>
      <c r="AB1195" t="s">
        <v>1843</v>
      </c>
    </row>
    <row r="1196" spans="1:28" x14ac:dyDescent="0.3">
      <c r="A1196">
        <v>78589</v>
      </c>
      <c r="B1196" t="s">
        <v>1272</v>
      </c>
      <c r="C1196">
        <v>0</v>
      </c>
      <c r="D1196">
        <v>1610612752</v>
      </c>
      <c r="E1196" t="s">
        <v>1248</v>
      </c>
      <c r="F1196">
        <v>250</v>
      </c>
      <c r="G1196">
        <v>15</v>
      </c>
      <c r="H1196">
        <v>0</v>
      </c>
      <c r="I1196">
        <v>640</v>
      </c>
      <c r="J1196">
        <v>12</v>
      </c>
      <c r="K1196">
        <v>27</v>
      </c>
      <c r="L1196">
        <v>444</v>
      </c>
      <c r="M1196">
        <v>10</v>
      </c>
      <c r="N1196">
        <v>20</v>
      </c>
      <c r="O1196">
        <v>5</v>
      </c>
      <c r="P1196">
        <v>8</v>
      </c>
      <c r="Q1196">
        <v>10</v>
      </c>
      <c r="R1196">
        <v>8</v>
      </c>
      <c r="S1196">
        <v>60</v>
      </c>
      <c r="T1196">
        <v>90</v>
      </c>
      <c r="U1196">
        <v>150</v>
      </c>
      <c r="V1196">
        <v>8</v>
      </c>
      <c r="W1196">
        <v>20</v>
      </c>
      <c r="X1196">
        <v>20</v>
      </c>
      <c r="Y1196">
        <v>20</v>
      </c>
      <c r="Z1196">
        <v>4</v>
      </c>
      <c r="AA1196">
        <v>33</v>
      </c>
      <c r="AB1196" t="s">
        <v>1844</v>
      </c>
    </row>
    <row r="1197" spans="1:28" x14ac:dyDescent="0.3">
      <c r="A1197">
        <v>1629685</v>
      </c>
      <c r="B1197" t="s">
        <v>1369</v>
      </c>
      <c r="C1197">
        <v>0</v>
      </c>
      <c r="D1197">
        <v>1610612752</v>
      </c>
      <c r="E1197" t="s">
        <v>1248</v>
      </c>
      <c r="F1197">
        <v>270</v>
      </c>
      <c r="G1197">
        <v>3</v>
      </c>
      <c r="H1197">
        <v>0</v>
      </c>
      <c r="I1197">
        <v>70</v>
      </c>
      <c r="J1197">
        <v>1</v>
      </c>
      <c r="K1197">
        <v>2</v>
      </c>
      <c r="L1197">
        <v>5</v>
      </c>
      <c r="M1197">
        <v>10</v>
      </c>
      <c r="N1197">
        <v>20</v>
      </c>
      <c r="O1197">
        <v>5</v>
      </c>
      <c r="P1197">
        <v>0</v>
      </c>
      <c r="Q1197">
        <v>0</v>
      </c>
      <c r="R1197">
        <v>0</v>
      </c>
      <c r="S1197">
        <v>0</v>
      </c>
      <c r="T1197">
        <v>10</v>
      </c>
      <c r="U1197">
        <v>10</v>
      </c>
      <c r="V1197">
        <v>1</v>
      </c>
      <c r="W1197">
        <v>0</v>
      </c>
      <c r="X1197">
        <v>0</v>
      </c>
      <c r="Y1197">
        <v>0</v>
      </c>
      <c r="Z1197">
        <v>1</v>
      </c>
      <c r="AA1197">
        <v>3</v>
      </c>
      <c r="AB1197" t="s">
        <v>1845</v>
      </c>
    </row>
    <row r="1198" spans="1:28" x14ac:dyDescent="0.3">
      <c r="A1198">
        <v>766</v>
      </c>
      <c r="B1198" t="s">
        <v>1429</v>
      </c>
      <c r="C1198">
        <v>0</v>
      </c>
      <c r="D1198">
        <v>1610612752</v>
      </c>
      <c r="E1198" t="s">
        <v>1248</v>
      </c>
      <c r="F1198">
        <v>350</v>
      </c>
      <c r="G1198">
        <v>20</v>
      </c>
      <c r="H1198">
        <v>0</v>
      </c>
      <c r="I1198">
        <v>920</v>
      </c>
      <c r="J1198">
        <v>7</v>
      </c>
      <c r="K1198">
        <v>16</v>
      </c>
      <c r="L1198">
        <v>438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30</v>
      </c>
      <c r="T1198">
        <v>50</v>
      </c>
      <c r="U1198">
        <v>80</v>
      </c>
      <c r="V1198">
        <v>5</v>
      </c>
      <c r="W1198">
        <v>40</v>
      </c>
      <c r="X1198">
        <v>0</v>
      </c>
      <c r="Y1198">
        <v>60</v>
      </c>
      <c r="Z1198">
        <v>10</v>
      </c>
      <c r="AA1198">
        <v>14</v>
      </c>
      <c r="AB1198" t="s">
        <v>1846</v>
      </c>
    </row>
    <row r="1199" spans="1:28" x14ac:dyDescent="0.3">
      <c r="A1199">
        <v>766</v>
      </c>
      <c r="B1199" t="s">
        <v>1464</v>
      </c>
      <c r="C1199">
        <v>0</v>
      </c>
      <c r="D1199">
        <v>1610612752</v>
      </c>
      <c r="E1199" t="s">
        <v>1248</v>
      </c>
      <c r="F1199">
        <v>360</v>
      </c>
      <c r="G1199">
        <v>7</v>
      </c>
      <c r="H1199">
        <v>0</v>
      </c>
      <c r="I1199">
        <v>320</v>
      </c>
      <c r="J1199">
        <v>1</v>
      </c>
      <c r="K1199">
        <v>9</v>
      </c>
      <c r="L1199">
        <v>111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10</v>
      </c>
      <c r="T1199">
        <v>10</v>
      </c>
      <c r="U1199">
        <v>20</v>
      </c>
      <c r="V1199">
        <v>3</v>
      </c>
      <c r="W1199">
        <v>10</v>
      </c>
      <c r="X1199">
        <v>20</v>
      </c>
      <c r="Y1199">
        <v>20</v>
      </c>
      <c r="Z1199">
        <v>7</v>
      </c>
      <c r="AA1199">
        <v>2</v>
      </c>
      <c r="AB1199" t="s">
        <v>1846</v>
      </c>
    </row>
    <row r="1200" spans="1:28" x14ac:dyDescent="0.3">
      <c r="A1200">
        <v>78596</v>
      </c>
      <c r="B1200" t="s">
        <v>1356</v>
      </c>
      <c r="C1200">
        <v>0</v>
      </c>
      <c r="D1200">
        <v>1610612752</v>
      </c>
      <c r="E1200" t="s">
        <v>1248</v>
      </c>
      <c r="F1200">
        <v>250</v>
      </c>
      <c r="G1200">
        <v>13</v>
      </c>
      <c r="I1200">
        <v>590</v>
      </c>
      <c r="J1200">
        <v>9</v>
      </c>
      <c r="K1200">
        <v>22</v>
      </c>
      <c r="L1200">
        <v>409</v>
      </c>
      <c r="P1200">
        <v>2</v>
      </c>
      <c r="Q1200">
        <v>6</v>
      </c>
      <c r="R1200">
        <v>333</v>
      </c>
      <c r="U1200">
        <v>160</v>
      </c>
      <c r="V1200">
        <v>1</v>
      </c>
      <c r="Z1200">
        <v>9</v>
      </c>
      <c r="AA1200">
        <v>20</v>
      </c>
      <c r="AB1200" t="s">
        <v>1847</v>
      </c>
    </row>
    <row r="1201" spans="1:28" x14ac:dyDescent="0.3">
      <c r="A1201">
        <v>78596</v>
      </c>
      <c r="B1201" t="s">
        <v>1357</v>
      </c>
      <c r="C1201">
        <v>0</v>
      </c>
      <c r="D1201">
        <v>1610612752</v>
      </c>
      <c r="E1201" t="s">
        <v>1248</v>
      </c>
      <c r="F1201">
        <v>260</v>
      </c>
      <c r="G1201">
        <v>60</v>
      </c>
      <c r="I1201">
        <v>5360</v>
      </c>
      <c r="J1201">
        <v>82</v>
      </c>
      <c r="K1201">
        <v>172</v>
      </c>
      <c r="L1201">
        <v>477</v>
      </c>
      <c r="P1201">
        <v>48</v>
      </c>
      <c r="Q1201">
        <v>76</v>
      </c>
      <c r="R1201">
        <v>632</v>
      </c>
      <c r="S1201">
        <v>720</v>
      </c>
      <c r="T1201">
        <v>940</v>
      </c>
      <c r="U1201">
        <v>1660</v>
      </c>
      <c r="V1201">
        <v>25</v>
      </c>
      <c r="W1201">
        <v>70</v>
      </c>
      <c r="X1201">
        <v>140</v>
      </c>
      <c r="Z1201">
        <v>85</v>
      </c>
      <c r="AA1201">
        <v>212</v>
      </c>
      <c r="AB1201" t="s">
        <v>1847</v>
      </c>
    </row>
    <row r="1202" spans="1:28" x14ac:dyDescent="0.3">
      <c r="A1202">
        <v>78596</v>
      </c>
      <c r="B1202" t="s">
        <v>1358</v>
      </c>
      <c r="C1202">
        <v>0</v>
      </c>
      <c r="D1202">
        <v>1610612752</v>
      </c>
      <c r="E1202" t="s">
        <v>1248</v>
      </c>
      <c r="F1202">
        <v>270</v>
      </c>
      <c r="G1202">
        <v>82</v>
      </c>
      <c r="I1202">
        <v>16860</v>
      </c>
      <c r="J1202">
        <v>233</v>
      </c>
      <c r="K1202">
        <v>506</v>
      </c>
      <c r="L1202">
        <v>46</v>
      </c>
      <c r="P1202">
        <v>141</v>
      </c>
      <c r="Q1202">
        <v>187</v>
      </c>
      <c r="R1202">
        <v>754</v>
      </c>
      <c r="S1202">
        <v>1630</v>
      </c>
      <c r="T1202">
        <v>2930</v>
      </c>
      <c r="U1202">
        <v>4560</v>
      </c>
      <c r="V1202">
        <v>84</v>
      </c>
      <c r="W1202">
        <v>480</v>
      </c>
      <c r="X1202">
        <v>350</v>
      </c>
      <c r="Z1202">
        <v>215</v>
      </c>
      <c r="AA1202">
        <v>607</v>
      </c>
      <c r="AB1202" t="s">
        <v>1847</v>
      </c>
    </row>
    <row r="1203" spans="1:28" x14ac:dyDescent="0.3">
      <c r="A1203">
        <v>78596</v>
      </c>
      <c r="B1203" t="s">
        <v>1261</v>
      </c>
      <c r="C1203">
        <v>0</v>
      </c>
      <c r="D1203">
        <v>1610612752</v>
      </c>
      <c r="E1203" t="s">
        <v>1248</v>
      </c>
      <c r="F1203">
        <v>280</v>
      </c>
      <c r="G1203">
        <v>57</v>
      </c>
      <c r="I1203">
        <v>5330</v>
      </c>
      <c r="J1203">
        <v>72</v>
      </c>
      <c r="K1203">
        <v>163</v>
      </c>
      <c r="L1203">
        <v>442</v>
      </c>
      <c r="P1203">
        <v>40</v>
      </c>
      <c r="Q1203">
        <v>60</v>
      </c>
      <c r="R1203">
        <v>667</v>
      </c>
      <c r="S1203">
        <v>460</v>
      </c>
      <c r="T1203">
        <v>610</v>
      </c>
      <c r="U1203">
        <v>1070</v>
      </c>
      <c r="V1203">
        <v>18</v>
      </c>
      <c r="W1203">
        <v>190</v>
      </c>
      <c r="X1203">
        <v>80</v>
      </c>
      <c r="Z1203">
        <v>59</v>
      </c>
      <c r="AA1203">
        <v>184</v>
      </c>
      <c r="AB1203" t="s">
        <v>1847</v>
      </c>
    </row>
    <row r="1204" spans="1:28" x14ac:dyDescent="0.3">
      <c r="A1204">
        <v>2417</v>
      </c>
      <c r="B1204" t="s">
        <v>1300</v>
      </c>
      <c r="C1204">
        <v>0</v>
      </c>
      <c r="D1204">
        <v>1610612752</v>
      </c>
      <c r="E1204" t="s">
        <v>1248</v>
      </c>
      <c r="F1204">
        <v>250</v>
      </c>
      <c r="G1204">
        <v>49</v>
      </c>
      <c r="H1204">
        <v>160</v>
      </c>
      <c r="I1204">
        <v>10130</v>
      </c>
      <c r="J1204">
        <v>129</v>
      </c>
      <c r="K1204">
        <v>254</v>
      </c>
      <c r="L1204">
        <v>508</v>
      </c>
      <c r="M1204">
        <v>220</v>
      </c>
      <c r="N1204">
        <v>600</v>
      </c>
      <c r="O1204">
        <v>367</v>
      </c>
      <c r="P1204">
        <v>49</v>
      </c>
      <c r="Q1204">
        <v>76</v>
      </c>
      <c r="R1204">
        <v>645</v>
      </c>
      <c r="S1204">
        <v>440</v>
      </c>
      <c r="T1204">
        <v>1460</v>
      </c>
      <c r="U1204">
        <v>1900</v>
      </c>
      <c r="V1204">
        <v>47</v>
      </c>
      <c r="W1204">
        <v>320</v>
      </c>
      <c r="X1204">
        <v>130</v>
      </c>
      <c r="Y1204">
        <v>610</v>
      </c>
      <c r="Z1204">
        <v>96</v>
      </c>
      <c r="AA1204">
        <v>329</v>
      </c>
      <c r="AB1204" t="s">
        <v>1848</v>
      </c>
    </row>
    <row r="1205" spans="1:28" x14ac:dyDescent="0.3">
      <c r="A1205">
        <v>78614</v>
      </c>
      <c r="B1205" t="s">
        <v>1282</v>
      </c>
      <c r="C1205">
        <v>0</v>
      </c>
      <c r="D1205">
        <v>1610612752</v>
      </c>
      <c r="E1205" t="s">
        <v>1248</v>
      </c>
      <c r="F1205">
        <v>230</v>
      </c>
      <c r="G1205">
        <v>81</v>
      </c>
      <c r="I1205">
        <v>9490</v>
      </c>
      <c r="J1205">
        <v>165</v>
      </c>
      <c r="K1205">
        <v>373</v>
      </c>
      <c r="L1205">
        <v>442</v>
      </c>
      <c r="M1205">
        <v>10</v>
      </c>
      <c r="N1205">
        <v>50</v>
      </c>
      <c r="O1205">
        <v>2</v>
      </c>
      <c r="P1205">
        <v>49</v>
      </c>
      <c r="Q1205">
        <v>64</v>
      </c>
      <c r="R1205">
        <v>766</v>
      </c>
      <c r="S1205">
        <v>330</v>
      </c>
      <c r="T1205">
        <v>640</v>
      </c>
      <c r="U1205">
        <v>970</v>
      </c>
      <c r="V1205">
        <v>75</v>
      </c>
      <c r="W1205">
        <v>360</v>
      </c>
      <c r="X1205">
        <v>120</v>
      </c>
      <c r="Y1205">
        <v>540</v>
      </c>
      <c r="Z1205">
        <v>95</v>
      </c>
      <c r="AA1205">
        <v>380</v>
      </c>
      <c r="AB1205" t="s">
        <v>1849</v>
      </c>
    </row>
    <row r="1206" spans="1:28" x14ac:dyDescent="0.3">
      <c r="A1206">
        <v>1897</v>
      </c>
      <c r="B1206" t="s">
        <v>1337</v>
      </c>
      <c r="C1206">
        <v>0</v>
      </c>
      <c r="D1206">
        <v>1610612752</v>
      </c>
      <c r="E1206" t="s">
        <v>1248</v>
      </c>
      <c r="F1206">
        <v>340</v>
      </c>
      <c r="G1206">
        <v>29</v>
      </c>
      <c r="H1206">
        <v>10</v>
      </c>
      <c r="I1206">
        <v>3880</v>
      </c>
      <c r="J1206">
        <v>56</v>
      </c>
      <c r="K1206">
        <v>141</v>
      </c>
      <c r="L1206">
        <v>397</v>
      </c>
      <c r="M1206">
        <v>170</v>
      </c>
      <c r="N1206">
        <v>540</v>
      </c>
      <c r="O1206">
        <v>315</v>
      </c>
      <c r="P1206">
        <v>10</v>
      </c>
      <c r="Q1206">
        <v>16</v>
      </c>
      <c r="R1206">
        <v>625</v>
      </c>
      <c r="S1206">
        <v>180</v>
      </c>
      <c r="T1206">
        <v>410</v>
      </c>
      <c r="U1206">
        <v>590</v>
      </c>
      <c r="V1206">
        <v>17</v>
      </c>
      <c r="W1206">
        <v>240</v>
      </c>
      <c r="X1206">
        <v>80</v>
      </c>
      <c r="Y1206">
        <v>190</v>
      </c>
      <c r="Z1206">
        <v>44</v>
      </c>
      <c r="AA1206">
        <v>139</v>
      </c>
      <c r="AB1206" t="s">
        <v>1850</v>
      </c>
    </row>
    <row r="1207" spans="1:28" x14ac:dyDescent="0.3">
      <c r="A1207">
        <v>78620</v>
      </c>
      <c r="B1207" t="s">
        <v>1394</v>
      </c>
      <c r="C1207">
        <v>0</v>
      </c>
      <c r="D1207">
        <v>1610612752</v>
      </c>
      <c r="E1207" t="s">
        <v>1248</v>
      </c>
      <c r="F1207">
        <v>250</v>
      </c>
      <c r="G1207">
        <v>14</v>
      </c>
      <c r="H1207">
        <v>0</v>
      </c>
      <c r="I1207">
        <v>1380</v>
      </c>
      <c r="J1207">
        <v>20</v>
      </c>
      <c r="K1207">
        <v>46</v>
      </c>
      <c r="L1207">
        <v>435</v>
      </c>
      <c r="M1207">
        <v>0</v>
      </c>
      <c r="N1207">
        <v>10</v>
      </c>
      <c r="O1207">
        <v>0</v>
      </c>
      <c r="P1207">
        <v>12</v>
      </c>
      <c r="Q1207">
        <v>28</v>
      </c>
      <c r="R1207">
        <v>429</v>
      </c>
      <c r="S1207">
        <v>250</v>
      </c>
      <c r="T1207">
        <v>280</v>
      </c>
      <c r="U1207">
        <v>530</v>
      </c>
      <c r="V1207">
        <v>1</v>
      </c>
      <c r="W1207">
        <v>30</v>
      </c>
      <c r="X1207">
        <v>60</v>
      </c>
      <c r="Y1207">
        <v>130</v>
      </c>
      <c r="Z1207">
        <v>20</v>
      </c>
      <c r="AA1207">
        <v>52</v>
      </c>
      <c r="AB1207" t="s">
        <v>1851</v>
      </c>
    </row>
    <row r="1208" spans="1:28" x14ac:dyDescent="0.3">
      <c r="A1208">
        <v>78638</v>
      </c>
      <c r="B1208" t="s">
        <v>1378</v>
      </c>
      <c r="C1208">
        <v>0</v>
      </c>
      <c r="D1208">
        <v>1610612752</v>
      </c>
      <c r="E1208" t="s">
        <v>1248</v>
      </c>
      <c r="F1208">
        <v>250</v>
      </c>
      <c r="G1208">
        <v>66</v>
      </c>
      <c r="J1208">
        <v>302</v>
      </c>
      <c r="K1208">
        <v>853</v>
      </c>
      <c r="L1208">
        <v>354</v>
      </c>
      <c r="P1208">
        <v>231</v>
      </c>
      <c r="Q1208">
        <v>298</v>
      </c>
      <c r="R1208">
        <v>775</v>
      </c>
      <c r="U1208">
        <v>2280</v>
      </c>
      <c r="V1208">
        <v>136</v>
      </c>
      <c r="Z1208">
        <v>150</v>
      </c>
      <c r="AA1208">
        <v>835</v>
      </c>
      <c r="AB1208" t="s">
        <v>1852</v>
      </c>
    </row>
    <row r="1209" spans="1:28" x14ac:dyDescent="0.3">
      <c r="A1209">
        <v>78638</v>
      </c>
      <c r="B1209" t="s">
        <v>1247</v>
      </c>
      <c r="C1209">
        <v>0</v>
      </c>
      <c r="D1209">
        <v>1610612752</v>
      </c>
      <c r="E1209" t="s">
        <v>1248</v>
      </c>
      <c r="F1209">
        <v>260</v>
      </c>
      <c r="G1209">
        <v>66</v>
      </c>
      <c r="I1209">
        <v>21130</v>
      </c>
      <c r="J1209">
        <v>322</v>
      </c>
      <c r="K1209">
        <v>958</v>
      </c>
      <c r="L1209">
        <v>336</v>
      </c>
      <c r="P1209">
        <v>287</v>
      </c>
      <c r="Q1209">
        <v>380</v>
      </c>
      <c r="R1209">
        <v>755</v>
      </c>
      <c r="U1209">
        <v>1940</v>
      </c>
      <c r="V1209">
        <v>156</v>
      </c>
      <c r="Z1209">
        <v>183</v>
      </c>
      <c r="AA1209">
        <v>931</v>
      </c>
      <c r="AB1209" t="s">
        <v>1852</v>
      </c>
    </row>
    <row r="1210" spans="1:28" x14ac:dyDescent="0.3">
      <c r="A1210">
        <v>78638</v>
      </c>
      <c r="B1210" t="s">
        <v>1390</v>
      </c>
      <c r="C1210">
        <v>0</v>
      </c>
      <c r="D1210">
        <v>1610612752</v>
      </c>
      <c r="E1210" t="s">
        <v>1248</v>
      </c>
      <c r="F1210">
        <v>270</v>
      </c>
      <c r="G1210">
        <v>29</v>
      </c>
      <c r="I1210">
        <v>7220</v>
      </c>
      <c r="J1210">
        <v>123</v>
      </c>
      <c r="K1210">
        <v>320</v>
      </c>
      <c r="L1210">
        <v>384</v>
      </c>
      <c r="P1210">
        <v>98</v>
      </c>
      <c r="Q1210">
        <v>142</v>
      </c>
      <c r="R1210">
        <v>69</v>
      </c>
      <c r="U1210">
        <v>750</v>
      </c>
      <c r="V1210">
        <v>55</v>
      </c>
      <c r="Z1210">
        <v>81</v>
      </c>
      <c r="AA1210">
        <v>344</v>
      </c>
      <c r="AB1210" t="s">
        <v>1852</v>
      </c>
    </row>
    <row r="1211" spans="1:28" x14ac:dyDescent="0.3">
      <c r="A1211">
        <v>221</v>
      </c>
      <c r="B1211" t="s">
        <v>1330</v>
      </c>
      <c r="C1211">
        <v>0</v>
      </c>
      <c r="D1211">
        <v>1610612752</v>
      </c>
      <c r="E1211" t="s">
        <v>1248</v>
      </c>
      <c r="F1211">
        <v>310</v>
      </c>
      <c r="G1211">
        <v>56</v>
      </c>
      <c r="H1211">
        <v>410</v>
      </c>
      <c r="I1211">
        <v>17260</v>
      </c>
      <c r="J1211">
        <v>189</v>
      </c>
      <c r="K1211">
        <v>452</v>
      </c>
      <c r="L1211">
        <v>418</v>
      </c>
      <c r="M1211">
        <v>0</v>
      </c>
      <c r="N1211">
        <v>0</v>
      </c>
      <c r="O1211">
        <v>0</v>
      </c>
      <c r="P1211">
        <v>116</v>
      </c>
      <c r="Q1211">
        <v>146</v>
      </c>
      <c r="R1211">
        <v>795</v>
      </c>
      <c r="S1211">
        <v>1490</v>
      </c>
      <c r="T1211">
        <v>3110</v>
      </c>
      <c r="U1211">
        <v>4600</v>
      </c>
      <c r="V1211">
        <v>60</v>
      </c>
      <c r="W1211">
        <v>370</v>
      </c>
      <c r="X1211">
        <v>480</v>
      </c>
      <c r="Y1211">
        <v>470</v>
      </c>
      <c r="Z1211">
        <v>132</v>
      </c>
      <c r="AA1211">
        <v>494</v>
      </c>
      <c r="AB1211" t="s">
        <v>1853</v>
      </c>
    </row>
    <row r="1212" spans="1:28" x14ac:dyDescent="0.3">
      <c r="A1212">
        <v>221</v>
      </c>
      <c r="B1212" t="s">
        <v>1325</v>
      </c>
      <c r="C1212">
        <v>0</v>
      </c>
      <c r="D1212">
        <v>1610612752</v>
      </c>
      <c r="E1212" t="s">
        <v>1248</v>
      </c>
      <c r="F1212">
        <v>320</v>
      </c>
      <c r="G1212">
        <v>79</v>
      </c>
      <c r="H1212">
        <v>190</v>
      </c>
      <c r="I1212">
        <v>20260</v>
      </c>
      <c r="J1212">
        <v>186</v>
      </c>
      <c r="K1212">
        <v>414</v>
      </c>
      <c r="L1212">
        <v>449</v>
      </c>
      <c r="M1212">
        <v>0</v>
      </c>
      <c r="N1212">
        <v>0</v>
      </c>
      <c r="O1212">
        <v>0</v>
      </c>
      <c r="P1212">
        <v>149</v>
      </c>
      <c r="Q1212">
        <v>194</v>
      </c>
      <c r="R1212">
        <v>768</v>
      </c>
      <c r="S1212">
        <v>2140</v>
      </c>
      <c r="T1212">
        <v>3850</v>
      </c>
      <c r="U1212">
        <v>5990</v>
      </c>
      <c r="V1212">
        <v>68</v>
      </c>
      <c r="W1212">
        <v>690</v>
      </c>
      <c r="X1212">
        <v>360</v>
      </c>
      <c r="Y1212">
        <v>630</v>
      </c>
      <c r="Z1212">
        <v>174</v>
      </c>
      <c r="AA1212">
        <v>521</v>
      </c>
      <c r="AB1212" t="s">
        <v>1853</v>
      </c>
    </row>
    <row r="1213" spans="1:28" x14ac:dyDescent="0.3">
      <c r="A1213">
        <v>221</v>
      </c>
      <c r="B1213" t="s">
        <v>1293</v>
      </c>
      <c r="C1213">
        <v>0</v>
      </c>
      <c r="D1213">
        <v>1610612752</v>
      </c>
      <c r="E1213" t="s">
        <v>1248</v>
      </c>
      <c r="F1213">
        <v>330</v>
      </c>
      <c r="G1213">
        <v>15</v>
      </c>
      <c r="H1213">
        <v>10</v>
      </c>
      <c r="I1213">
        <v>2180</v>
      </c>
      <c r="J1213">
        <v>18</v>
      </c>
      <c r="K1213">
        <v>40</v>
      </c>
      <c r="L1213">
        <v>45</v>
      </c>
      <c r="M1213">
        <v>0</v>
      </c>
      <c r="N1213">
        <v>0</v>
      </c>
      <c r="O1213">
        <v>0</v>
      </c>
      <c r="P1213">
        <v>18</v>
      </c>
      <c r="Q1213">
        <v>19</v>
      </c>
      <c r="R1213">
        <v>947</v>
      </c>
      <c r="S1213">
        <v>140</v>
      </c>
      <c r="T1213">
        <v>360</v>
      </c>
      <c r="U1213">
        <v>500</v>
      </c>
      <c r="V1213">
        <v>13</v>
      </c>
      <c r="W1213">
        <v>80</v>
      </c>
      <c r="X1213">
        <v>20</v>
      </c>
      <c r="Y1213">
        <v>90</v>
      </c>
      <c r="Z1213">
        <v>19</v>
      </c>
      <c r="AA1213">
        <v>54</v>
      </c>
      <c r="AB1213" t="s">
        <v>1853</v>
      </c>
    </row>
    <row r="1214" spans="1:28" x14ac:dyDescent="0.3">
      <c r="A1214">
        <v>78437</v>
      </c>
      <c r="B1214" t="s">
        <v>1469</v>
      </c>
      <c r="C1214">
        <v>0</v>
      </c>
      <c r="D1214">
        <v>1610612752</v>
      </c>
      <c r="E1214" t="s">
        <v>1248</v>
      </c>
      <c r="F1214">
        <v>230</v>
      </c>
      <c r="G1214">
        <v>82</v>
      </c>
      <c r="H1214">
        <v>0</v>
      </c>
      <c r="I1214">
        <v>13240</v>
      </c>
      <c r="J1214">
        <v>216</v>
      </c>
      <c r="K1214">
        <v>518</v>
      </c>
      <c r="L1214">
        <v>417</v>
      </c>
      <c r="M1214">
        <v>40</v>
      </c>
      <c r="N1214">
        <v>150</v>
      </c>
      <c r="O1214">
        <v>267</v>
      </c>
      <c r="P1214">
        <v>208</v>
      </c>
      <c r="Q1214">
        <v>263</v>
      </c>
      <c r="R1214">
        <v>791</v>
      </c>
      <c r="S1214">
        <v>740</v>
      </c>
      <c r="T1214">
        <v>930</v>
      </c>
      <c r="U1214">
        <v>1670</v>
      </c>
      <c r="V1214">
        <v>284</v>
      </c>
      <c r="W1214">
        <v>1270</v>
      </c>
      <c r="X1214">
        <v>150</v>
      </c>
      <c r="Y1214">
        <v>1940</v>
      </c>
      <c r="Z1214">
        <v>202</v>
      </c>
      <c r="AA1214">
        <v>644</v>
      </c>
      <c r="AB1214" t="s">
        <v>1854</v>
      </c>
    </row>
    <row r="1215" spans="1:28" x14ac:dyDescent="0.3">
      <c r="A1215">
        <v>78437</v>
      </c>
      <c r="B1215" t="s">
        <v>1406</v>
      </c>
      <c r="C1215">
        <v>0</v>
      </c>
      <c r="D1215">
        <v>1610612752</v>
      </c>
      <c r="E1215" t="s">
        <v>1248</v>
      </c>
      <c r="F1215">
        <v>240</v>
      </c>
      <c r="G1215">
        <v>82</v>
      </c>
      <c r="H1215">
        <v>660</v>
      </c>
      <c r="I1215">
        <v>24890</v>
      </c>
      <c r="J1215">
        <v>430</v>
      </c>
      <c r="K1215">
        <v>989</v>
      </c>
      <c r="L1215">
        <v>435</v>
      </c>
      <c r="M1215">
        <v>0</v>
      </c>
      <c r="N1215">
        <v>170</v>
      </c>
      <c r="O1215">
        <v>0</v>
      </c>
      <c r="P1215">
        <v>243</v>
      </c>
      <c r="Q1215">
        <v>347</v>
      </c>
      <c r="R1215">
        <v>7</v>
      </c>
      <c r="S1215">
        <v>1280</v>
      </c>
      <c r="T1215">
        <v>1500</v>
      </c>
      <c r="U1215">
        <v>2780</v>
      </c>
      <c r="V1215">
        <v>408</v>
      </c>
      <c r="W1215">
        <v>1670</v>
      </c>
      <c r="X1215">
        <v>210</v>
      </c>
      <c r="Y1215">
        <v>2040</v>
      </c>
      <c r="Z1215">
        <v>244</v>
      </c>
      <c r="AA1215">
        <v>1103</v>
      </c>
      <c r="AB1215" t="s">
        <v>1854</v>
      </c>
    </row>
    <row r="1216" spans="1:28" x14ac:dyDescent="0.3">
      <c r="A1216">
        <v>78437</v>
      </c>
      <c r="B1216" t="s">
        <v>1392</v>
      </c>
      <c r="C1216">
        <v>0</v>
      </c>
      <c r="D1216">
        <v>1610612752</v>
      </c>
      <c r="E1216" t="s">
        <v>1248</v>
      </c>
      <c r="F1216">
        <v>250</v>
      </c>
      <c r="G1216">
        <v>81</v>
      </c>
      <c r="H1216">
        <v>350</v>
      </c>
      <c r="I1216">
        <v>20230</v>
      </c>
      <c r="J1216">
        <v>324</v>
      </c>
      <c r="K1216">
        <v>753</v>
      </c>
      <c r="L1216">
        <v>43</v>
      </c>
      <c r="M1216">
        <v>0</v>
      </c>
      <c r="N1216">
        <v>100</v>
      </c>
      <c r="O1216">
        <v>0</v>
      </c>
      <c r="P1216">
        <v>190</v>
      </c>
      <c r="Q1216">
        <v>277</v>
      </c>
      <c r="R1216">
        <v>686</v>
      </c>
      <c r="S1216">
        <v>1000</v>
      </c>
      <c r="T1216">
        <v>1200</v>
      </c>
      <c r="U1216">
        <v>2200</v>
      </c>
      <c r="V1216">
        <v>337</v>
      </c>
      <c r="W1216">
        <v>1460</v>
      </c>
      <c r="X1216">
        <v>360</v>
      </c>
      <c r="Y1216">
        <v>1920</v>
      </c>
      <c r="Z1216">
        <v>216</v>
      </c>
      <c r="AA1216">
        <v>838</v>
      </c>
      <c r="AB1216" t="s">
        <v>1854</v>
      </c>
    </row>
    <row r="1217" spans="1:28" x14ac:dyDescent="0.3">
      <c r="A1217">
        <v>966</v>
      </c>
      <c r="B1217" t="s">
        <v>1295</v>
      </c>
      <c r="C1217">
        <v>0</v>
      </c>
      <c r="D1217">
        <v>1610612752</v>
      </c>
      <c r="E1217" t="s">
        <v>1248</v>
      </c>
      <c r="F1217">
        <v>320</v>
      </c>
      <c r="G1217">
        <v>79</v>
      </c>
      <c r="H1217">
        <v>40</v>
      </c>
      <c r="I1217">
        <v>12110</v>
      </c>
      <c r="J1217">
        <v>122</v>
      </c>
      <c r="K1217">
        <v>243</v>
      </c>
      <c r="L1217">
        <v>502</v>
      </c>
      <c r="M1217">
        <v>0</v>
      </c>
      <c r="N1217">
        <v>50</v>
      </c>
      <c r="O1217">
        <v>0</v>
      </c>
      <c r="P1217">
        <v>115</v>
      </c>
      <c r="Q1217">
        <v>172</v>
      </c>
      <c r="R1217">
        <v>669</v>
      </c>
      <c r="S1217">
        <v>1150</v>
      </c>
      <c r="T1217">
        <v>1680</v>
      </c>
      <c r="U1217">
        <v>2830</v>
      </c>
      <c r="V1217">
        <v>41</v>
      </c>
      <c r="W1217">
        <v>550</v>
      </c>
      <c r="X1217">
        <v>100</v>
      </c>
      <c r="Y1217">
        <v>650</v>
      </c>
      <c r="Z1217">
        <v>155</v>
      </c>
      <c r="AA1217">
        <v>359</v>
      </c>
      <c r="AB1217" t="s">
        <v>1855</v>
      </c>
    </row>
    <row r="1218" spans="1:28" x14ac:dyDescent="0.3">
      <c r="A1218">
        <v>433</v>
      </c>
      <c r="B1218" t="s">
        <v>1277</v>
      </c>
      <c r="C1218">
        <v>0</v>
      </c>
      <c r="D1218">
        <v>1610612752</v>
      </c>
      <c r="E1218" t="s">
        <v>1248</v>
      </c>
      <c r="F1218">
        <v>370</v>
      </c>
      <c r="G1218">
        <v>74</v>
      </c>
      <c r="H1218">
        <v>40</v>
      </c>
      <c r="I1218">
        <v>15020</v>
      </c>
      <c r="J1218">
        <v>175</v>
      </c>
      <c r="K1218">
        <v>326</v>
      </c>
      <c r="L1218">
        <v>537</v>
      </c>
      <c r="M1218">
        <v>0</v>
      </c>
      <c r="N1218">
        <v>10</v>
      </c>
      <c r="O1218">
        <v>0</v>
      </c>
      <c r="P1218">
        <v>115</v>
      </c>
      <c r="Q1218">
        <v>179</v>
      </c>
      <c r="R1218">
        <v>642</v>
      </c>
      <c r="S1218">
        <v>1660</v>
      </c>
      <c r="T1218">
        <v>2310</v>
      </c>
      <c r="U1218">
        <v>3970</v>
      </c>
      <c r="V1218">
        <v>53</v>
      </c>
      <c r="W1218">
        <v>400</v>
      </c>
      <c r="X1218">
        <v>380</v>
      </c>
      <c r="Y1218">
        <v>790</v>
      </c>
      <c r="Z1218">
        <v>204</v>
      </c>
      <c r="AA1218">
        <v>465</v>
      </c>
      <c r="AB1218" t="s">
        <v>1856</v>
      </c>
    </row>
    <row r="1219" spans="1:28" x14ac:dyDescent="0.3">
      <c r="A1219">
        <v>433</v>
      </c>
      <c r="B1219" t="s">
        <v>1278</v>
      </c>
      <c r="C1219">
        <v>0</v>
      </c>
      <c r="D1219">
        <v>1610612752</v>
      </c>
      <c r="E1219" t="s">
        <v>1248</v>
      </c>
      <c r="F1219">
        <v>380</v>
      </c>
      <c r="G1219">
        <v>41</v>
      </c>
      <c r="H1219">
        <v>60</v>
      </c>
      <c r="I1219">
        <v>7380</v>
      </c>
      <c r="J1219">
        <v>75</v>
      </c>
      <c r="K1219">
        <v>149</v>
      </c>
      <c r="L1219">
        <v>503</v>
      </c>
      <c r="M1219">
        <v>0</v>
      </c>
      <c r="N1219">
        <v>0</v>
      </c>
      <c r="O1219">
        <v>0</v>
      </c>
      <c r="P1219">
        <v>52</v>
      </c>
      <c r="Q1219">
        <v>71</v>
      </c>
      <c r="R1219">
        <v>732</v>
      </c>
      <c r="S1219">
        <v>780</v>
      </c>
      <c r="T1219">
        <v>1050</v>
      </c>
      <c r="U1219">
        <v>1830</v>
      </c>
      <c r="V1219">
        <v>21</v>
      </c>
      <c r="W1219">
        <v>170</v>
      </c>
      <c r="X1219">
        <v>150</v>
      </c>
      <c r="Y1219">
        <v>380</v>
      </c>
      <c r="Z1219">
        <v>93</v>
      </c>
      <c r="AA1219">
        <v>202</v>
      </c>
      <c r="AB1219" t="s">
        <v>1856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5E34-685D-4101-AA72-0345B4F36CA0}">
  <dimension ref="A1:AQ1219"/>
  <sheetViews>
    <sheetView topLeftCell="A4" workbookViewId="0">
      <selection activeCell="J5" sqref="J5"/>
    </sheetView>
  </sheetViews>
  <sheetFormatPr baseColWidth="10" defaultRowHeight="14.4" x14ac:dyDescent="0.3"/>
  <cols>
    <col min="1" max="1" width="21.33203125" style="1" bestFit="1" customWidth="1"/>
    <col min="2" max="2" width="12.77734375" style="1" customWidth="1"/>
    <col min="3" max="3" width="29.5546875" style="1" bestFit="1" customWidth="1"/>
    <col min="4" max="4" width="12.77734375" style="1" customWidth="1"/>
    <col min="5" max="5" width="13.6640625" hidden="1" customWidth="1"/>
    <col min="6" max="6" width="5.6640625" style="1" bestFit="1" customWidth="1"/>
    <col min="7" max="7" width="6.5546875" style="1" bestFit="1" customWidth="1"/>
    <col min="8" max="8" width="16.109375" style="1" bestFit="1" customWidth="1"/>
    <col min="9" max="9" width="16.109375" style="1" customWidth="1"/>
    <col min="10" max="10" width="7" style="1" bestFit="1" customWidth="1"/>
    <col min="11" max="11" width="6.6640625" style="1" bestFit="1" customWidth="1"/>
    <col min="12" max="12" width="9.5546875" style="1" bestFit="1" customWidth="1"/>
    <col min="13" max="13" width="9.5546875" style="4" customWidth="1"/>
    <col min="14" max="14" width="8" style="1" hidden="1" customWidth="1"/>
    <col min="15" max="15" width="8" style="1" customWidth="1"/>
    <col min="16" max="16" width="7.6640625" style="1" hidden="1" customWidth="1"/>
    <col min="17" max="17" width="10.5546875" style="1" bestFit="1" customWidth="1"/>
    <col min="18" max="18" width="6.5546875" style="1" bestFit="1" customWidth="1"/>
    <col min="19" max="19" width="6.21875" style="1" bestFit="1" customWidth="1"/>
    <col min="20" max="20" width="9.109375" style="1" bestFit="1" customWidth="1"/>
    <col min="21" max="23" width="9.109375" style="1" customWidth="1"/>
    <col min="24" max="24" width="7.77734375" hidden="1" customWidth="1"/>
    <col min="25" max="25" width="7.6640625" hidden="1" customWidth="1"/>
    <col min="26" max="26" width="6.44140625" hidden="1" customWidth="1"/>
    <col min="27" max="27" width="8.88671875" bestFit="1" customWidth="1"/>
    <col min="28" max="28" width="6.33203125" style="1" bestFit="1" customWidth="1"/>
    <col min="29" max="30" width="6.33203125" style="1" customWidth="1"/>
    <col min="31" max="31" width="6.109375" style="1" hidden="1" customWidth="1"/>
    <col min="32" max="32" width="6.109375" style="1" customWidth="1"/>
    <col min="33" max="33" width="6.33203125" hidden="1" customWidth="1"/>
    <col min="34" max="35" width="6.33203125" style="1" customWidth="1"/>
    <col min="36" max="36" width="6.5546875" hidden="1" customWidth="1"/>
    <col min="37" max="37" width="13.5546875" style="1" bestFit="1" customWidth="1"/>
    <col min="38" max="39" width="6.5546875" style="1" customWidth="1"/>
    <col min="40" max="40" width="5.33203125" style="1" bestFit="1" customWidth="1"/>
    <col min="41" max="42" width="5.33203125" style="1" customWidth="1"/>
    <col min="43" max="43" width="6.33203125" style="1" bestFit="1" customWidth="1"/>
    <col min="44" max="16384" width="11.5546875" style="1"/>
  </cols>
  <sheetData>
    <row r="1" spans="1:43" x14ac:dyDescent="0.3">
      <c r="A1" s="1" t="s">
        <v>1858</v>
      </c>
      <c r="B1" s="1" t="s">
        <v>1857</v>
      </c>
      <c r="C1" s="1" t="s">
        <v>1886</v>
      </c>
      <c r="D1" s="1" t="s">
        <v>1859</v>
      </c>
      <c r="E1" t="s">
        <v>1224</v>
      </c>
      <c r="F1" s="1" t="s">
        <v>1225</v>
      </c>
      <c r="G1" s="1" t="s">
        <v>1227</v>
      </c>
      <c r="H1" s="1" t="s">
        <v>1871</v>
      </c>
      <c r="I1" s="1" t="s">
        <v>1873</v>
      </c>
      <c r="J1" s="1" t="s">
        <v>1228</v>
      </c>
      <c r="K1" s="1" t="s">
        <v>1229</v>
      </c>
      <c r="L1" s="1" t="s">
        <v>1230</v>
      </c>
      <c r="M1" s="4" t="s">
        <v>1231</v>
      </c>
      <c r="N1" s="1" t="s">
        <v>1899</v>
      </c>
      <c r="O1" s="1" t="s">
        <v>1232</v>
      </c>
      <c r="P1" s="1" t="s">
        <v>1900</v>
      </c>
      <c r="Q1" s="1" t="s">
        <v>1233</v>
      </c>
      <c r="R1" s="1" t="s">
        <v>1234</v>
      </c>
      <c r="S1" s="1" t="s">
        <v>1235</v>
      </c>
      <c r="T1" s="1" t="s">
        <v>1236</v>
      </c>
      <c r="U1" s="1" t="s">
        <v>1237</v>
      </c>
      <c r="V1" s="1" t="s">
        <v>1238</v>
      </c>
      <c r="W1" s="1" t="s">
        <v>1239</v>
      </c>
      <c r="X1" t="s">
        <v>1860</v>
      </c>
      <c r="Y1" t="s">
        <v>1861</v>
      </c>
      <c r="Z1" t="s">
        <v>1862</v>
      </c>
      <c r="AA1" t="s">
        <v>1892</v>
      </c>
      <c r="AB1" s="1" t="s">
        <v>1240</v>
      </c>
      <c r="AC1" s="1" t="s">
        <v>1864</v>
      </c>
      <c r="AD1" s="1" t="s">
        <v>1241</v>
      </c>
      <c r="AE1" s="1" t="s">
        <v>1872</v>
      </c>
      <c r="AF1" s="1" t="s">
        <v>1865</v>
      </c>
      <c r="AG1" t="s">
        <v>1866</v>
      </c>
      <c r="AH1" s="1" t="s">
        <v>1242</v>
      </c>
      <c r="AI1" s="1" t="s">
        <v>1867</v>
      </c>
      <c r="AJ1" t="s">
        <v>1868</v>
      </c>
      <c r="AK1" s="1" t="s">
        <v>1893</v>
      </c>
      <c r="AL1" s="1" t="s">
        <v>1243</v>
      </c>
      <c r="AM1" s="1" t="s">
        <v>1869</v>
      </c>
      <c r="AN1" s="1" t="s">
        <v>1244</v>
      </c>
      <c r="AO1" s="1" t="s">
        <v>1870</v>
      </c>
      <c r="AP1" s="1" t="s">
        <v>1245</v>
      </c>
      <c r="AQ1" s="1" t="s">
        <v>1863</v>
      </c>
    </row>
    <row r="2" spans="1:43" customFormat="1" x14ac:dyDescent="0.3">
      <c r="A2" s="1" t="s">
        <v>1498</v>
      </c>
      <c r="B2" s="1" t="s">
        <v>1293</v>
      </c>
      <c r="C2" s="1" t="str">
        <f>knicks_players_all_stats[[#This Row],[NAME]]&amp;" ("&amp;knicks_players_all_stats[[#This Row],[SEASON]]&amp;")"</f>
        <v>Stephon Marbury (2003-04)</v>
      </c>
      <c r="D2" s="1">
        <f>knicks_players_all_stats[[#This Row],[PLAYER_AGE]]/10</f>
        <v>27</v>
      </c>
      <c r="E2">
        <v>270</v>
      </c>
      <c r="F2" s="1">
        <v>47</v>
      </c>
      <c r="G2" s="1">
        <v>18390</v>
      </c>
      <c r="H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848</v>
      </c>
      <c r="I2" s="4">
        <f>knicks_players_all_stats[[#This Row],[VALORATION]]/knicks_players_all_stats[[#This Row],[GP]]</f>
        <v>18.042553191489361</v>
      </c>
      <c r="J2" s="1">
        <v>336</v>
      </c>
      <c r="K2" s="1">
        <v>780</v>
      </c>
      <c r="L2" s="2">
        <f>knicks_players_all_stats[[#This Row],[FGM]]/knicks_players_all_stats[[#This Row],[FGA]]</f>
        <v>0.43076923076923079</v>
      </c>
      <c r="M2" s="16">
        <f>knicks_players_all_stats[[#This Row],[FG3M2]]/10</f>
        <v>50</v>
      </c>
      <c r="N2" s="1">
        <v>500</v>
      </c>
      <c r="O2" s="1">
        <f>knicks_players_all_stats[[#This Row],[FG3A2]]/10</f>
        <v>156</v>
      </c>
      <c r="P2" s="1">
        <v>1560</v>
      </c>
      <c r="Q2" s="2">
        <f>knicks_players_all_stats[[#This Row],[FG3M2]]/knicks_players_all_stats[[#This Row],[FG3A2]]</f>
        <v>0.32051282051282054</v>
      </c>
      <c r="R2" s="1">
        <v>209</v>
      </c>
      <c r="S2" s="1">
        <v>251</v>
      </c>
      <c r="T2" s="3">
        <f>knicks_players_all_stats[[#This Row],[FTM]]/knicks_players_all_stats[[#This Row],[FTA]]</f>
        <v>0.83266932270916338</v>
      </c>
      <c r="U2" s="1">
        <f>knicks_players_all_stats[[#This Row],[OREB22]]/10</f>
        <v>39</v>
      </c>
      <c r="V2" s="1">
        <f>knicks_players_all_stats[[#This Row],[DREB33]]/10</f>
        <v>107</v>
      </c>
      <c r="W2" s="1">
        <f>knicks_players_all_stats[[#This Row],[REB44]]/10</f>
        <v>146</v>
      </c>
      <c r="X2">
        <v>390</v>
      </c>
      <c r="Y2">
        <v>1070</v>
      </c>
      <c r="Z2">
        <v>1460</v>
      </c>
      <c r="AA2" s="14">
        <f>knicks_players_all_stats[[#This Row],[REB]]/knicks_players_all_stats[[#This Row],[GP]]</f>
        <v>3.1063829787234041</v>
      </c>
      <c r="AB2" s="1">
        <v>438</v>
      </c>
      <c r="AC2" s="4">
        <f>knicks_players_all_stats[[#This Row],[AST]]/knicks_players_all_stats[[#This Row],[GP]]</f>
        <v>9.3191489361702136</v>
      </c>
      <c r="AD2" s="1">
        <f>knicks_players_all_stats[[#This Row],[STL2]]/10</f>
        <v>65</v>
      </c>
      <c r="AE2" s="1">
        <v>650</v>
      </c>
      <c r="AF2" s="4">
        <f>knicks_players_all_stats[[#This Row],[STL]]/knicks_players_all_stats[[#This Row],[GP]]</f>
        <v>1.3829787234042554</v>
      </c>
      <c r="AG2">
        <v>40</v>
      </c>
      <c r="AH2" s="1">
        <f>knicks_players_all_stats[[#This Row],[BLK2]]/10</f>
        <v>4</v>
      </c>
      <c r="AI2" s="4">
        <f>knicks_players_all_stats[[#This Row],[BLK]]/knicks_players_all_stats[[#This Row],[GP]]</f>
        <v>8.5106382978723402E-2</v>
      </c>
      <c r="AJ2">
        <v>1520</v>
      </c>
      <c r="AK2" s="4">
        <f>knicks_players_all_stats[[#This Row],[BLKPG]]+knicks_players_all_stats[[#This Row],[STLPG]]+knicks_players_all_stats[[#This Row],[REBPG]]</f>
        <v>4.5744680851063828</v>
      </c>
      <c r="AL2" s="1">
        <f>knicks_players_all_stats[[#This Row],[TOV2]]/10</f>
        <v>152</v>
      </c>
      <c r="AM2" s="4">
        <f>knicks_players_all_stats[[#This Row],[TOV]]/knicks_players_all_stats[[#This Row],[GP]]</f>
        <v>3.2340425531914891</v>
      </c>
      <c r="AN2" s="1">
        <v>98</v>
      </c>
      <c r="AO2" s="1">
        <f>knicks_players_all_stats[[#This Row],[PF]]/knicks_players_all_stats[[#This Row],[GP]]</f>
        <v>2.0851063829787235</v>
      </c>
      <c r="AP2" s="1">
        <v>931</v>
      </c>
      <c r="AQ2" s="4">
        <f>knicks_players_all_stats[[#This Row],[PTS]]/knicks_players_all_stats[[#This Row],[GP]]</f>
        <v>19.808510638297872</v>
      </c>
    </row>
    <row r="3" spans="1:43" customFormat="1" x14ac:dyDescent="0.3">
      <c r="A3" s="1" t="s">
        <v>1505</v>
      </c>
      <c r="B3" s="1" t="s">
        <v>1312</v>
      </c>
      <c r="C3" s="1" t="str">
        <f>knicks_players_all_stats[[#This Row],[NAME]]&amp;" ("&amp;knicks_players_all_stats[[#This Row],[SEASON]]&amp;")"</f>
        <v>Raymond Felton (2010-11)</v>
      </c>
      <c r="D3" s="1">
        <f>knicks_players_all_stats[[#This Row],[PLAYER_AGE]]/10</f>
        <v>27</v>
      </c>
      <c r="E3">
        <v>270</v>
      </c>
      <c r="F3" s="1">
        <v>54</v>
      </c>
      <c r="G3" s="1">
        <v>20740</v>
      </c>
      <c r="H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938</v>
      </c>
      <c r="I3" s="4">
        <f>knicks_players_all_stats[[#This Row],[VALORATION]]/knicks_players_all_stats[[#This Row],[GP]]</f>
        <v>17.37037037037037</v>
      </c>
      <c r="J3" s="1">
        <v>339</v>
      </c>
      <c r="K3" s="1">
        <v>801</v>
      </c>
      <c r="L3" s="2">
        <f>knicks_players_all_stats[[#This Row],[FGM]]/knicks_players_all_stats[[#This Row],[FGA]]</f>
        <v>0.42322097378277151</v>
      </c>
      <c r="M3" s="16">
        <f>knicks_players_all_stats[[#This Row],[FG3M2]]/10</f>
        <v>88</v>
      </c>
      <c r="N3" s="1">
        <v>880</v>
      </c>
      <c r="O3" s="1">
        <f>knicks_players_all_stats[[#This Row],[FG3A2]]/10</f>
        <v>268</v>
      </c>
      <c r="P3" s="1">
        <v>2680</v>
      </c>
      <c r="Q3" s="2">
        <f>knicks_players_all_stats[[#This Row],[FG3M2]]/knicks_players_all_stats[[#This Row],[FG3A2]]</f>
        <v>0.32835820895522388</v>
      </c>
      <c r="R3" s="1">
        <v>157</v>
      </c>
      <c r="S3" s="1">
        <v>181</v>
      </c>
      <c r="T3" s="3">
        <f>knicks_players_all_stats[[#This Row],[FTM]]/knicks_players_all_stats[[#This Row],[FTA]]</f>
        <v>0.86740331491712708</v>
      </c>
      <c r="U3" s="1">
        <f>knicks_players_all_stats[[#This Row],[OREB22]]/10</f>
        <v>40</v>
      </c>
      <c r="V3" s="1">
        <f>knicks_players_all_stats[[#This Row],[DREB33]]/10</f>
        <v>154</v>
      </c>
      <c r="W3" s="1">
        <f>knicks_players_all_stats[[#This Row],[REB44]]/10</f>
        <v>194</v>
      </c>
      <c r="X3">
        <v>400</v>
      </c>
      <c r="Y3">
        <v>1540</v>
      </c>
      <c r="Z3">
        <v>1940</v>
      </c>
      <c r="AA3" s="14">
        <f>knicks_players_all_stats[[#This Row],[REB]]/knicks_players_all_stats[[#This Row],[GP]]</f>
        <v>3.5925925925925926</v>
      </c>
      <c r="AB3" s="1">
        <v>488</v>
      </c>
      <c r="AC3" s="4">
        <f>knicks_players_all_stats[[#This Row],[AST]]/knicks_players_all_stats[[#This Row],[GP]]</f>
        <v>9.0370370370370363</v>
      </c>
      <c r="AD3" s="1">
        <f>knicks_players_all_stats[[#This Row],[STL2]]/10</f>
        <v>97</v>
      </c>
      <c r="AE3" s="1">
        <v>970</v>
      </c>
      <c r="AF3" s="4">
        <f>knicks_players_all_stats[[#This Row],[STL]]/knicks_players_all_stats[[#This Row],[GP]]</f>
        <v>1.7962962962962963</v>
      </c>
      <c r="AG3">
        <v>110</v>
      </c>
      <c r="AH3" s="1">
        <f>knicks_players_all_stats[[#This Row],[BLK2]]/10</f>
        <v>11</v>
      </c>
      <c r="AI3" s="4">
        <f>knicks_players_all_stats[[#This Row],[BLK]]/knicks_players_all_stats[[#This Row],[GP]]</f>
        <v>0.20370370370370369</v>
      </c>
      <c r="AJ3">
        <v>1760</v>
      </c>
      <c r="AK3" s="4">
        <f>knicks_players_all_stats[[#This Row],[BLKPG]]+knicks_players_all_stats[[#This Row],[STLPG]]+knicks_players_all_stats[[#This Row],[REBPG]]</f>
        <v>5.5925925925925926</v>
      </c>
      <c r="AL3" s="1">
        <f>knicks_players_all_stats[[#This Row],[TOV2]]/10</f>
        <v>176</v>
      </c>
      <c r="AM3" s="4">
        <f>knicks_players_all_stats[[#This Row],[TOV]]/knicks_players_all_stats[[#This Row],[GP]]</f>
        <v>3.2592592592592591</v>
      </c>
      <c r="AN3" s="1">
        <v>113</v>
      </c>
      <c r="AO3" s="1">
        <f>knicks_players_all_stats[[#This Row],[PF]]/knicks_players_all_stats[[#This Row],[GP]]</f>
        <v>2.0925925925925926</v>
      </c>
      <c r="AP3" s="1">
        <v>923</v>
      </c>
      <c r="AQ3" s="4">
        <f>knicks_players_all_stats[[#This Row],[PTS]]/knicks_players_all_stats[[#This Row],[GP]]</f>
        <v>17.092592592592592</v>
      </c>
    </row>
    <row r="4" spans="1:43" customFormat="1" x14ac:dyDescent="0.3">
      <c r="A4" s="1" t="s">
        <v>1498</v>
      </c>
      <c r="B4" s="1" t="s">
        <v>1295</v>
      </c>
      <c r="C4" s="1" t="str">
        <f>knicks_players_all_stats[[#This Row],[NAME]]&amp;" ("&amp;knicks_players_all_stats[[#This Row],[SEASON]]&amp;")"</f>
        <v>Stephon Marbury (2004-05)</v>
      </c>
      <c r="D4" s="1">
        <f>knicks_players_all_stats[[#This Row],[PLAYER_AGE]]/10</f>
        <v>28</v>
      </c>
      <c r="E4">
        <v>280</v>
      </c>
      <c r="F4" s="1">
        <v>82</v>
      </c>
      <c r="G4" s="1">
        <v>32810</v>
      </c>
      <c r="H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1611</v>
      </c>
      <c r="I4" s="4">
        <f>knicks_players_all_stats[[#This Row],[VALORATION]]/knicks_players_all_stats[[#This Row],[GP]]</f>
        <v>19.646341463414632</v>
      </c>
      <c r="J4" s="1">
        <v>604</v>
      </c>
      <c r="K4" s="1">
        <v>1308</v>
      </c>
      <c r="L4" s="2">
        <f>knicks_players_all_stats[[#This Row],[FGM]]/knicks_players_all_stats[[#This Row],[FGA]]</f>
        <v>0.46177370030581039</v>
      </c>
      <c r="M4" s="16">
        <f>knicks_players_all_stats[[#This Row],[FG3M2]]/10</f>
        <v>115</v>
      </c>
      <c r="N4" s="1">
        <v>1150</v>
      </c>
      <c r="O4" s="1">
        <f>knicks_players_all_stats[[#This Row],[FG3A2]]/10</f>
        <v>325</v>
      </c>
      <c r="P4" s="1">
        <v>3250</v>
      </c>
      <c r="Q4" s="2">
        <f>knicks_players_all_stats[[#This Row],[FG3M2]]/knicks_players_all_stats[[#This Row],[FG3A2]]</f>
        <v>0.35384615384615387</v>
      </c>
      <c r="R4" s="1">
        <v>458</v>
      </c>
      <c r="S4" s="1">
        <v>549</v>
      </c>
      <c r="T4" s="3">
        <f>knicks_players_all_stats[[#This Row],[FTM]]/knicks_players_all_stats[[#This Row],[FTA]]</f>
        <v>0.83424408014571949</v>
      </c>
      <c r="U4" s="1">
        <f>knicks_players_all_stats[[#This Row],[OREB22]]/10</f>
        <v>50</v>
      </c>
      <c r="V4" s="1">
        <f>knicks_players_all_stats[[#This Row],[DREB33]]/10</f>
        <v>198</v>
      </c>
      <c r="W4" s="1">
        <f>knicks_players_all_stats[[#This Row],[REB44]]/10</f>
        <v>248</v>
      </c>
      <c r="X4">
        <v>500</v>
      </c>
      <c r="Y4">
        <v>1980</v>
      </c>
      <c r="Z4">
        <v>2480</v>
      </c>
      <c r="AA4" s="14">
        <f>knicks_players_all_stats[[#This Row],[REB]]/knicks_players_all_stats[[#This Row],[GP]]</f>
        <v>3.024390243902439</v>
      </c>
      <c r="AB4" s="1">
        <v>668</v>
      </c>
      <c r="AC4" s="4">
        <f>knicks_players_all_stats[[#This Row],[AST]]/knicks_players_all_stats[[#This Row],[GP]]</f>
        <v>8.1463414634146343</v>
      </c>
      <c r="AD4" s="1">
        <f>knicks_players_all_stats[[#This Row],[STL2]]/10</f>
        <v>122</v>
      </c>
      <c r="AE4" s="1">
        <v>1220</v>
      </c>
      <c r="AF4" s="4">
        <f>knicks_players_all_stats[[#This Row],[STL]]/knicks_players_all_stats[[#This Row],[GP]]</f>
        <v>1.4878048780487805</v>
      </c>
      <c r="AG4">
        <v>60</v>
      </c>
      <c r="AH4" s="1">
        <f>knicks_players_all_stats[[#This Row],[BLK2]]/10</f>
        <v>6</v>
      </c>
      <c r="AI4" s="4">
        <f>knicks_players_all_stats[[#This Row],[BLK]]/knicks_players_all_stats[[#This Row],[GP]]</f>
        <v>7.3170731707317069E-2</v>
      </c>
      <c r="AJ4">
        <v>2330</v>
      </c>
      <c r="AK4" s="4">
        <f>knicks_players_all_stats[[#This Row],[BLKPG]]+knicks_players_all_stats[[#This Row],[STLPG]]+knicks_players_all_stats[[#This Row],[REBPG]]</f>
        <v>4.5853658536585371</v>
      </c>
      <c r="AL4" s="1">
        <f>knicks_players_all_stats[[#This Row],[TOV2]]/10</f>
        <v>233</v>
      </c>
      <c r="AM4" s="4">
        <f>knicks_players_all_stats[[#This Row],[TOV]]/knicks_players_all_stats[[#This Row],[GP]]</f>
        <v>2.8414634146341462</v>
      </c>
      <c r="AN4" s="1">
        <v>186</v>
      </c>
      <c r="AO4" s="1">
        <f>knicks_players_all_stats[[#This Row],[PF]]/knicks_players_all_stats[[#This Row],[GP]]</f>
        <v>2.2682926829268291</v>
      </c>
      <c r="AP4" s="1">
        <v>1781</v>
      </c>
      <c r="AQ4" s="4">
        <f>knicks_players_all_stats[[#This Row],[PTS]]/knicks_players_all_stats[[#This Row],[GP]]</f>
        <v>21.719512195121951</v>
      </c>
    </row>
    <row r="5" spans="1:43" customFormat="1" x14ac:dyDescent="0.3">
      <c r="A5" s="1" t="s">
        <v>1757</v>
      </c>
      <c r="B5" s="1" t="s">
        <v>1330</v>
      </c>
      <c r="C5" s="1" t="str">
        <f>knicks_players_all_stats[[#This Row],[NAME]]&amp;" ("&amp;knicks_players_all_stats[[#This Row],[SEASON]]&amp;")"</f>
        <v>Mark Jackson (2001-02)</v>
      </c>
      <c r="D5" s="1">
        <f>knicks_players_all_stats[[#This Row],[PLAYER_AGE]]/10</f>
        <v>37</v>
      </c>
      <c r="E5">
        <v>370</v>
      </c>
      <c r="F5" s="1">
        <v>82</v>
      </c>
      <c r="G5" s="1">
        <v>23670</v>
      </c>
      <c r="H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1008</v>
      </c>
      <c r="I5" s="4">
        <f>knicks_players_all_stats[[#This Row],[VALORATION]]/knicks_players_all_stats[[#This Row],[GP]]</f>
        <v>12.292682926829269</v>
      </c>
      <c r="J5" s="1">
        <v>260</v>
      </c>
      <c r="K5" s="1">
        <v>592</v>
      </c>
      <c r="L5" s="1">
        <v>439</v>
      </c>
      <c r="M5" s="4">
        <f>knicks_players_all_stats[[#This Row],[FG3M2]]/10</f>
        <v>79</v>
      </c>
      <c r="N5" s="1">
        <v>790</v>
      </c>
      <c r="O5" s="1">
        <f>knicks_players_all_stats[[#This Row],[FG3A2]]/10</f>
        <v>195</v>
      </c>
      <c r="P5" s="1">
        <v>1950</v>
      </c>
      <c r="Q5" s="2">
        <f>knicks_players_all_stats[[#This Row],[FG3M2]]/knicks_players_all_stats[[#This Row],[FG3A2]]</f>
        <v>0.40512820512820513</v>
      </c>
      <c r="R5" s="1">
        <v>87</v>
      </c>
      <c r="S5" s="1">
        <v>110</v>
      </c>
      <c r="T5" s="3">
        <f>knicks_players_all_stats[[#This Row],[FTM]]/knicks_players_all_stats[[#This Row],[FTA]]</f>
        <v>0.79090909090909089</v>
      </c>
      <c r="U5" s="1">
        <f>knicks_players_all_stats[[#This Row],[OREB22]]/10</f>
        <v>56</v>
      </c>
      <c r="V5" s="1">
        <f>knicks_players_all_stats[[#This Row],[DREB33]]/10</f>
        <v>253</v>
      </c>
      <c r="W5" s="1">
        <f>knicks_players_all_stats[[#This Row],[REB44]]/10</f>
        <v>309</v>
      </c>
      <c r="X5">
        <v>560</v>
      </c>
      <c r="Y5">
        <v>2530</v>
      </c>
      <c r="Z5">
        <v>3090</v>
      </c>
      <c r="AA5" s="14">
        <f>knicks_players_all_stats[[#This Row],[REB]]/knicks_players_all_stats[[#This Row],[GP]]</f>
        <v>3.7682926829268291</v>
      </c>
      <c r="AB5" s="1">
        <v>605</v>
      </c>
      <c r="AC5" s="4">
        <f>knicks_players_all_stats[[#This Row],[AST]]/knicks_players_all_stats[[#This Row],[GP]]</f>
        <v>7.3780487804878048</v>
      </c>
      <c r="AD5" s="1">
        <f>knicks_players_all_stats[[#This Row],[STL2]]/10</f>
        <v>74</v>
      </c>
      <c r="AE5" s="1">
        <v>740</v>
      </c>
      <c r="AF5" s="4">
        <f>knicks_players_all_stats[[#This Row],[STL]]/knicks_players_all_stats[[#This Row],[GP]]</f>
        <v>0.90243902439024393</v>
      </c>
      <c r="AG5">
        <v>10</v>
      </c>
      <c r="AH5" s="1">
        <f>knicks_players_all_stats[[#This Row],[BLK2]]/10</f>
        <v>1</v>
      </c>
      <c r="AI5" s="4">
        <f>knicks_players_all_stats[[#This Row],[BLK]]/knicks_players_all_stats[[#This Row],[GP]]</f>
        <v>1.2195121951219513E-2</v>
      </c>
      <c r="AJ5">
        <v>1500</v>
      </c>
      <c r="AK5" s="4">
        <f>knicks_players_all_stats[[#This Row],[BLKPG]]+knicks_players_all_stats[[#This Row],[STLPG]]+knicks_players_all_stats[[#This Row],[REBPG]]</f>
        <v>4.6829268292682924</v>
      </c>
      <c r="AL5" s="1">
        <f>knicks_players_all_stats[[#This Row],[TOV2]]/10</f>
        <v>150</v>
      </c>
      <c r="AM5" s="4">
        <f>knicks_players_all_stats[[#This Row],[TOV]]/knicks_players_all_stats[[#This Row],[GP]]</f>
        <v>1.8292682926829269</v>
      </c>
      <c r="AN5" s="1">
        <v>162</v>
      </c>
      <c r="AO5" s="1">
        <f>knicks_players_all_stats[[#This Row],[PF]]/knicks_players_all_stats[[#This Row],[GP]]</f>
        <v>1.975609756097561</v>
      </c>
      <c r="AP5" s="1">
        <v>686</v>
      </c>
      <c r="AQ5" s="4">
        <f>knicks_players_all_stats[[#This Row],[PTS]]/knicks_players_all_stats[[#This Row],[GP]]</f>
        <v>8.3658536585365848</v>
      </c>
    </row>
    <row r="6" spans="1:43" customFormat="1" x14ac:dyDescent="0.3">
      <c r="A6" s="1" t="s">
        <v>1567</v>
      </c>
      <c r="B6" s="1" t="s">
        <v>1304</v>
      </c>
      <c r="C6" s="1" t="str">
        <f>knicks_players_all_stats[[#This Row],[NAME]]&amp;" ("&amp;knicks_players_all_stats[[#This Row],[SEASON]]&amp;")"</f>
        <v>Chris Duhon (2008-09)</v>
      </c>
      <c r="D6" s="1">
        <f>knicks_players_all_stats[[#This Row],[PLAYER_AGE]]/10</f>
        <v>26</v>
      </c>
      <c r="E6">
        <v>260</v>
      </c>
      <c r="F6" s="1">
        <v>79</v>
      </c>
      <c r="G6" s="1">
        <v>29060</v>
      </c>
      <c r="H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1000</v>
      </c>
      <c r="I6" s="4">
        <f>knicks_players_all_stats[[#This Row],[VALORATION]]/knicks_players_all_stats[[#This Row],[GP]]</f>
        <v>12.658227848101266</v>
      </c>
      <c r="J6" s="1">
        <v>287</v>
      </c>
      <c r="K6" s="1">
        <v>681</v>
      </c>
      <c r="L6" s="2">
        <f>knicks_players_all_stats[[#This Row],[FGM]]/knicks_players_all_stats[[#This Row],[FGA]]</f>
        <v>0.42143906020558003</v>
      </c>
      <c r="M6" s="16">
        <f>knicks_players_all_stats[[#This Row],[FG3M2]]/10</f>
        <v>127</v>
      </c>
      <c r="N6" s="1">
        <v>1270</v>
      </c>
      <c r="O6" s="1">
        <f>knicks_players_all_stats[[#This Row],[FG3A2]]/10</f>
        <v>325</v>
      </c>
      <c r="P6" s="1">
        <v>3250</v>
      </c>
      <c r="Q6" s="2">
        <f>knicks_players_all_stats[[#This Row],[FG3M2]]/knicks_players_all_stats[[#This Row],[FG3A2]]</f>
        <v>0.39076923076923076</v>
      </c>
      <c r="R6" s="1">
        <v>179</v>
      </c>
      <c r="S6" s="1">
        <v>209</v>
      </c>
      <c r="T6" s="3">
        <f>knicks_players_all_stats[[#This Row],[FTM]]/knicks_players_all_stats[[#This Row],[FTA]]</f>
        <v>0.8564593301435407</v>
      </c>
      <c r="U6" s="1">
        <f>knicks_players_all_stats[[#This Row],[OREB22]]/10</f>
        <v>45</v>
      </c>
      <c r="V6" s="1">
        <f>knicks_players_all_stats[[#This Row],[DREB33]]/10</f>
        <v>201</v>
      </c>
      <c r="W6" s="1">
        <f>knicks_players_all_stats[[#This Row],[REB44]]/10</f>
        <v>246</v>
      </c>
      <c r="X6">
        <v>450</v>
      </c>
      <c r="Y6">
        <v>2010</v>
      </c>
      <c r="Z6">
        <v>2460</v>
      </c>
      <c r="AA6" s="14">
        <f>knicks_players_all_stats[[#This Row],[REB]]/knicks_players_all_stats[[#This Row],[GP]]</f>
        <v>3.1139240506329116</v>
      </c>
      <c r="AB6" s="1">
        <v>566</v>
      </c>
      <c r="AC6" s="4">
        <f>knicks_players_all_stats[[#This Row],[AST]]/knicks_players_all_stats[[#This Row],[GP]]</f>
        <v>7.1645569620253164</v>
      </c>
      <c r="AD6" s="1">
        <f>knicks_players_all_stats[[#This Row],[STL2]]/10</f>
        <v>72</v>
      </c>
      <c r="AE6" s="1">
        <v>720</v>
      </c>
      <c r="AF6" s="4">
        <f>knicks_players_all_stats[[#This Row],[STL]]/knicks_players_all_stats[[#This Row],[GP]]</f>
        <v>0.91139240506329111</v>
      </c>
      <c r="AG6">
        <v>70</v>
      </c>
      <c r="AH6" s="1">
        <f>knicks_players_all_stats[[#This Row],[BLK2]]/10</f>
        <v>7</v>
      </c>
      <c r="AI6" s="4">
        <f>knicks_players_all_stats[[#This Row],[BLK]]/knicks_players_all_stats[[#This Row],[GP]]</f>
        <v>8.8607594936708861E-2</v>
      </c>
      <c r="AJ6">
        <v>2210</v>
      </c>
      <c r="AK6" s="4">
        <f>knicks_players_all_stats[[#This Row],[BLKPG]]+knicks_players_all_stats[[#This Row],[STLPG]]+knicks_players_all_stats[[#This Row],[REBPG]]</f>
        <v>4.113924050632912</v>
      </c>
      <c r="AL6" s="1">
        <f>knicks_players_all_stats[[#This Row],[TOV2]]/10</f>
        <v>221</v>
      </c>
      <c r="AM6" s="4">
        <f>knicks_players_all_stats[[#This Row],[TOV]]/knicks_players_all_stats[[#This Row],[GP]]</f>
        <v>2.7974683544303796</v>
      </c>
      <c r="AN6" s="1">
        <v>126</v>
      </c>
      <c r="AO6" s="1">
        <f>knicks_players_all_stats[[#This Row],[PF]]/knicks_players_all_stats[[#This Row],[GP]]</f>
        <v>1.5949367088607596</v>
      </c>
      <c r="AP6" s="1">
        <v>880</v>
      </c>
      <c r="AQ6" s="4">
        <f>knicks_players_all_stats[[#This Row],[PTS]]/knicks_players_all_stats[[#This Row],[GP]]</f>
        <v>11.139240506329115</v>
      </c>
    </row>
    <row r="7" spans="1:43" customFormat="1" x14ac:dyDescent="0.3">
      <c r="A7" s="1" t="s">
        <v>1591</v>
      </c>
      <c r="B7" s="1" t="s">
        <v>1369</v>
      </c>
      <c r="C7" s="1" t="str">
        <f>knicks_players_all_stats[[#This Row],[NAME]]&amp;" ("&amp;knicks_players_all_stats[[#This Row],[SEASON]]&amp;")"</f>
        <v>Jalen Brunson (2023-24)</v>
      </c>
      <c r="D7" s="1">
        <f>knicks_players_all_stats[[#This Row],[PLAYER_AGE]]/10</f>
        <v>27</v>
      </c>
      <c r="E7">
        <v>270</v>
      </c>
      <c r="F7" s="1">
        <v>77</v>
      </c>
      <c r="G7" s="1">
        <v>27260</v>
      </c>
      <c r="H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1828</v>
      </c>
      <c r="I7" s="4">
        <f>knicks_players_all_stats[[#This Row],[VALORATION]]/knicks_players_all_stats[[#This Row],[GP]]</f>
        <v>23.740259740259742</v>
      </c>
      <c r="J7" s="1">
        <v>790</v>
      </c>
      <c r="K7" s="1">
        <v>1648</v>
      </c>
      <c r="L7" s="2">
        <f>knicks_players_all_stats[[#This Row],[FGM]]/knicks_players_all_stats[[#This Row],[FGA]]</f>
        <v>0.47936893203883496</v>
      </c>
      <c r="M7" s="16">
        <f>knicks_players_all_stats[[#This Row],[FG3M2]]/10</f>
        <v>211</v>
      </c>
      <c r="N7" s="1">
        <v>2110</v>
      </c>
      <c r="O7" s="1">
        <f>knicks_players_all_stats[[#This Row],[FG3A2]]/10</f>
        <v>526</v>
      </c>
      <c r="P7" s="1">
        <v>5260</v>
      </c>
      <c r="Q7" s="2">
        <f>knicks_players_all_stats[[#This Row],[FG3M2]]/knicks_players_all_stats[[#This Row],[FG3A2]]</f>
        <v>0.40114068441064638</v>
      </c>
      <c r="R7" s="1">
        <v>421</v>
      </c>
      <c r="S7" s="1">
        <v>497</v>
      </c>
      <c r="T7" s="3">
        <f>knicks_players_all_stats[[#This Row],[FTM]]/knicks_players_all_stats[[#This Row],[FTA]]</f>
        <v>0.84708249496981891</v>
      </c>
      <c r="U7" s="1">
        <f>knicks_players_all_stats[[#This Row],[OREB22]]/10</f>
        <v>43</v>
      </c>
      <c r="V7" s="1">
        <f>knicks_players_all_stats[[#This Row],[DREB33]]/10</f>
        <v>235</v>
      </c>
      <c r="W7" s="1">
        <f>knicks_players_all_stats[[#This Row],[REB44]]/10</f>
        <v>278</v>
      </c>
      <c r="X7">
        <v>430</v>
      </c>
      <c r="Y7">
        <v>2350</v>
      </c>
      <c r="Z7">
        <v>2780</v>
      </c>
      <c r="AA7" s="14">
        <f>knicks_players_all_stats[[#This Row],[REB]]/knicks_players_all_stats[[#This Row],[GP]]</f>
        <v>3.6103896103896105</v>
      </c>
      <c r="AB7" s="1">
        <v>519</v>
      </c>
      <c r="AC7" s="4">
        <f>knicks_players_all_stats[[#This Row],[AST]]/knicks_players_all_stats[[#This Row],[GP]]</f>
        <v>6.7402597402597406</v>
      </c>
      <c r="AD7" s="1">
        <f>knicks_players_all_stats[[#This Row],[STL2]]/10</f>
        <v>70</v>
      </c>
      <c r="AE7" s="1">
        <v>700</v>
      </c>
      <c r="AF7" s="4">
        <f>knicks_players_all_stats[[#This Row],[STL]]/knicks_players_all_stats[[#This Row],[GP]]</f>
        <v>0.90909090909090906</v>
      </c>
      <c r="AG7">
        <v>130</v>
      </c>
      <c r="AH7" s="1">
        <f>knicks_players_all_stats[[#This Row],[BLK2]]/10</f>
        <v>13</v>
      </c>
      <c r="AI7" s="4">
        <f>knicks_players_all_stats[[#This Row],[BLK]]/knicks_players_all_stats[[#This Row],[GP]]</f>
        <v>0.16883116883116883</v>
      </c>
      <c r="AJ7">
        <v>1860</v>
      </c>
      <c r="AK7" s="4">
        <f>knicks_players_all_stats[[#This Row],[BLKPG]]+knicks_players_all_stats[[#This Row],[STLPG]]+knicks_players_all_stats[[#This Row],[REBPG]]</f>
        <v>4.6883116883116882</v>
      </c>
      <c r="AL7" s="1">
        <f>knicks_players_all_stats[[#This Row],[TOV2]]/10</f>
        <v>186</v>
      </c>
      <c r="AM7" s="4">
        <f>knicks_players_all_stats[[#This Row],[TOV]]/knicks_players_all_stats[[#This Row],[GP]]</f>
        <v>2.4155844155844157</v>
      </c>
      <c r="AN7" s="1">
        <v>144</v>
      </c>
      <c r="AO7" s="1">
        <f>knicks_players_all_stats[[#This Row],[PF]]/knicks_players_all_stats[[#This Row],[GP]]</f>
        <v>1.8701298701298701</v>
      </c>
      <c r="AP7" s="1">
        <v>2212</v>
      </c>
      <c r="AQ7" s="4">
        <f>knicks_players_all_stats[[#This Row],[PTS]]/knicks_players_all_stats[[#This Row],[GP]]</f>
        <v>28.727272727272727</v>
      </c>
    </row>
    <row r="8" spans="1:43" customFormat="1" x14ac:dyDescent="0.3">
      <c r="A8" s="1" t="s">
        <v>1498</v>
      </c>
      <c r="B8" s="1" t="s">
        <v>1300</v>
      </c>
      <c r="C8" s="1" t="str">
        <f>knicks_players_all_stats[[#This Row],[NAME]]&amp;" ("&amp;knicks_players_all_stats[[#This Row],[SEASON]]&amp;")"</f>
        <v>Stephon Marbury (2005-06)</v>
      </c>
      <c r="D8" s="1">
        <f>knicks_players_all_stats[[#This Row],[PLAYER_AGE]]/10</f>
        <v>29</v>
      </c>
      <c r="E8">
        <v>290</v>
      </c>
      <c r="F8" s="1">
        <v>60</v>
      </c>
      <c r="G8" s="1">
        <v>21930</v>
      </c>
      <c r="H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796</v>
      </c>
      <c r="I8" s="4">
        <f>knicks_players_all_stats[[#This Row],[VALORATION]]/knicks_players_all_stats[[#This Row],[GP]]</f>
        <v>13.266666666666667</v>
      </c>
      <c r="J8" s="1">
        <v>349</v>
      </c>
      <c r="K8" s="1">
        <v>774</v>
      </c>
      <c r="L8" s="2">
        <f>knicks_players_all_stats[[#This Row],[FGM]]/knicks_players_all_stats[[#This Row],[FGA]]</f>
        <v>0.45090439276485789</v>
      </c>
      <c r="M8" s="16">
        <f>knicks_players_all_stats[[#This Row],[FG3M2]]/10</f>
        <v>33</v>
      </c>
      <c r="N8" s="1">
        <v>330</v>
      </c>
      <c r="O8" s="1">
        <f>knicks_players_all_stats[[#This Row],[FG3A2]]/10</f>
        <v>104</v>
      </c>
      <c r="P8" s="1">
        <v>1040</v>
      </c>
      <c r="Q8" s="2">
        <f>knicks_players_all_stats[[#This Row],[FG3M2]]/knicks_players_all_stats[[#This Row],[FG3A2]]</f>
        <v>0.31730769230769229</v>
      </c>
      <c r="R8" s="1">
        <v>246</v>
      </c>
      <c r="S8" s="1">
        <v>326</v>
      </c>
      <c r="T8" s="3">
        <f>knicks_players_all_stats[[#This Row],[FTM]]/knicks_players_all_stats[[#This Row],[FTA]]</f>
        <v>0.754601226993865</v>
      </c>
      <c r="U8" s="1">
        <f>knicks_players_all_stats[[#This Row],[OREB22]]/10</f>
        <v>25</v>
      </c>
      <c r="V8" s="1">
        <f>knicks_players_all_stats[[#This Row],[DREB33]]/10</f>
        <v>150</v>
      </c>
      <c r="W8" s="1">
        <f>knicks_players_all_stats[[#This Row],[REB44]]/10</f>
        <v>175</v>
      </c>
      <c r="X8">
        <v>250</v>
      </c>
      <c r="Y8">
        <v>1500</v>
      </c>
      <c r="Z8">
        <v>1750</v>
      </c>
      <c r="AA8" s="14">
        <f>knicks_players_all_stats[[#This Row],[REB]]/knicks_players_all_stats[[#This Row],[GP]]</f>
        <v>2.9166666666666665</v>
      </c>
      <c r="AB8" s="1">
        <v>382</v>
      </c>
      <c r="AC8" s="4">
        <f>knicks_players_all_stats[[#This Row],[AST]]/knicks_players_all_stats[[#This Row],[GP]]</f>
        <v>6.3666666666666663</v>
      </c>
      <c r="AD8" s="1">
        <f>knicks_players_all_stats[[#This Row],[STL2]]/10</f>
        <v>63</v>
      </c>
      <c r="AE8" s="1">
        <v>630</v>
      </c>
      <c r="AF8" s="4">
        <f>knicks_players_all_stats[[#This Row],[STL]]/knicks_players_all_stats[[#This Row],[GP]]</f>
        <v>1.05</v>
      </c>
      <c r="AG8">
        <v>40</v>
      </c>
      <c r="AH8" s="1">
        <f>knicks_players_all_stats[[#This Row],[BLK2]]/10</f>
        <v>4</v>
      </c>
      <c r="AI8" s="4">
        <f>knicks_players_all_stats[[#This Row],[BLK]]/knicks_players_all_stats[[#This Row],[GP]]</f>
        <v>6.6666666666666666E-2</v>
      </c>
      <c r="AJ8">
        <v>1570</v>
      </c>
      <c r="AK8" s="4">
        <f>knicks_players_all_stats[[#This Row],[BLKPG]]+knicks_players_all_stats[[#This Row],[STLPG]]+knicks_players_all_stats[[#This Row],[REBPG]]</f>
        <v>4.0333333333333332</v>
      </c>
      <c r="AL8" s="1">
        <f>knicks_players_all_stats[[#This Row],[TOV2]]/10</f>
        <v>157</v>
      </c>
      <c r="AM8" s="4">
        <f>knicks_players_all_stats[[#This Row],[TOV]]/knicks_players_all_stats[[#This Row],[GP]]</f>
        <v>2.6166666666666667</v>
      </c>
      <c r="AN8" s="1">
        <v>143</v>
      </c>
      <c r="AO8" s="1">
        <f>knicks_players_all_stats[[#This Row],[PF]]/knicks_players_all_stats[[#This Row],[GP]]</f>
        <v>2.3833333333333333</v>
      </c>
      <c r="AP8" s="1">
        <v>977</v>
      </c>
      <c r="AQ8" s="4">
        <f>knicks_players_all_stats[[#This Row],[PTS]]/knicks_players_all_stats[[#This Row],[GP]]</f>
        <v>16.283333333333335</v>
      </c>
    </row>
    <row r="9" spans="1:43" x14ac:dyDescent="0.3">
      <c r="A9" s="1" t="s">
        <v>1591</v>
      </c>
      <c r="B9" s="1" t="s">
        <v>1327</v>
      </c>
      <c r="C9" s="1" t="str">
        <f>knicks_players_all_stats[[#This Row],[NAME]]&amp;" ("&amp;knicks_players_all_stats[[#This Row],[SEASON]]&amp;")"</f>
        <v>Jalen Brunson (2022-23)</v>
      </c>
      <c r="D9" s="1">
        <f>knicks_players_all_stats[[#This Row],[PLAYER_AGE]]/10</f>
        <v>26</v>
      </c>
      <c r="E9">
        <v>260</v>
      </c>
      <c r="F9" s="1">
        <v>68</v>
      </c>
      <c r="G9" s="1">
        <v>23790</v>
      </c>
      <c r="H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1402</v>
      </c>
      <c r="I9" s="4">
        <f>knicks_players_all_stats[[#This Row],[VALORATION]]/knicks_players_all_stats[[#This Row],[GP]]</f>
        <v>20.617647058823529</v>
      </c>
      <c r="J9" s="1">
        <v>587</v>
      </c>
      <c r="K9" s="1">
        <v>1195</v>
      </c>
      <c r="L9" s="2">
        <f>knicks_players_all_stats[[#This Row],[FGM]]/knicks_players_all_stats[[#This Row],[FGA]]</f>
        <v>0.49121338912133894</v>
      </c>
      <c r="M9" s="16">
        <f>knicks_players_all_stats[[#This Row],[FG3M2]]/10</f>
        <v>134</v>
      </c>
      <c r="N9" s="1">
        <v>1340</v>
      </c>
      <c r="O9" s="1">
        <f>knicks_players_all_stats[[#This Row],[FG3A2]]/10</f>
        <v>322</v>
      </c>
      <c r="P9" s="1">
        <v>3220</v>
      </c>
      <c r="Q9" s="2">
        <f>knicks_players_all_stats[[#This Row],[FG3M2]]/knicks_players_all_stats[[#This Row],[FG3A2]]</f>
        <v>0.41614906832298137</v>
      </c>
      <c r="R9" s="1">
        <v>325</v>
      </c>
      <c r="S9" s="1">
        <v>392</v>
      </c>
      <c r="T9" s="3">
        <f>knicks_players_all_stats[[#This Row],[FTM]]/knicks_players_all_stats[[#This Row],[FTA]]</f>
        <v>0.82908163265306123</v>
      </c>
      <c r="U9" s="1">
        <f>knicks_players_all_stats[[#This Row],[OREB22]]/10</f>
        <v>40</v>
      </c>
      <c r="V9" s="1">
        <f>knicks_players_all_stats[[#This Row],[DREB33]]/10</f>
        <v>201</v>
      </c>
      <c r="W9" s="1">
        <f>knicks_players_all_stats[[#This Row],[REB44]]/10</f>
        <v>241</v>
      </c>
      <c r="X9">
        <v>400</v>
      </c>
      <c r="Y9">
        <v>2010</v>
      </c>
      <c r="Z9">
        <v>2410</v>
      </c>
      <c r="AA9" s="14">
        <f>knicks_players_all_stats[[#This Row],[REB]]/knicks_players_all_stats[[#This Row],[GP]]</f>
        <v>3.5441176470588234</v>
      </c>
      <c r="AB9" s="1">
        <v>421</v>
      </c>
      <c r="AC9" s="4">
        <f>knicks_players_all_stats[[#This Row],[AST]]/knicks_players_all_stats[[#This Row],[GP]]</f>
        <v>6.1911764705882355</v>
      </c>
      <c r="AD9" s="1">
        <f>knicks_players_all_stats[[#This Row],[STL2]]/10</f>
        <v>61</v>
      </c>
      <c r="AE9" s="1">
        <v>610</v>
      </c>
      <c r="AF9" s="4">
        <f>knicks_players_all_stats[[#This Row],[STL]]/knicks_players_all_stats[[#This Row],[GP]]</f>
        <v>0.8970588235294118</v>
      </c>
      <c r="AG9">
        <v>150</v>
      </c>
      <c r="AH9" s="1">
        <f>knicks_players_all_stats[[#This Row],[BLK2]]/10</f>
        <v>15</v>
      </c>
      <c r="AI9" s="4">
        <f>knicks_players_all_stats[[#This Row],[BLK]]/knicks_players_all_stats[[#This Row],[GP]]</f>
        <v>0.22058823529411764</v>
      </c>
      <c r="AJ9">
        <v>1420</v>
      </c>
      <c r="AK9" s="4">
        <f>knicks_players_all_stats[[#This Row],[BLKPG]]+knicks_players_all_stats[[#This Row],[STLPG]]+knicks_players_all_stats[[#This Row],[REBPG]]</f>
        <v>4.6617647058823533</v>
      </c>
      <c r="AL9" s="1">
        <f>knicks_players_all_stats[[#This Row],[TOV2]]/10</f>
        <v>142</v>
      </c>
      <c r="AM9" s="4">
        <f>knicks_players_all_stats[[#This Row],[TOV]]/knicks_players_all_stats[[#This Row],[GP]]</f>
        <v>2.0882352941176472</v>
      </c>
      <c r="AN9" s="1">
        <v>152</v>
      </c>
      <c r="AO9" s="1">
        <f>knicks_players_all_stats[[#This Row],[PF]]/knicks_players_all_stats[[#This Row],[GP]]</f>
        <v>2.2352941176470589</v>
      </c>
      <c r="AP9" s="1">
        <v>1633</v>
      </c>
      <c r="AQ9" s="4">
        <f>knicks_players_all_stats[[#This Row],[PTS]]/knicks_players_all_stats[[#This Row],[GP]]</f>
        <v>24.014705882352942</v>
      </c>
    </row>
    <row r="10" spans="1:43" customFormat="1" x14ac:dyDescent="0.3">
      <c r="A10" s="1" t="s">
        <v>1541</v>
      </c>
      <c r="B10" s="1" t="s">
        <v>1290</v>
      </c>
      <c r="C10" s="1" t="str">
        <f>knicks_players_all_stats[[#This Row],[NAME]]&amp;" ("&amp;knicks_players_all_stats[[#This Row],[SEASON]]&amp;")"</f>
        <v>Jeremy Lin (2011-12)</v>
      </c>
      <c r="D10" s="1">
        <f>knicks_players_all_stats[[#This Row],[PLAYER_AGE]]/10</f>
        <v>23</v>
      </c>
      <c r="E10">
        <v>230</v>
      </c>
      <c r="F10" s="1">
        <v>35</v>
      </c>
      <c r="G10" s="1">
        <v>9400</v>
      </c>
      <c r="H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446</v>
      </c>
      <c r="I10" s="4">
        <f>knicks_players_all_stats[[#This Row],[VALORATION]]/knicks_players_all_stats[[#This Row],[GP]]</f>
        <v>12.742857142857142</v>
      </c>
      <c r="J10" s="1">
        <v>171</v>
      </c>
      <c r="K10" s="1">
        <v>383</v>
      </c>
      <c r="L10" s="2">
        <f>knicks_players_all_stats[[#This Row],[FGM]]/knicks_players_all_stats[[#This Row],[FGA]]</f>
        <v>0.44647519582245432</v>
      </c>
      <c r="M10" s="16">
        <f>knicks_players_all_stats[[#This Row],[FG3M2]]/10</f>
        <v>24</v>
      </c>
      <c r="N10" s="1">
        <v>240</v>
      </c>
      <c r="O10" s="1">
        <f>knicks_players_all_stats[[#This Row],[FG3A2]]/10</f>
        <v>75</v>
      </c>
      <c r="P10" s="1">
        <v>750</v>
      </c>
      <c r="Q10" s="2">
        <f>knicks_players_all_stats[[#This Row],[FG3M2]]/knicks_players_all_stats[[#This Row],[FG3A2]]</f>
        <v>0.32</v>
      </c>
      <c r="R10" s="1">
        <v>146</v>
      </c>
      <c r="S10" s="1">
        <v>183</v>
      </c>
      <c r="T10" s="3">
        <f>knicks_players_all_stats[[#This Row],[FTM]]/knicks_players_all_stats[[#This Row],[FTA]]</f>
        <v>0.79781420765027322</v>
      </c>
      <c r="U10" s="1">
        <f>knicks_players_all_stats[[#This Row],[OREB22]]/10</f>
        <v>18</v>
      </c>
      <c r="V10" s="1">
        <f>knicks_players_all_stats[[#This Row],[DREB33]]/10</f>
        <v>89</v>
      </c>
      <c r="W10" s="1">
        <f>knicks_players_all_stats[[#This Row],[REB44]]/10</f>
        <v>107</v>
      </c>
      <c r="X10">
        <v>180</v>
      </c>
      <c r="Y10">
        <v>890</v>
      </c>
      <c r="Z10">
        <v>1070</v>
      </c>
      <c r="AA10" s="14">
        <f>knicks_players_all_stats[[#This Row],[REB]]/knicks_players_all_stats[[#This Row],[GP]]</f>
        <v>3.0571428571428569</v>
      </c>
      <c r="AB10" s="1">
        <v>216</v>
      </c>
      <c r="AC10" s="4">
        <f>knicks_players_all_stats[[#This Row],[AST]]/knicks_players_all_stats[[#This Row],[GP]]</f>
        <v>6.1714285714285717</v>
      </c>
      <c r="AD10" s="1">
        <f>knicks_players_all_stats[[#This Row],[STL2]]/10</f>
        <v>55</v>
      </c>
      <c r="AE10" s="1">
        <v>550</v>
      </c>
      <c r="AF10" s="4">
        <f>knicks_players_all_stats[[#This Row],[STL]]/knicks_players_all_stats[[#This Row],[GP]]</f>
        <v>1.5714285714285714</v>
      </c>
      <c r="AG10">
        <v>90</v>
      </c>
      <c r="AH10" s="1">
        <f>knicks_players_all_stats[[#This Row],[BLK2]]/10</f>
        <v>9</v>
      </c>
      <c r="AI10" s="4">
        <f>knicks_players_all_stats[[#This Row],[BLK]]/knicks_players_all_stats[[#This Row],[GP]]</f>
        <v>0.25714285714285712</v>
      </c>
      <c r="AJ10">
        <v>1260</v>
      </c>
      <c r="AK10" s="4">
        <f>knicks_players_all_stats[[#This Row],[BLKPG]]+knicks_players_all_stats[[#This Row],[STLPG]]+knicks_players_all_stats[[#This Row],[REBPG]]</f>
        <v>4.8857142857142852</v>
      </c>
      <c r="AL10" s="1">
        <f>knicks_players_all_stats[[#This Row],[TOV2]]/10</f>
        <v>126</v>
      </c>
      <c r="AM10" s="4">
        <f>knicks_players_all_stats[[#This Row],[TOV]]/knicks_players_all_stats[[#This Row],[GP]]</f>
        <v>3.6</v>
      </c>
      <c r="AN10" s="1">
        <v>78</v>
      </c>
      <c r="AO10" s="1">
        <f>knicks_players_all_stats[[#This Row],[PF]]/knicks_players_all_stats[[#This Row],[GP]]</f>
        <v>2.2285714285714286</v>
      </c>
      <c r="AP10" s="1">
        <v>512</v>
      </c>
      <c r="AQ10" s="4">
        <f>knicks_players_all_stats[[#This Row],[PTS]]/knicks_players_all_stats[[#This Row],[GP]]</f>
        <v>14.628571428571428</v>
      </c>
    </row>
    <row r="11" spans="1:43" customFormat="1" x14ac:dyDescent="0.3">
      <c r="A11" s="1" t="s">
        <v>1535</v>
      </c>
      <c r="B11" s="1" t="s">
        <v>1289</v>
      </c>
      <c r="C11" s="1" t="str">
        <f>knicks_players_all_stats[[#This Row],[NAME]]&amp;" ("&amp;knicks_players_all_stats[[#This Row],[SEASON]]&amp;")"</f>
        <v>Julius Randle (2020-21)</v>
      </c>
      <c r="D11" s="1">
        <f>knicks_players_all_stats[[#This Row],[PLAYER_AGE]]/10</f>
        <v>26</v>
      </c>
      <c r="E11">
        <v>260</v>
      </c>
      <c r="F11" s="1">
        <v>71</v>
      </c>
      <c r="G11" s="1">
        <v>26670</v>
      </c>
      <c r="H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1679</v>
      </c>
      <c r="I11" s="4">
        <f>knicks_players_all_stats[[#This Row],[VALORATION]]/knicks_players_all_stats[[#This Row],[GP]]</f>
        <v>23.64788732394366</v>
      </c>
      <c r="J11" s="1">
        <v>602</v>
      </c>
      <c r="K11" s="1">
        <v>1321</v>
      </c>
      <c r="L11" s="2">
        <f>knicks_players_all_stats[[#This Row],[FGM]]/knicks_players_all_stats[[#This Row],[FGA]]</f>
        <v>0.45571536714610145</v>
      </c>
      <c r="M11" s="16">
        <f>knicks_players_all_stats[[#This Row],[FG3M2]]/10</f>
        <v>160</v>
      </c>
      <c r="N11" s="1">
        <v>1600</v>
      </c>
      <c r="O11" s="1">
        <f>knicks_players_all_stats[[#This Row],[FG3A2]]/10</f>
        <v>389</v>
      </c>
      <c r="P11" s="1">
        <v>3890</v>
      </c>
      <c r="Q11" s="2">
        <f>knicks_players_all_stats[[#This Row],[FG3M2]]/knicks_players_all_stats[[#This Row],[FG3A2]]</f>
        <v>0.41131105398457585</v>
      </c>
      <c r="R11" s="1">
        <v>348</v>
      </c>
      <c r="S11" s="1">
        <v>429</v>
      </c>
      <c r="T11" s="3">
        <f>knicks_players_all_stats[[#This Row],[FTM]]/knicks_players_all_stats[[#This Row],[FTA]]</f>
        <v>0.81118881118881114</v>
      </c>
      <c r="U11" s="1">
        <f>knicks_players_all_stats[[#This Row],[OREB22]]/10</f>
        <v>84</v>
      </c>
      <c r="V11" s="1">
        <f>knicks_players_all_stats[[#This Row],[DREB33]]/10</f>
        <v>640</v>
      </c>
      <c r="W11" s="1">
        <f>knicks_players_all_stats[[#This Row],[REB44]]/10</f>
        <v>724</v>
      </c>
      <c r="X11">
        <v>840</v>
      </c>
      <c r="Y11">
        <v>6400</v>
      </c>
      <c r="Z11">
        <v>7240</v>
      </c>
      <c r="AA11" s="14">
        <f>knicks_players_all_stats[[#This Row],[REB]]/knicks_players_all_stats[[#This Row],[GP]]</f>
        <v>10.19718309859155</v>
      </c>
      <c r="AB11" s="1">
        <v>427</v>
      </c>
      <c r="AC11" s="4">
        <f>knicks_players_all_stats[[#This Row],[AST]]/knicks_players_all_stats[[#This Row],[GP]]</f>
        <v>6.0140845070422539</v>
      </c>
      <c r="AD11" s="1">
        <f>knicks_players_all_stats[[#This Row],[STL2]]/10</f>
        <v>64</v>
      </c>
      <c r="AE11" s="1">
        <v>640</v>
      </c>
      <c r="AF11" s="4">
        <f>knicks_players_all_stats[[#This Row],[STL]]/knicks_players_all_stats[[#This Row],[GP]]</f>
        <v>0.90140845070422537</v>
      </c>
      <c r="AG11">
        <v>180</v>
      </c>
      <c r="AH11" s="1">
        <f>knicks_players_all_stats[[#This Row],[BLK2]]/10</f>
        <v>18</v>
      </c>
      <c r="AI11" s="4">
        <f>knicks_players_all_stats[[#This Row],[BLK]]/knicks_players_all_stats[[#This Row],[GP]]</f>
        <v>0.25352112676056338</v>
      </c>
      <c r="AJ11">
        <v>2410</v>
      </c>
      <c r="AK11" s="4">
        <f>knicks_players_all_stats[[#This Row],[BLKPG]]+knicks_players_all_stats[[#This Row],[STLPG]]+knicks_players_all_stats[[#This Row],[REBPG]]</f>
        <v>11.352112676056338</v>
      </c>
      <c r="AL11" s="1">
        <f>knicks_players_all_stats[[#This Row],[TOV2]]/10</f>
        <v>241</v>
      </c>
      <c r="AM11" s="4">
        <f>knicks_players_all_stats[[#This Row],[TOV]]/knicks_players_all_stats[[#This Row],[GP]]</f>
        <v>3.3943661971830985</v>
      </c>
      <c r="AN11" s="1">
        <v>225</v>
      </c>
      <c r="AO11" s="1">
        <f>knicks_players_all_stats[[#This Row],[PF]]/knicks_players_all_stats[[#This Row],[GP]]</f>
        <v>3.1690140845070425</v>
      </c>
      <c r="AP11" s="1">
        <v>1712</v>
      </c>
      <c r="AQ11" s="4">
        <f>knicks_players_all_stats[[#This Row],[PTS]]/knicks_players_all_stats[[#This Row],[GP]]</f>
        <v>24.112676056338028</v>
      </c>
    </row>
    <row r="12" spans="1:43" customFormat="1" x14ac:dyDescent="0.3">
      <c r="A12" s="1" t="s">
        <v>1567</v>
      </c>
      <c r="B12" s="1" t="s">
        <v>1305</v>
      </c>
      <c r="C12" s="1" t="str">
        <f>knicks_players_all_stats[[#This Row],[NAME]]&amp;" ("&amp;knicks_players_all_stats[[#This Row],[SEASON]]&amp;")"</f>
        <v>Chris Duhon (2009-10)</v>
      </c>
      <c r="D12" s="1">
        <f>knicks_players_all_stats[[#This Row],[PLAYER_AGE]]/10</f>
        <v>27</v>
      </c>
      <c r="E12">
        <v>270</v>
      </c>
      <c r="F12" s="1">
        <v>67</v>
      </c>
      <c r="G12" s="1">
        <v>20720</v>
      </c>
      <c r="H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609</v>
      </c>
      <c r="I12" s="4">
        <f>knicks_players_all_stats[[#This Row],[VALORATION]]/knicks_players_all_stats[[#This Row],[GP]]</f>
        <v>9.08955223880597</v>
      </c>
      <c r="J12" s="1">
        <v>168</v>
      </c>
      <c r="K12" s="1">
        <v>451</v>
      </c>
      <c r="L12" s="2">
        <f>knicks_players_all_stats[[#This Row],[FGM]]/knicks_players_all_stats[[#This Row],[FGA]]</f>
        <v>0.37250554323725055</v>
      </c>
      <c r="M12" s="16">
        <f>knicks_players_all_stats[[#This Row],[FG3M2]]/10</f>
        <v>90</v>
      </c>
      <c r="N12" s="1">
        <v>900</v>
      </c>
      <c r="O12" s="1">
        <f>knicks_players_all_stats[[#This Row],[FG3A2]]/10</f>
        <v>258</v>
      </c>
      <c r="P12" s="1">
        <v>2580</v>
      </c>
      <c r="Q12" s="2">
        <f>knicks_players_all_stats[[#This Row],[FG3M2]]/knicks_players_all_stats[[#This Row],[FG3A2]]</f>
        <v>0.34883720930232559</v>
      </c>
      <c r="R12" s="1">
        <v>68</v>
      </c>
      <c r="S12" s="1">
        <v>95</v>
      </c>
      <c r="T12" s="3">
        <f>knicks_players_all_stats[[#This Row],[FTM]]/knicks_players_all_stats[[#This Row],[FTA]]</f>
        <v>0.71578947368421053</v>
      </c>
      <c r="U12" s="1">
        <f>knicks_players_all_stats[[#This Row],[OREB22]]/10</f>
        <v>28</v>
      </c>
      <c r="V12" s="1">
        <f>knicks_players_all_stats[[#This Row],[DREB33]]/10</f>
        <v>150</v>
      </c>
      <c r="W12" s="1">
        <f>knicks_players_all_stats[[#This Row],[REB44]]/10</f>
        <v>178</v>
      </c>
      <c r="X12">
        <v>280</v>
      </c>
      <c r="Y12">
        <v>1500</v>
      </c>
      <c r="Z12">
        <v>1780</v>
      </c>
      <c r="AA12" s="14">
        <f>knicks_players_all_stats[[#This Row],[REB]]/knicks_players_all_stats[[#This Row],[GP]]</f>
        <v>2.6567164179104479</v>
      </c>
      <c r="AB12" s="1">
        <v>378</v>
      </c>
      <c r="AC12" s="4">
        <f>knicks_players_all_stats[[#This Row],[AST]]/knicks_players_all_stats[[#This Row],[GP]]</f>
        <v>5.6417910447761193</v>
      </c>
      <c r="AD12" s="1">
        <f>knicks_players_all_stats[[#This Row],[STL2]]/10</f>
        <v>59</v>
      </c>
      <c r="AE12" s="1">
        <v>590</v>
      </c>
      <c r="AF12" s="4">
        <f>knicks_players_all_stats[[#This Row],[STL]]/knicks_players_all_stats[[#This Row],[GP]]</f>
        <v>0.88059701492537312</v>
      </c>
      <c r="AG12">
        <v>30</v>
      </c>
      <c r="AH12" s="1">
        <f>knicks_players_all_stats[[#This Row],[BLK2]]/10</f>
        <v>3</v>
      </c>
      <c r="AI12" s="4">
        <f>knicks_players_all_stats[[#This Row],[BLK]]/knicks_players_all_stats[[#This Row],[GP]]</f>
        <v>4.4776119402985072E-2</v>
      </c>
      <c r="AJ12">
        <v>1100</v>
      </c>
      <c r="AK12" s="4">
        <f>knicks_players_all_stats[[#This Row],[BLKPG]]+knicks_players_all_stats[[#This Row],[STLPG]]+knicks_players_all_stats[[#This Row],[REBPG]]</f>
        <v>3.5820895522388061</v>
      </c>
      <c r="AL12" s="1">
        <f>knicks_players_all_stats[[#This Row],[TOV2]]/10</f>
        <v>110</v>
      </c>
      <c r="AM12" s="4">
        <f>knicks_players_all_stats[[#This Row],[TOV]]/knicks_players_all_stats[[#This Row],[GP]]</f>
        <v>1.6417910447761195</v>
      </c>
      <c r="AN12" s="1">
        <v>83</v>
      </c>
      <c r="AO12" s="1">
        <f>knicks_players_all_stats[[#This Row],[PF]]/knicks_players_all_stats[[#This Row],[GP]]</f>
        <v>1.2388059701492538</v>
      </c>
      <c r="AP12" s="1">
        <v>494</v>
      </c>
      <c r="AQ12" s="4">
        <f>knicks_players_all_stats[[#This Row],[PTS]]/knicks_players_all_stats[[#This Row],[GP]]</f>
        <v>7.3731343283582094</v>
      </c>
    </row>
    <row r="13" spans="1:43" customFormat="1" x14ac:dyDescent="0.3">
      <c r="A13" s="1" t="s">
        <v>1757</v>
      </c>
      <c r="B13" s="1" t="s">
        <v>1465</v>
      </c>
      <c r="C13" s="1" t="str">
        <f>knicks_players_all_stats[[#This Row],[NAME]]&amp;" ("&amp;knicks_players_all_stats[[#This Row],[SEASON]]&amp;")"</f>
        <v>Mark Jackson (2000-01)</v>
      </c>
      <c r="D13" s="1">
        <f>knicks_players_all_stats[[#This Row],[PLAYER_AGE]]/10</f>
        <v>36</v>
      </c>
      <c r="E13">
        <v>360</v>
      </c>
      <c r="F13" s="1">
        <v>29</v>
      </c>
      <c r="G13" s="1">
        <v>7860</v>
      </c>
      <c r="H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246</v>
      </c>
      <c r="I13" s="4">
        <f>knicks_players_all_stats[[#This Row],[VALORATION]]/knicks_players_all_stats[[#This Row],[GP]]</f>
        <v>8.4827586206896548</v>
      </c>
      <c r="J13" s="1">
        <v>74</v>
      </c>
      <c r="K13" s="1">
        <v>180</v>
      </c>
      <c r="L13" s="1">
        <v>411</v>
      </c>
      <c r="M13" s="4">
        <f>knicks_players_all_stats[[#This Row],[FG3M2]]/10</f>
        <v>13</v>
      </c>
      <c r="N13" s="1">
        <v>130</v>
      </c>
      <c r="O13" s="1">
        <f>knicks_players_all_stats[[#This Row],[FG3A2]]/10</f>
        <v>42</v>
      </c>
      <c r="P13" s="1">
        <v>420</v>
      </c>
      <c r="Q13" s="2">
        <f>knicks_players_all_stats[[#This Row],[FG3M2]]/knicks_players_all_stats[[#This Row],[FG3A2]]</f>
        <v>0.30952380952380953</v>
      </c>
      <c r="R13" s="1">
        <v>9</v>
      </c>
      <c r="S13" s="1">
        <v>17</v>
      </c>
      <c r="T13" s="3">
        <f>knicks_players_all_stats[[#This Row],[FTM]]/knicks_players_all_stats[[#This Row],[FTA]]</f>
        <v>0.52941176470588236</v>
      </c>
      <c r="U13" s="1">
        <f>knicks_players_all_stats[[#This Row],[OREB22]]/10</f>
        <v>21</v>
      </c>
      <c r="V13" s="1">
        <f>knicks_players_all_stats[[#This Row],[DREB33]]/10</f>
        <v>99</v>
      </c>
      <c r="W13" s="1">
        <f>knicks_players_all_stats[[#This Row],[REB44]]/10</f>
        <v>120</v>
      </c>
      <c r="X13">
        <v>210</v>
      </c>
      <c r="Y13">
        <v>990</v>
      </c>
      <c r="Z13">
        <v>1200</v>
      </c>
      <c r="AA13" s="14">
        <f>knicks_players_all_stats[[#This Row],[REB]]/knicks_players_all_stats[[#This Row],[GP]]</f>
        <v>4.1379310344827589</v>
      </c>
      <c r="AB13" s="1">
        <v>163</v>
      </c>
      <c r="AC13" s="4">
        <f>knicks_players_all_stats[[#This Row],[AST]]/knicks_players_all_stats[[#This Row],[GP]]</f>
        <v>5.6206896551724137</v>
      </c>
      <c r="AD13" s="1">
        <f>knicks_players_all_stats[[#This Row],[STL2]]/10</f>
        <v>21</v>
      </c>
      <c r="AE13" s="1">
        <v>210</v>
      </c>
      <c r="AF13" s="4">
        <f>knicks_players_all_stats[[#This Row],[STL]]/knicks_players_all_stats[[#This Row],[GP]]</f>
        <v>0.72413793103448276</v>
      </c>
      <c r="AG13">
        <v>0</v>
      </c>
      <c r="AH13" s="1">
        <f>knicks_players_all_stats[[#This Row],[BLK2]]/10</f>
        <v>0</v>
      </c>
      <c r="AI13" s="4">
        <f>knicks_players_all_stats[[#This Row],[BLK]]/knicks_players_all_stats[[#This Row],[GP]]</f>
        <v>0</v>
      </c>
      <c r="AJ13">
        <v>580</v>
      </c>
      <c r="AK13" s="4">
        <f>knicks_players_all_stats[[#This Row],[BLKPG]]+knicks_players_all_stats[[#This Row],[STLPG]]+knicks_players_all_stats[[#This Row],[REBPG]]</f>
        <v>4.862068965517242</v>
      </c>
      <c r="AL13" s="1">
        <f>knicks_players_all_stats[[#This Row],[TOV2]]/10</f>
        <v>58</v>
      </c>
      <c r="AM13" s="4">
        <f>knicks_players_all_stats[[#This Row],[TOV]]/knicks_players_all_stats[[#This Row],[GP]]</f>
        <v>2</v>
      </c>
      <c r="AN13" s="1">
        <v>56</v>
      </c>
      <c r="AO13" s="1">
        <f>knicks_players_all_stats[[#This Row],[PF]]/knicks_players_all_stats[[#This Row],[GP]]</f>
        <v>1.9310344827586208</v>
      </c>
      <c r="AP13" s="1">
        <v>170</v>
      </c>
      <c r="AQ13" s="4">
        <f>knicks_players_all_stats[[#This Row],[PTS]]/knicks_players_all_stats[[#This Row],[GP]]</f>
        <v>5.8620689655172411</v>
      </c>
    </row>
    <row r="14" spans="1:43" customFormat="1" x14ac:dyDescent="0.3">
      <c r="A14" s="1" t="s">
        <v>1505</v>
      </c>
      <c r="B14" s="1" t="s">
        <v>1337</v>
      </c>
      <c r="C14" s="1" t="str">
        <f>knicks_players_all_stats[[#This Row],[NAME]]&amp;" ("&amp;knicks_players_all_stats[[#This Row],[SEASON]]&amp;")"</f>
        <v>Raymond Felton (2013-14)</v>
      </c>
      <c r="D14" s="1">
        <f>knicks_players_all_stats[[#This Row],[PLAYER_AGE]]/10</f>
        <v>30</v>
      </c>
      <c r="E14">
        <v>300</v>
      </c>
      <c r="F14" s="1">
        <v>65</v>
      </c>
      <c r="G14" s="1">
        <v>20170</v>
      </c>
      <c r="H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609</v>
      </c>
      <c r="I14" s="4">
        <f>knicks_players_all_stats[[#This Row],[VALORATION]]/knicks_players_all_stats[[#This Row],[GP]]</f>
        <v>9.3692307692307697</v>
      </c>
      <c r="J14" s="1">
        <v>240</v>
      </c>
      <c r="K14" s="1">
        <v>608</v>
      </c>
      <c r="L14" s="2">
        <f>knicks_players_all_stats[[#This Row],[FGM]]/knicks_players_all_stats[[#This Row],[FGA]]</f>
        <v>0.39473684210526316</v>
      </c>
      <c r="M14" s="16">
        <f>knicks_players_all_stats[[#This Row],[FG3M2]]/10</f>
        <v>62</v>
      </c>
      <c r="N14" s="1">
        <v>620</v>
      </c>
      <c r="O14" s="1">
        <f>knicks_players_all_stats[[#This Row],[FG3A2]]/10</f>
        <v>195</v>
      </c>
      <c r="P14" s="1">
        <v>1950</v>
      </c>
      <c r="Q14" s="2">
        <f>knicks_players_all_stats[[#This Row],[FG3M2]]/knicks_players_all_stats[[#This Row],[FG3A2]]</f>
        <v>0.31794871794871793</v>
      </c>
      <c r="R14" s="1">
        <v>88</v>
      </c>
      <c r="S14" s="1">
        <v>122</v>
      </c>
      <c r="T14" s="3">
        <f>knicks_players_all_stats[[#This Row],[FTM]]/knicks_players_all_stats[[#This Row],[FTA]]</f>
        <v>0.72131147540983609</v>
      </c>
      <c r="U14" s="1">
        <f>knicks_players_all_stats[[#This Row],[OREB22]]/10</f>
        <v>54</v>
      </c>
      <c r="V14" s="1">
        <f>knicks_players_all_stats[[#This Row],[DREB33]]/10</f>
        <v>143</v>
      </c>
      <c r="W14" s="1">
        <f>knicks_players_all_stats[[#This Row],[REB44]]/10</f>
        <v>197</v>
      </c>
      <c r="X14">
        <v>540</v>
      </c>
      <c r="Y14">
        <v>1430</v>
      </c>
      <c r="Z14">
        <v>1970</v>
      </c>
      <c r="AA14" s="14">
        <f>knicks_players_all_stats[[#This Row],[REB]]/knicks_players_all_stats[[#This Row],[GP]]</f>
        <v>3.0307692307692307</v>
      </c>
      <c r="AB14" s="1">
        <v>365</v>
      </c>
      <c r="AC14" s="4">
        <f>knicks_players_all_stats[[#This Row],[AST]]/knicks_players_all_stats[[#This Row],[GP]]</f>
        <v>5.615384615384615</v>
      </c>
      <c r="AD14" s="1">
        <f>knicks_players_all_stats[[#This Row],[STL2]]/10</f>
        <v>78</v>
      </c>
      <c r="AE14" s="1">
        <v>780</v>
      </c>
      <c r="AF14" s="4">
        <f>knicks_players_all_stats[[#This Row],[STL]]/knicks_players_all_stats[[#This Row],[GP]]</f>
        <v>1.2</v>
      </c>
      <c r="AG14">
        <v>270</v>
      </c>
      <c r="AH14" s="1">
        <f>knicks_players_all_stats[[#This Row],[BLK2]]/10</f>
        <v>27</v>
      </c>
      <c r="AI14" s="4">
        <f>knicks_players_all_stats[[#This Row],[BLK]]/knicks_players_all_stats[[#This Row],[GP]]</f>
        <v>0.41538461538461541</v>
      </c>
      <c r="AJ14">
        <v>1290</v>
      </c>
      <c r="AK14" s="4">
        <f>knicks_players_all_stats[[#This Row],[BLKPG]]+knicks_players_all_stats[[#This Row],[STLPG]]+knicks_players_all_stats[[#This Row],[REBPG]]</f>
        <v>4.6461538461538456</v>
      </c>
      <c r="AL14" s="1">
        <f>knicks_players_all_stats[[#This Row],[TOV2]]/10</f>
        <v>129</v>
      </c>
      <c r="AM14" s="4">
        <f>knicks_players_all_stats[[#This Row],[TOV]]/knicks_players_all_stats[[#This Row],[GP]]</f>
        <v>1.9846153846153847</v>
      </c>
      <c r="AN14" s="1">
        <v>157</v>
      </c>
      <c r="AO14" s="1">
        <f>knicks_players_all_stats[[#This Row],[PF]]/knicks_players_all_stats[[#This Row],[GP]]</f>
        <v>2.4153846153846152</v>
      </c>
      <c r="AP14" s="1">
        <v>630</v>
      </c>
      <c r="AQ14" s="4">
        <f>knicks_players_all_stats[[#This Row],[PTS]]/knicks_players_all_stats[[#This Row],[GP]]</f>
        <v>9.6923076923076916</v>
      </c>
    </row>
    <row r="15" spans="1:43" customFormat="1" x14ac:dyDescent="0.3">
      <c r="A15" s="1" t="s">
        <v>1775</v>
      </c>
      <c r="B15" s="1" t="s">
        <v>1259</v>
      </c>
      <c r="C15" s="1" t="str">
        <f>knicks_players_all_stats[[#This Row],[NAME]]&amp;" ("&amp;knicks_players_all_stats[[#This Row],[SEASON]]&amp;")"</f>
        <v>Jarrett Jack (2017-18)</v>
      </c>
      <c r="D15" s="1">
        <f>knicks_players_all_stats[[#This Row],[PLAYER_AGE]]/10</f>
        <v>34</v>
      </c>
      <c r="E15">
        <v>340</v>
      </c>
      <c r="F15" s="1">
        <v>62</v>
      </c>
      <c r="G15" s="1">
        <v>15480</v>
      </c>
      <c r="H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565</v>
      </c>
      <c r="I15" s="4">
        <f>knicks_players_all_stats[[#This Row],[VALORATION]]/knicks_players_all_stats[[#This Row],[GP]]</f>
        <v>9.112903225806452</v>
      </c>
      <c r="J15" s="1">
        <v>189</v>
      </c>
      <c r="K15" s="1">
        <v>443</v>
      </c>
      <c r="L15" s="1">
        <v>427</v>
      </c>
      <c r="M15" s="4">
        <f>knicks_players_all_stats[[#This Row],[FG3M2]]/10</f>
        <v>25</v>
      </c>
      <c r="N15" s="1">
        <v>250</v>
      </c>
      <c r="O15" s="1">
        <f>knicks_players_all_stats[[#This Row],[FG3A2]]/10</f>
        <v>86</v>
      </c>
      <c r="P15" s="1">
        <v>860</v>
      </c>
      <c r="Q15" s="2">
        <f>knicks_players_all_stats[[#This Row],[FG3M2]]/knicks_players_all_stats[[#This Row],[FG3A2]]</f>
        <v>0.29069767441860467</v>
      </c>
      <c r="R15" s="1">
        <v>63</v>
      </c>
      <c r="S15" s="1">
        <v>75</v>
      </c>
      <c r="T15" s="3">
        <f>knicks_players_all_stats[[#This Row],[FTM]]/knicks_players_all_stats[[#This Row],[FTA]]</f>
        <v>0.84</v>
      </c>
      <c r="U15" s="1">
        <f>knicks_players_all_stats[[#This Row],[OREB22]]/10</f>
        <v>22</v>
      </c>
      <c r="V15" s="1">
        <f>knicks_players_all_stats[[#This Row],[DREB33]]/10</f>
        <v>169</v>
      </c>
      <c r="W15" s="1">
        <f>knicks_players_all_stats[[#This Row],[REB44]]/10</f>
        <v>191</v>
      </c>
      <c r="X15">
        <v>220</v>
      </c>
      <c r="Y15">
        <v>1690</v>
      </c>
      <c r="Z15">
        <v>1910</v>
      </c>
      <c r="AA15" s="14">
        <f>knicks_players_all_stats[[#This Row],[REB]]/knicks_players_all_stats[[#This Row],[GP]]</f>
        <v>3.0806451612903225</v>
      </c>
      <c r="AB15" s="1">
        <v>348</v>
      </c>
      <c r="AC15" s="4">
        <f>knicks_players_all_stats[[#This Row],[AST]]/knicks_players_all_stats[[#This Row],[GP]]</f>
        <v>5.612903225806452</v>
      </c>
      <c r="AD15" s="1">
        <f>knicks_players_all_stats[[#This Row],[STL2]]/10</f>
        <v>35</v>
      </c>
      <c r="AE15" s="1">
        <v>350</v>
      </c>
      <c r="AF15" s="4">
        <f>knicks_players_all_stats[[#This Row],[STL]]/knicks_players_all_stats[[#This Row],[GP]]</f>
        <v>0.56451612903225812</v>
      </c>
      <c r="AG15">
        <v>40</v>
      </c>
      <c r="AH15" s="1">
        <f>knicks_players_all_stats[[#This Row],[BLK2]]/10</f>
        <v>4</v>
      </c>
      <c r="AI15" s="4">
        <f>knicks_players_all_stats[[#This Row],[BLK]]/knicks_players_all_stats[[#This Row],[GP]]</f>
        <v>6.4516129032258063E-2</v>
      </c>
      <c r="AJ15">
        <v>1150</v>
      </c>
      <c r="AK15" s="4">
        <f>knicks_players_all_stats[[#This Row],[BLKPG]]+knicks_players_all_stats[[#This Row],[STLPG]]+knicks_players_all_stats[[#This Row],[REBPG]]</f>
        <v>3.709677419354839</v>
      </c>
      <c r="AL15" s="1">
        <f>knicks_players_all_stats[[#This Row],[TOV2]]/10</f>
        <v>115</v>
      </c>
      <c r="AM15" s="4">
        <f>knicks_players_all_stats[[#This Row],[TOV]]/knicks_players_all_stats[[#This Row],[GP]]</f>
        <v>1.8548387096774193</v>
      </c>
      <c r="AN15" s="1">
        <v>98</v>
      </c>
      <c r="AO15" s="1">
        <f>knicks_players_all_stats[[#This Row],[PF]]/knicks_players_all_stats[[#This Row],[GP]]</f>
        <v>1.5806451612903225</v>
      </c>
      <c r="AP15" s="1">
        <v>466</v>
      </c>
      <c r="AQ15" s="4">
        <f>knicks_players_all_stats[[#This Row],[PTS]]/knicks_players_all_stats[[#This Row],[GP]]</f>
        <v>7.5161290322580649</v>
      </c>
    </row>
    <row r="16" spans="1:43" customFormat="1" x14ac:dyDescent="0.3">
      <c r="A16" s="1" t="s">
        <v>1425</v>
      </c>
      <c r="B16" s="1" t="s">
        <v>1312</v>
      </c>
      <c r="C16" s="1" t="str">
        <f>knicks_players_all_stats[[#This Row],[NAME]]&amp;" ("&amp;knicks_players_all_stats[[#This Row],[SEASON]]&amp;")"</f>
        <v>Chauncey Billups (2010-11)</v>
      </c>
      <c r="D16" s="1">
        <f>knicks_players_all_stats[[#This Row],[PLAYER_AGE]]/10</f>
        <v>34</v>
      </c>
      <c r="E16">
        <v>340</v>
      </c>
      <c r="F16" s="1">
        <v>21</v>
      </c>
      <c r="G16" s="1">
        <v>6640</v>
      </c>
      <c r="H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303</v>
      </c>
      <c r="I16" s="4">
        <f>knicks_players_all_stats[[#This Row],[VALORATION]]/knicks_players_all_stats[[#This Row],[GP]]</f>
        <v>14.428571428571429</v>
      </c>
      <c r="J16" s="1">
        <v>104</v>
      </c>
      <c r="K16" s="1">
        <v>258</v>
      </c>
      <c r="L16" s="2">
        <f>knicks_players_all_stats[[#This Row],[FGM]]/knicks_players_all_stats[[#This Row],[FGA]]</f>
        <v>0.40310077519379844</v>
      </c>
      <c r="M16" s="16">
        <f>knicks_players_all_stats[[#This Row],[FG3M2]]/10</f>
        <v>41</v>
      </c>
      <c r="N16" s="1">
        <v>410</v>
      </c>
      <c r="O16" s="1">
        <f>knicks_players_all_stats[[#This Row],[FG3A2]]/10</f>
        <v>125</v>
      </c>
      <c r="P16" s="1">
        <v>1250</v>
      </c>
      <c r="Q16" s="2">
        <f>knicks_players_all_stats[[#This Row],[FG3M2]]/knicks_players_all_stats[[#This Row],[FG3A2]]</f>
        <v>0.32800000000000001</v>
      </c>
      <c r="R16" s="1">
        <v>119</v>
      </c>
      <c r="S16" s="1">
        <v>132</v>
      </c>
      <c r="T16" s="3">
        <f>knicks_players_all_stats[[#This Row],[FTM]]/knicks_players_all_stats[[#This Row],[FTA]]</f>
        <v>0.90151515151515149</v>
      </c>
      <c r="U16" s="1">
        <f>knicks_players_all_stats[[#This Row],[OREB22]]/10</f>
        <v>13</v>
      </c>
      <c r="V16" s="1">
        <f>knicks_players_all_stats[[#This Row],[DREB33]]/10</f>
        <v>52</v>
      </c>
      <c r="W16" s="1">
        <f>knicks_players_all_stats[[#This Row],[REB44]]/10</f>
        <v>65</v>
      </c>
      <c r="X16">
        <v>130</v>
      </c>
      <c r="Y16">
        <v>520</v>
      </c>
      <c r="Z16">
        <v>650</v>
      </c>
      <c r="AA16" s="14">
        <f>knicks_players_all_stats[[#This Row],[REB]]/knicks_players_all_stats[[#This Row],[GP]]</f>
        <v>3.0952380952380953</v>
      </c>
      <c r="AB16" s="1">
        <v>116</v>
      </c>
      <c r="AC16" s="4">
        <f>knicks_players_all_stats[[#This Row],[AST]]/knicks_players_all_stats[[#This Row],[GP]]</f>
        <v>5.5238095238095237</v>
      </c>
      <c r="AD16" s="1">
        <f>knicks_players_all_stats[[#This Row],[STL2]]/10</f>
        <v>19</v>
      </c>
      <c r="AE16" s="1">
        <v>190</v>
      </c>
      <c r="AF16" s="4">
        <f>knicks_players_all_stats[[#This Row],[STL]]/knicks_players_all_stats[[#This Row],[GP]]</f>
        <v>0.90476190476190477</v>
      </c>
      <c r="AG16">
        <v>20</v>
      </c>
      <c r="AH16" s="1">
        <f>knicks_players_all_stats[[#This Row],[BLK2]]/10</f>
        <v>2</v>
      </c>
      <c r="AI16" s="4">
        <f>knicks_players_all_stats[[#This Row],[BLK]]/knicks_players_all_stats[[#This Row],[GP]]</f>
        <v>9.5238095238095233E-2</v>
      </c>
      <c r="AJ16">
        <v>480</v>
      </c>
      <c r="AK16" s="4">
        <f>knicks_players_all_stats[[#This Row],[BLKPG]]+knicks_players_all_stats[[#This Row],[STLPG]]+knicks_players_all_stats[[#This Row],[REBPG]]</f>
        <v>4.0952380952380949</v>
      </c>
      <c r="AL16" s="1">
        <f>knicks_players_all_stats[[#This Row],[TOV2]]/10</f>
        <v>48</v>
      </c>
      <c r="AM16" s="4">
        <f>knicks_players_all_stats[[#This Row],[TOV]]/knicks_players_all_stats[[#This Row],[GP]]</f>
        <v>2.2857142857142856</v>
      </c>
      <c r="AN16" s="1">
        <v>52</v>
      </c>
      <c r="AO16" s="1">
        <f>knicks_players_all_stats[[#This Row],[PF]]/knicks_players_all_stats[[#This Row],[GP]]</f>
        <v>2.4761904761904763</v>
      </c>
      <c r="AP16" s="1">
        <v>368</v>
      </c>
      <c r="AQ16" s="4">
        <f>knicks_players_all_stats[[#This Row],[PTS]]/knicks_players_all_stats[[#This Row],[GP]]</f>
        <v>17.523809523809526</v>
      </c>
    </row>
    <row r="17" spans="1:43" customFormat="1" x14ac:dyDescent="0.3">
      <c r="A17" s="1" t="s">
        <v>1505</v>
      </c>
      <c r="B17" s="1" t="s">
        <v>1292</v>
      </c>
      <c r="C17" s="1" t="str">
        <f>knicks_players_all_stats[[#This Row],[NAME]]&amp;" ("&amp;knicks_players_all_stats[[#This Row],[SEASON]]&amp;")"</f>
        <v>Raymond Felton (2012-13)</v>
      </c>
      <c r="D17" s="1">
        <f>knicks_players_all_stats[[#This Row],[PLAYER_AGE]]/10</f>
        <v>29</v>
      </c>
      <c r="E17">
        <v>290</v>
      </c>
      <c r="F17" s="1">
        <v>68</v>
      </c>
      <c r="G17" s="1">
        <v>23130</v>
      </c>
      <c r="H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805</v>
      </c>
      <c r="I17" s="4">
        <f>knicks_players_all_stats[[#This Row],[VALORATION]]/knicks_players_all_stats[[#This Row],[GP]]</f>
        <v>11.838235294117647</v>
      </c>
      <c r="J17" s="1">
        <v>377</v>
      </c>
      <c r="K17" s="1">
        <v>882</v>
      </c>
      <c r="L17" s="2">
        <f>knicks_players_all_stats[[#This Row],[FGM]]/knicks_players_all_stats[[#This Row],[FGA]]</f>
        <v>0.42743764172335602</v>
      </c>
      <c r="M17" s="16">
        <f>knicks_players_all_stats[[#This Row],[FG3M2]]/10</f>
        <v>93</v>
      </c>
      <c r="N17" s="1">
        <v>930</v>
      </c>
      <c r="O17" s="1">
        <f>knicks_players_all_stats[[#This Row],[FG3A2]]/10</f>
        <v>258</v>
      </c>
      <c r="P17" s="1">
        <v>2580</v>
      </c>
      <c r="Q17" s="2">
        <f>knicks_players_all_stats[[#This Row],[FG3M2]]/knicks_players_all_stats[[#This Row],[FG3A2]]</f>
        <v>0.36046511627906974</v>
      </c>
      <c r="R17" s="1">
        <v>101</v>
      </c>
      <c r="S17" s="1">
        <v>128</v>
      </c>
      <c r="T17" s="3">
        <f>knicks_players_all_stats[[#This Row],[FTM]]/knicks_players_all_stats[[#This Row],[FTA]]</f>
        <v>0.7890625</v>
      </c>
      <c r="U17" s="1">
        <f>knicks_players_all_stats[[#This Row],[OREB22]]/10</f>
        <v>51</v>
      </c>
      <c r="V17" s="1">
        <f>knicks_players_all_stats[[#This Row],[DREB33]]/10</f>
        <v>143</v>
      </c>
      <c r="W17" s="1">
        <f>knicks_players_all_stats[[#This Row],[REB44]]/10</f>
        <v>194</v>
      </c>
      <c r="X17">
        <v>510</v>
      </c>
      <c r="Y17">
        <v>1430</v>
      </c>
      <c r="Z17">
        <v>1940</v>
      </c>
      <c r="AA17" s="14">
        <f>knicks_players_all_stats[[#This Row],[REB]]/knicks_players_all_stats[[#This Row],[GP]]</f>
        <v>2.8529411764705883</v>
      </c>
      <c r="AB17" s="1">
        <v>372</v>
      </c>
      <c r="AC17" s="4">
        <f>knicks_players_all_stats[[#This Row],[AST]]/knicks_players_all_stats[[#This Row],[GP]]</f>
        <v>5.4705882352941178</v>
      </c>
      <c r="AD17" s="1">
        <f>knicks_players_all_stats[[#This Row],[STL2]]/10</f>
        <v>94</v>
      </c>
      <c r="AE17" s="1">
        <v>940</v>
      </c>
      <c r="AF17" s="4">
        <f>knicks_players_all_stats[[#This Row],[STL]]/knicks_players_all_stats[[#This Row],[GP]]</f>
        <v>1.3823529411764706</v>
      </c>
      <c r="AG17">
        <v>140</v>
      </c>
      <c r="AH17" s="1">
        <f>knicks_players_all_stats[[#This Row],[BLK2]]/10</f>
        <v>14</v>
      </c>
      <c r="AI17" s="4">
        <f>knicks_players_all_stats[[#This Row],[BLK]]/knicks_players_all_stats[[#This Row],[GP]]</f>
        <v>0.20588235294117646</v>
      </c>
      <c r="AJ17">
        <v>1550</v>
      </c>
      <c r="AK17" s="4">
        <f>knicks_players_all_stats[[#This Row],[BLKPG]]+knicks_players_all_stats[[#This Row],[STLPG]]+knicks_players_all_stats[[#This Row],[REBPG]]</f>
        <v>4.4411764705882355</v>
      </c>
      <c r="AL17" s="1">
        <f>knicks_players_all_stats[[#This Row],[TOV2]]/10</f>
        <v>155</v>
      </c>
      <c r="AM17" s="4">
        <f>knicks_players_all_stats[[#This Row],[TOV]]/knicks_players_all_stats[[#This Row],[GP]]</f>
        <v>2.2794117647058822</v>
      </c>
      <c r="AN17" s="1">
        <v>130</v>
      </c>
      <c r="AO17" s="1">
        <f>knicks_players_all_stats[[#This Row],[PF]]/knicks_players_all_stats[[#This Row],[GP]]</f>
        <v>1.911764705882353</v>
      </c>
      <c r="AP17" s="1">
        <v>948</v>
      </c>
      <c r="AQ17" s="4">
        <f>knicks_players_all_stats[[#This Row],[PTS]]/knicks_players_all_stats[[#This Row],[GP]]</f>
        <v>13.941176470588236</v>
      </c>
    </row>
    <row r="18" spans="1:43" customFormat="1" x14ac:dyDescent="0.3">
      <c r="A18" s="1" t="s">
        <v>1498</v>
      </c>
      <c r="B18" s="1" t="s">
        <v>1302</v>
      </c>
      <c r="C18" s="1" t="str">
        <f>knicks_players_all_stats[[#This Row],[NAME]]&amp;" ("&amp;knicks_players_all_stats[[#This Row],[SEASON]]&amp;")"</f>
        <v>Stephon Marbury (2006-07)</v>
      </c>
      <c r="D18" s="1">
        <f>knicks_players_all_stats[[#This Row],[PLAYER_AGE]]/10</f>
        <v>30</v>
      </c>
      <c r="E18">
        <v>300</v>
      </c>
      <c r="F18" s="1">
        <v>74</v>
      </c>
      <c r="G18" s="1">
        <v>27480</v>
      </c>
      <c r="H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897</v>
      </c>
      <c r="I18" s="4">
        <f>knicks_players_all_stats[[#This Row],[VALORATION]]/knicks_players_all_stats[[#This Row],[GP]]</f>
        <v>12.121621621621621</v>
      </c>
      <c r="J18" s="1">
        <v>395</v>
      </c>
      <c r="K18" s="1">
        <v>952</v>
      </c>
      <c r="L18" s="2">
        <f>knicks_players_all_stats[[#This Row],[FGM]]/knicks_players_all_stats[[#This Row],[FGA]]</f>
        <v>0.41491596638655465</v>
      </c>
      <c r="M18" s="16">
        <f>knicks_players_all_stats[[#This Row],[FG3M2]]/10</f>
        <v>123</v>
      </c>
      <c r="N18" s="1">
        <v>1230</v>
      </c>
      <c r="O18" s="1">
        <f>knicks_players_all_stats[[#This Row],[FG3A2]]/10</f>
        <v>345</v>
      </c>
      <c r="P18" s="1">
        <v>3450</v>
      </c>
      <c r="Q18" s="2">
        <f>knicks_players_all_stats[[#This Row],[FG3M2]]/knicks_players_all_stats[[#This Row],[FG3A2]]</f>
        <v>0.35652173913043478</v>
      </c>
      <c r="R18" s="1">
        <v>297</v>
      </c>
      <c r="S18" s="1">
        <v>386</v>
      </c>
      <c r="T18" s="3">
        <f>knicks_players_all_stats[[#This Row],[FTM]]/knicks_players_all_stats[[#This Row],[FTA]]</f>
        <v>0.76943005181347146</v>
      </c>
      <c r="U18" s="1">
        <f>knicks_players_all_stats[[#This Row],[OREB22]]/10</f>
        <v>36</v>
      </c>
      <c r="V18" s="1">
        <f>knicks_players_all_stats[[#This Row],[DREB33]]/10</f>
        <v>177</v>
      </c>
      <c r="W18" s="1">
        <f>knicks_players_all_stats[[#This Row],[REB44]]/10</f>
        <v>213</v>
      </c>
      <c r="X18">
        <v>360</v>
      </c>
      <c r="Y18">
        <v>1770</v>
      </c>
      <c r="Z18">
        <v>2130</v>
      </c>
      <c r="AA18" s="14">
        <f>knicks_players_all_stats[[#This Row],[REB]]/knicks_players_all_stats[[#This Row],[GP]]</f>
        <v>2.8783783783783785</v>
      </c>
      <c r="AB18" s="1">
        <v>403</v>
      </c>
      <c r="AC18" s="4">
        <f>knicks_players_all_stats[[#This Row],[AST]]/knicks_players_all_stats[[#This Row],[GP]]</f>
        <v>5.4459459459459456</v>
      </c>
      <c r="AD18" s="1">
        <f>knicks_players_all_stats[[#This Row],[STL2]]/10</f>
        <v>71</v>
      </c>
      <c r="AE18" s="1">
        <v>710</v>
      </c>
      <c r="AF18" s="4">
        <f>knicks_players_all_stats[[#This Row],[STL]]/knicks_players_all_stats[[#This Row],[GP]]</f>
        <v>0.95945945945945943</v>
      </c>
      <c r="AG18">
        <v>100</v>
      </c>
      <c r="AH18" s="1">
        <f>knicks_players_all_stats[[#This Row],[BLK2]]/10</f>
        <v>10</v>
      </c>
      <c r="AI18" s="4">
        <f>knicks_players_all_stats[[#This Row],[BLK]]/knicks_players_all_stats[[#This Row],[GP]]</f>
        <v>0.13513513513513514</v>
      </c>
      <c r="AJ18">
        <v>1790</v>
      </c>
      <c r="AK18" s="4">
        <f>knicks_players_all_stats[[#This Row],[BLKPG]]+knicks_players_all_stats[[#This Row],[STLPG]]+knicks_players_all_stats[[#This Row],[REBPG]]</f>
        <v>3.9729729729729728</v>
      </c>
      <c r="AL18" s="1">
        <f>knicks_players_all_stats[[#This Row],[TOV2]]/10</f>
        <v>179</v>
      </c>
      <c r="AM18" s="4">
        <f>knicks_players_all_stats[[#This Row],[TOV]]/knicks_players_all_stats[[#This Row],[GP]]</f>
        <v>2.4189189189189189</v>
      </c>
      <c r="AN18" s="1">
        <v>185</v>
      </c>
      <c r="AO18" s="1">
        <f>knicks_players_all_stats[[#This Row],[PF]]/knicks_players_all_stats[[#This Row],[GP]]</f>
        <v>2.5</v>
      </c>
      <c r="AP18" s="1">
        <v>1210</v>
      </c>
      <c r="AQ18" s="4">
        <f>knicks_players_all_stats[[#This Row],[PTS]]/knicks_players_all_stats[[#This Row],[GP]]</f>
        <v>16.351351351351351</v>
      </c>
    </row>
    <row r="19" spans="1:43" customFormat="1" x14ac:dyDescent="0.3">
      <c r="A19" s="1" t="s">
        <v>1544</v>
      </c>
      <c r="B19" s="1" t="s">
        <v>1325</v>
      </c>
      <c r="C19" s="1" t="str">
        <f>knicks_players_all_stats[[#This Row],[NAME]]&amp;" ("&amp;knicks_players_all_stats[[#This Row],[SEASON]]&amp;")"</f>
        <v>Howard Eisley (2002-03)</v>
      </c>
      <c r="D19" s="1">
        <f>knicks_players_all_stats[[#This Row],[PLAYER_AGE]]/10</f>
        <v>30</v>
      </c>
      <c r="E19">
        <v>300</v>
      </c>
      <c r="F19" s="1">
        <v>82</v>
      </c>
      <c r="G19" s="1">
        <v>22430</v>
      </c>
      <c r="H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701</v>
      </c>
      <c r="I19" s="4">
        <f>knicks_players_all_stats[[#This Row],[VALORATION]]/knicks_players_all_stats[[#This Row],[GP]]</f>
        <v>8.5487804878048781</v>
      </c>
      <c r="J19" s="1">
        <v>262</v>
      </c>
      <c r="K19" s="1">
        <v>628</v>
      </c>
      <c r="L19" s="2">
        <f>knicks_players_all_stats[[#This Row],[FGM]]/knicks_players_all_stats[[#This Row],[FGA]]</f>
        <v>0.41719745222929938</v>
      </c>
      <c r="M19" s="16">
        <f>knicks_players_all_stats[[#This Row],[FG3M2]]/10</f>
        <v>131</v>
      </c>
      <c r="N19" s="1">
        <v>1310</v>
      </c>
      <c r="O19" s="1">
        <f>knicks_players_all_stats[[#This Row],[FG3A2]]/10</f>
        <v>337</v>
      </c>
      <c r="P19" s="1">
        <v>3370</v>
      </c>
      <c r="Q19" s="2">
        <f>knicks_players_all_stats[[#This Row],[FG3M2]]/knicks_players_all_stats[[#This Row],[FG3A2]]</f>
        <v>0.38872403560830859</v>
      </c>
      <c r="R19" s="1">
        <v>89</v>
      </c>
      <c r="S19" s="1">
        <v>105</v>
      </c>
      <c r="T19" s="3">
        <f>knicks_players_all_stats[[#This Row],[FTM]]/knicks_players_all_stats[[#This Row],[FTA]]</f>
        <v>0.84761904761904761</v>
      </c>
      <c r="U19" s="1">
        <f>knicks_players_all_stats[[#This Row],[OREB22]]/10</f>
        <v>24</v>
      </c>
      <c r="V19" s="1">
        <f>knicks_players_all_stats[[#This Row],[DREB33]]/10</f>
        <v>162</v>
      </c>
      <c r="W19" s="1">
        <f>knicks_players_all_stats[[#This Row],[REB44]]/10</f>
        <v>186</v>
      </c>
      <c r="X19">
        <v>240</v>
      </c>
      <c r="Y19">
        <v>1620</v>
      </c>
      <c r="Z19">
        <v>1860</v>
      </c>
      <c r="AA19" s="14">
        <f>knicks_players_all_stats[[#This Row],[REB]]/knicks_players_all_stats[[#This Row],[GP]]</f>
        <v>2.2682926829268291</v>
      </c>
      <c r="AB19" s="1">
        <v>444</v>
      </c>
      <c r="AC19" s="4">
        <f>knicks_players_all_stats[[#This Row],[AST]]/knicks_players_all_stats[[#This Row],[GP]]</f>
        <v>5.4146341463414638</v>
      </c>
      <c r="AD19" s="1">
        <f>knicks_players_all_stats[[#This Row],[STL2]]/10</f>
        <v>71</v>
      </c>
      <c r="AE19" s="1">
        <v>710</v>
      </c>
      <c r="AF19" s="4">
        <f>knicks_players_all_stats[[#This Row],[STL]]/knicks_players_all_stats[[#This Row],[GP]]</f>
        <v>0.86585365853658536</v>
      </c>
      <c r="AG19">
        <v>90</v>
      </c>
      <c r="AH19" s="1">
        <f>knicks_players_all_stats[[#This Row],[BLK2]]/10</f>
        <v>9</v>
      </c>
      <c r="AI19" s="4">
        <f>knicks_players_all_stats[[#This Row],[BLK]]/knicks_players_all_stats[[#This Row],[GP]]</f>
        <v>0.10975609756097561</v>
      </c>
      <c r="AJ19">
        <v>1490</v>
      </c>
      <c r="AK19" s="4">
        <f>knicks_players_all_stats[[#This Row],[BLKPG]]+knicks_players_all_stats[[#This Row],[STLPG]]+knicks_players_all_stats[[#This Row],[REBPG]]</f>
        <v>3.24390243902439</v>
      </c>
      <c r="AL19" s="1">
        <f>knicks_players_all_stats[[#This Row],[TOV2]]/10</f>
        <v>149</v>
      </c>
      <c r="AM19" s="4">
        <f>knicks_players_all_stats[[#This Row],[TOV]]/knicks_players_all_stats[[#This Row],[GP]]</f>
        <v>1.8170731707317074</v>
      </c>
      <c r="AN19" s="1">
        <v>222</v>
      </c>
      <c r="AO19" s="1">
        <f>knicks_players_all_stats[[#This Row],[PF]]/knicks_players_all_stats[[#This Row],[GP]]</f>
        <v>2.7073170731707319</v>
      </c>
      <c r="AP19" s="1">
        <v>744</v>
      </c>
      <c r="AQ19" s="4">
        <f>knicks_players_all_stats[[#This Row],[PTS]]/knicks_players_all_stats[[#This Row],[GP]]</f>
        <v>9.0731707317073162</v>
      </c>
    </row>
    <row r="20" spans="1:43" customFormat="1" x14ac:dyDescent="0.3">
      <c r="A20" s="1" t="s">
        <v>1535</v>
      </c>
      <c r="B20" s="1" t="s">
        <v>1308</v>
      </c>
      <c r="C20" s="1" t="str">
        <f>knicks_players_all_stats[[#This Row],[NAME]]&amp;" ("&amp;knicks_players_all_stats[[#This Row],[SEASON]]&amp;")"</f>
        <v>Julius Randle (2021-22)</v>
      </c>
      <c r="D20" s="1">
        <f>knicks_players_all_stats[[#This Row],[PLAYER_AGE]]/10</f>
        <v>27</v>
      </c>
      <c r="E20">
        <v>270</v>
      </c>
      <c r="F20" s="1">
        <v>72</v>
      </c>
      <c r="G20" s="1">
        <v>25440</v>
      </c>
      <c r="H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1343</v>
      </c>
      <c r="I20" s="4">
        <f>knicks_players_all_stats[[#This Row],[VALORATION]]/knicks_players_all_stats[[#This Row],[GP]]</f>
        <v>18.652777777777779</v>
      </c>
      <c r="J20" s="1">
        <v>512</v>
      </c>
      <c r="K20" s="1">
        <v>1246</v>
      </c>
      <c r="L20" s="2">
        <f>knicks_players_all_stats[[#This Row],[FGM]]/knicks_players_all_stats[[#This Row],[FGA]]</f>
        <v>0.41091492776886035</v>
      </c>
      <c r="M20" s="16">
        <f>knicks_players_all_stats[[#This Row],[FG3M2]]/10</f>
        <v>120</v>
      </c>
      <c r="N20" s="1">
        <v>1200</v>
      </c>
      <c r="O20" s="1">
        <f>knicks_players_all_stats[[#This Row],[FG3A2]]/10</f>
        <v>390</v>
      </c>
      <c r="P20" s="1">
        <v>3900</v>
      </c>
      <c r="Q20" s="2">
        <f>knicks_players_all_stats[[#This Row],[FG3M2]]/knicks_players_all_stats[[#This Row],[FG3A2]]</f>
        <v>0.30769230769230771</v>
      </c>
      <c r="R20" s="1">
        <v>303</v>
      </c>
      <c r="S20" s="1">
        <v>401</v>
      </c>
      <c r="T20" s="3">
        <f>knicks_players_all_stats[[#This Row],[FTM]]/knicks_players_all_stats[[#This Row],[FTA]]</f>
        <v>0.75561097256857856</v>
      </c>
      <c r="U20" s="1">
        <f>knicks_players_all_stats[[#This Row],[OREB22]]/10</f>
        <v>125</v>
      </c>
      <c r="V20" s="1">
        <f>knicks_players_all_stats[[#This Row],[DREB33]]/10</f>
        <v>591</v>
      </c>
      <c r="W20" s="1">
        <f>knicks_players_all_stats[[#This Row],[REB44]]/10</f>
        <v>716</v>
      </c>
      <c r="X20">
        <v>1250</v>
      </c>
      <c r="Y20">
        <v>5910</v>
      </c>
      <c r="Z20">
        <v>7160</v>
      </c>
      <c r="AA20" s="14">
        <f>knicks_players_all_stats[[#This Row],[REB]]/knicks_players_all_stats[[#This Row],[GP]]</f>
        <v>9.9444444444444446</v>
      </c>
      <c r="AB20" s="1">
        <v>370</v>
      </c>
      <c r="AC20" s="4">
        <f>knicks_players_all_stats[[#This Row],[AST]]/knicks_players_all_stats[[#This Row],[GP]]</f>
        <v>5.1388888888888893</v>
      </c>
      <c r="AD20" s="1">
        <f>knicks_players_all_stats[[#This Row],[STL2]]/10</f>
        <v>53</v>
      </c>
      <c r="AE20" s="1">
        <v>530</v>
      </c>
      <c r="AF20" s="4">
        <f>knicks_players_all_stats[[#This Row],[STL]]/knicks_players_all_stats[[#This Row],[GP]]</f>
        <v>0.73611111111111116</v>
      </c>
      <c r="AG20">
        <v>390</v>
      </c>
      <c r="AH20" s="1">
        <f>knicks_players_all_stats[[#This Row],[BLK2]]/10</f>
        <v>39</v>
      </c>
      <c r="AI20" s="4">
        <f>knicks_players_all_stats[[#This Row],[BLK]]/knicks_players_all_stats[[#This Row],[GP]]</f>
        <v>0.54166666666666663</v>
      </c>
      <c r="AJ20">
        <v>2450</v>
      </c>
      <c r="AK20" s="4">
        <f>knicks_players_all_stats[[#This Row],[BLKPG]]+knicks_players_all_stats[[#This Row],[STLPG]]+knicks_players_all_stats[[#This Row],[REBPG]]</f>
        <v>11.222222222222221</v>
      </c>
      <c r="AL20" s="1">
        <f>knicks_players_all_stats[[#This Row],[TOV2]]/10</f>
        <v>245</v>
      </c>
      <c r="AM20" s="4">
        <f>knicks_players_all_stats[[#This Row],[TOV]]/knicks_players_all_stats[[#This Row],[GP]]</f>
        <v>3.4027777777777777</v>
      </c>
      <c r="AN20" s="1">
        <v>205</v>
      </c>
      <c r="AO20" s="1">
        <f>knicks_players_all_stats[[#This Row],[PF]]/knicks_players_all_stats[[#This Row],[GP]]</f>
        <v>2.8472222222222223</v>
      </c>
      <c r="AP20" s="1">
        <v>1447</v>
      </c>
      <c r="AQ20" s="4">
        <f>knicks_players_all_stats[[#This Row],[PTS]]/knicks_players_all_stats[[#This Row],[GP]]</f>
        <v>20.097222222222221</v>
      </c>
    </row>
    <row r="21" spans="1:43" customFormat="1" x14ac:dyDescent="0.3">
      <c r="A21" s="1" t="s">
        <v>1535</v>
      </c>
      <c r="B21" s="1" t="s">
        <v>1369</v>
      </c>
      <c r="C21" s="1" t="str">
        <f>knicks_players_all_stats[[#This Row],[NAME]]&amp;" ("&amp;knicks_players_all_stats[[#This Row],[SEASON]]&amp;")"</f>
        <v>Julius Randle (2023-24)</v>
      </c>
      <c r="D21" s="1">
        <f>knicks_players_all_stats[[#This Row],[PLAYER_AGE]]/10</f>
        <v>29</v>
      </c>
      <c r="E21">
        <v>290</v>
      </c>
      <c r="F21" s="1">
        <v>46</v>
      </c>
      <c r="G21" s="1">
        <v>16300</v>
      </c>
      <c r="H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1000</v>
      </c>
      <c r="I21" s="4">
        <f>knicks_players_all_stats[[#This Row],[VALORATION]]/knicks_players_all_stats[[#This Row],[GP]]</f>
        <v>21.739130434782609</v>
      </c>
      <c r="J21" s="1">
        <v>395</v>
      </c>
      <c r="K21" s="1">
        <v>836</v>
      </c>
      <c r="L21" s="2">
        <f>knicks_players_all_stats[[#This Row],[FGM]]/knicks_players_all_stats[[#This Row],[FGA]]</f>
        <v>0.47248803827751196</v>
      </c>
      <c r="M21" s="16">
        <f>knicks_players_all_stats[[#This Row],[FG3M2]]/10</f>
        <v>76</v>
      </c>
      <c r="N21" s="1">
        <v>760</v>
      </c>
      <c r="O21" s="1">
        <f>knicks_players_all_stats[[#This Row],[FG3A2]]/10</f>
        <v>244</v>
      </c>
      <c r="P21" s="1">
        <v>2440</v>
      </c>
      <c r="Q21" s="2">
        <f>knicks_players_all_stats[[#This Row],[FG3M2]]/knicks_players_all_stats[[#This Row],[FG3A2]]</f>
        <v>0.31147540983606559</v>
      </c>
      <c r="R21" s="1">
        <v>236</v>
      </c>
      <c r="S21" s="1">
        <v>302</v>
      </c>
      <c r="T21" s="3">
        <f>knicks_players_all_stats[[#This Row],[FTM]]/knicks_players_all_stats[[#This Row],[FTA]]</f>
        <v>0.7814569536423841</v>
      </c>
      <c r="U21" s="1">
        <f>knicks_players_all_stats[[#This Row],[OREB22]]/10</f>
        <v>99</v>
      </c>
      <c r="V21" s="1">
        <f>knicks_players_all_stats[[#This Row],[DREB33]]/10</f>
        <v>324</v>
      </c>
      <c r="W21" s="1">
        <f>knicks_players_all_stats[[#This Row],[REB44]]/10</f>
        <v>423</v>
      </c>
      <c r="X21">
        <v>990</v>
      </c>
      <c r="Y21">
        <v>3240</v>
      </c>
      <c r="Z21">
        <v>4230</v>
      </c>
      <c r="AA21" s="14">
        <f>knicks_players_all_stats[[#This Row],[REB]]/knicks_players_all_stats[[#This Row],[GP]]</f>
        <v>9.195652173913043</v>
      </c>
      <c r="AB21" s="1">
        <v>229</v>
      </c>
      <c r="AC21" s="4">
        <f>knicks_players_all_stats[[#This Row],[AST]]/knicks_players_all_stats[[#This Row],[GP]]</f>
        <v>4.9782608695652177</v>
      </c>
      <c r="AD21" s="1">
        <f>knicks_players_all_stats[[#This Row],[STL2]]/10</f>
        <v>25</v>
      </c>
      <c r="AE21" s="1">
        <v>250</v>
      </c>
      <c r="AF21" s="4">
        <f>knicks_players_all_stats[[#This Row],[STL]]/knicks_players_all_stats[[#This Row],[GP]]</f>
        <v>0.54347826086956519</v>
      </c>
      <c r="AG21">
        <v>120</v>
      </c>
      <c r="AH21" s="1">
        <f>knicks_players_all_stats[[#This Row],[BLK2]]/10</f>
        <v>12</v>
      </c>
      <c r="AI21" s="4">
        <f>knicks_players_all_stats[[#This Row],[BLK]]/knicks_players_all_stats[[#This Row],[GP]]</f>
        <v>0.2608695652173913</v>
      </c>
      <c r="AJ21">
        <v>1590</v>
      </c>
      <c r="AK21" s="4">
        <f>knicks_players_all_stats[[#This Row],[BLKPG]]+knicks_players_all_stats[[#This Row],[STLPG]]+knicks_players_all_stats[[#This Row],[REBPG]]</f>
        <v>10</v>
      </c>
      <c r="AL21" s="1">
        <f>knicks_players_all_stats[[#This Row],[TOV2]]/10</f>
        <v>159</v>
      </c>
      <c r="AM21" s="4">
        <f>knicks_players_all_stats[[#This Row],[TOV]]/knicks_players_all_stats[[#This Row],[GP]]</f>
        <v>3.4565217391304346</v>
      </c>
      <c r="AN21" s="1">
        <v>125</v>
      </c>
      <c r="AO21" s="1">
        <f>knicks_players_all_stats[[#This Row],[PF]]/knicks_players_all_stats[[#This Row],[GP]]</f>
        <v>2.7173913043478262</v>
      </c>
      <c r="AP21" s="1">
        <v>1102</v>
      </c>
      <c r="AQ21" s="4">
        <f>knicks_players_all_stats[[#This Row],[PTS]]/knicks_players_all_stats[[#This Row],[GP]]</f>
        <v>23.956521739130434</v>
      </c>
    </row>
    <row r="22" spans="1:43" customFormat="1" x14ac:dyDescent="0.3">
      <c r="A22" s="1" t="s">
        <v>1697</v>
      </c>
      <c r="B22" s="1" t="s">
        <v>1303</v>
      </c>
      <c r="C22" s="1" t="str">
        <f>knicks_players_all_stats[[#This Row],[NAME]]&amp;" ("&amp;knicks_players_all_stats[[#This Row],[SEASON]]&amp;")"</f>
        <v>Jamal Crawford (2007-08)</v>
      </c>
      <c r="D22" s="1">
        <f>knicks_players_all_stats[[#This Row],[PLAYER_AGE]]/10</f>
        <v>28</v>
      </c>
      <c r="E22">
        <v>280</v>
      </c>
      <c r="F22" s="1">
        <v>80</v>
      </c>
      <c r="G22" s="1">
        <v>31900</v>
      </c>
      <c r="H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1139</v>
      </c>
      <c r="I22" s="4">
        <f>knicks_players_all_stats[[#This Row],[VALORATION]]/knicks_players_all_stats[[#This Row],[GP]]</f>
        <v>14.237500000000001</v>
      </c>
      <c r="J22" s="1">
        <v>570</v>
      </c>
      <c r="K22" s="1">
        <v>1391</v>
      </c>
      <c r="L22" s="1">
        <v>41</v>
      </c>
      <c r="M22" s="4">
        <f>knicks_players_all_stats[[#This Row],[FG3M2]]/10</f>
        <v>176</v>
      </c>
      <c r="N22" s="1">
        <v>1760</v>
      </c>
      <c r="O22" s="1">
        <f>knicks_players_all_stats[[#This Row],[FG3A2]]/10</f>
        <v>494</v>
      </c>
      <c r="P22" s="1">
        <v>4940</v>
      </c>
      <c r="Q22" s="2">
        <f>knicks_players_all_stats[[#This Row],[FG3M2]]/knicks_players_all_stats[[#This Row],[FG3A2]]</f>
        <v>0.35627530364372467</v>
      </c>
      <c r="R22" s="1">
        <v>329</v>
      </c>
      <c r="S22" s="1">
        <v>381</v>
      </c>
      <c r="T22" s="3">
        <f>knicks_players_all_stats[[#This Row],[FTM]]/knicks_players_all_stats[[#This Row],[FTA]]</f>
        <v>0.86351706036745401</v>
      </c>
      <c r="U22" s="1">
        <f>knicks_players_all_stats[[#This Row],[OREB22]]/10</f>
        <v>37</v>
      </c>
      <c r="V22" s="1">
        <f>knicks_players_all_stats[[#This Row],[DREB33]]/10</f>
        <v>170</v>
      </c>
      <c r="W22" s="1">
        <f>knicks_players_all_stats[[#This Row],[REB44]]/10</f>
        <v>207</v>
      </c>
      <c r="X22">
        <v>370</v>
      </c>
      <c r="Y22">
        <v>1700</v>
      </c>
      <c r="Z22">
        <v>2070</v>
      </c>
      <c r="AA22" s="14">
        <f>knicks_players_all_stats[[#This Row],[REB]]/knicks_players_all_stats[[#This Row],[GP]]</f>
        <v>2.5874999999999999</v>
      </c>
      <c r="AB22" s="1">
        <v>398</v>
      </c>
      <c r="AC22" s="4">
        <f>knicks_players_all_stats[[#This Row],[AST]]/knicks_players_all_stats[[#This Row],[GP]]</f>
        <v>4.9749999999999996</v>
      </c>
      <c r="AD22" s="1">
        <f>knicks_players_all_stats[[#This Row],[STL2]]/10</f>
        <v>81</v>
      </c>
      <c r="AE22" s="1">
        <v>810</v>
      </c>
      <c r="AF22" s="4">
        <f>knicks_players_all_stats[[#This Row],[STL]]/knicks_players_all_stats[[#This Row],[GP]]</f>
        <v>1.0125</v>
      </c>
      <c r="AG22">
        <v>170</v>
      </c>
      <c r="AH22" s="1">
        <f>knicks_players_all_stats[[#This Row],[BLK2]]/10</f>
        <v>17</v>
      </c>
      <c r="AI22" s="4">
        <f>knicks_players_all_stats[[#This Row],[BLK]]/knicks_players_all_stats[[#This Row],[GP]]</f>
        <v>0.21249999999999999</v>
      </c>
      <c r="AJ22">
        <v>1920</v>
      </c>
      <c r="AK22" s="4">
        <f>knicks_players_all_stats[[#This Row],[BLKPG]]+knicks_players_all_stats[[#This Row],[STLPG]]+knicks_players_all_stats[[#This Row],[REBPG]]</f>
        <v>3.8125</v>
      </c>
      <c r="AL22" s="1">
        <f>knicks_players_all_stats[[#This Row],[TOV2]]/10</f>
        <v>192</v>
      </c>
      <c r="AM22" s="4">
        <f>knicks_players_all_stats[[#This Row],[TOV]]/knicks_players_all_stats[[#This Row],[GP]]</f>
        <v>2.4</v>
      </c>
      <c r="AN22" s="1">
        <v>144</v>
      </c>
      <c r="AO22" s="1">
        <f>knicks_players_all_stats[[#This Row],[PF]]/knicks_players_all_stats[[#This Row],[GP]]</f>
        <v>1.8</v>
      </c>
      <c r="AP22" s="1">
        <v>1645</v>
      </c>
      <c r="AQ22" s="4">
        <f>knicks_players_all_stats[[#This Row],[PTS]]/knicks_players_all_stats[[#This Row],[GP]]</f>
        <v>20.5625</v>
      </c>
    </row>
    <row r="23" spans="1:43" customFormat="1" x14ac:dyDescent="0.3">
      <c r="A23" s="1" t="s">
        <v>1725</v>
      </c>
      <c r="B23" s="1" t="s">
        <v>1281</v>
      </c>
      <c r="C23" s="1" t="str">
        <f>knicks_players_all_stats[[#This Row],[NAME]]&amp;" ("&amp;knicks_players_all_stats[[#This Row],[SEASON]]&amp;")"</f>
        <v>Brandon Jennings (2016-17)</v>
      </c>
      <c r="D23" s="1">
        <f>knicks_players_all_stats[[#This Row],[PLAYER_AGE]]/10</f>
        <v>27</v>
      </c>
      <c r="E23">
        <v>270</v>
      </c>
      <c r="F23" s="1">
        <v>58</v>
      </c>
      <c r="G23" s="1">
        <v>14280</v>
      </c>
      <c r="H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505</v>
      </c>
      <c r="I23" s="4">
        <f>knicks_players_all_stats[[#This Row],[VALORATION]]/knicks_players_all_stats[[#This Row],[GP]]</f>
        <v>8.7068965517241388</v>
      </c>
      <c r="J23" s="1">
        <v>163</v>
      </c>
      <c r="K23" s="1">
        <v>429</v>
      </c>
      <c r="L23" s="1">
        <v>38</v>
      </c>
      <c r="M23" s="4">
        <f>knicks_players_all_stats[[#This Row],[FG3M2]]/10</f>
        <v>68</v>
      </c>
      <c r="N23" s="1">
        <v>680</v>
      </c>
      <c r="O23" s="1">
        <f>knicks_players_all_stats[[#This Row],[FG3A2]]/10</f>
        <v>200</v>
      </c>
      <c r="P23" s="1">
        <v>2000</v>
      </c>
      <c r="Q23" s="2">
        <f>knicks_players_all_stats[[#This Row],[FG3M2]]/knicks_players_all_stats[[#This Row],[FG3A2]]</f>
        <v>0.34</v>
      </c>
      <c r="R23" s="1">
        <v>102</v>
      </c>
      <c r="S23" s="1">
        <v>135</v>
      </c>
      <c r="T23" s="3">
        <f>knicks_players_all_stats[[#This Row],[FTM]]/knicks_players_all_stats[[#This Row],[FTA]]</f>
        <v>0.75555555555555554</v>
      </c>
      <c r="U23" s="1">
        <f>knicks_players_all_stats[[#This Row],[OREB22]]/10</f>
        <v>21</v>
      </c>
      <c r="V23" s="1">
        <f>knicks_players_all_stats[[#This Row],[DREB33]]/10</f>
        <v>131</v>
      </c>
      <c r="W23" s="1">
        <f>knicks_players_all_stats[[#This Row],[REB44]]/10</f>
        <v>152</v>
      </c>
      <c r="X23">
        <v>210</v>
      </c>
      <c r="Y23">
        <v>1310</v>
      </c>
      <c r="Z23">
        <v>1520</v>
      </c>
      <c r="AA23" s="14">
        <f>knicks_players_all_stats[[#This Row],[REB]]/knicks_players_all_stats[[#This Row],[GP]]</f>
        <v>2.6206896551724137</v>
      </c>
      <c r="AB23" s="1">
        <v>287</v>
      </c>
      <c r="AC23" s="4">
        <f>knicks_players_all_stats[[#This Row],[AST]]/knicks_players_all_stats[[#This Row],[GP]]</f>
        <v>4.9482758620689653</v>
      </c>
      <c r="AD23" s="1">
        <f>knicks_players_all_stats[[#This Row],[STL2]]/10</f>
        <v>55</v>
      </c>
      <c r="AE23" s="1">
        <v>550</v>
      </c>
      <c r="AF23" s="4">
        <f>knicks_players_all_stats[[#This Row],[STL]]/knicks_players_all_stats[[#This Row],[GP]]</f>
        <v>0.94827586206896552</v>
      </c>
      <c r="AG23">
        <v>40</v>
      </c>
      <c r="AH23" s="1">
        <f>knicks_players_all_stats[[#This Row],[BLK2]]/10</f>
        <v>4</v>
      </c>
      <c r="AI23" s="4">
        <f>knicks_players_all_stats[[#This Row],[BLK]]/knicks_players_all_stats[[#This Row],[GP]]</f>
        <v>6.8965517241379309E-2</v>
      </c>
      <c r="AJ23">
        <v>1060</v>
      </c>
      <c r="AK23" s="4">
        <f>knicks_players_all_stats[[#This Row],[BLKPG]]+knicks_players_all_stats[[#This Row],[STLPG]]+knicks_players_all_stats[[#This Row],[REBPG]]</f>
        <v>3.6379310344827585</v>
      </c>
      <c r="AL23" s="1">
        <f>knicks_players_all_stats[[#This Row],[TOV2]]/10</f>
        <v>106</v>
      </c>
      <c r="AM23" s="4">
        <f>knicks_players_all_stats[[#This Row],[TOV]]/knicks_players_all_stats[[#This Row],[GP]]</f>
        <v>1.8275862068965518</v>
      </c>
      <c r="AN23" s="1">
        <v>84</v>
      </c>
      <c r="AO23" s="1">
        <f>knicks_players_all_stats[[#This Row],[PF]]/knicks_players_all_stats[[#This Row],[GP]]</f>
        <v>1.4482758620689655</v>
      </c>
      <c r="AP23" s="1">
        <v>496</v>
      </c>
      <c r="AQ23" s="4">
        <f>knicks_players_all_stats[[#This Row],[PTS]]/knicks_players_all_stats[[#This Row],[GP]]</f>
        <v>8.5517241379310338</v>
      </c>
    </row>
    <row r="24" spans="1:43" customFormat="1" x14ac:dyDescent="0.3">
      <c r="A24" s="1" t="s">
        <v>1822</v>
      </c>
      <c r="B24" s="1" t="s">
        <v>1293</v>
      </c>
      <c r="C24" s="1" t="str">
        <f>knicks_players_all_stats[[#This Row],[NAME]]&amp;" ("&amp;knicks_players_all_stats[[#This Row],[SEASON]]&amp;")"</f>
        <v>Charlie Ward (2003-04)</v>
      </c>
      <c r="D24" s="1">
        <f>knicks_players_all_stats[[#This Row],[PLAYER_AGE]]/10</f>
        <v>33</v>
      </c>
      <c r="E24">
        <v>330</v>
      </c>
      <c r="F24" s="1">
        <v>35</v>
      </c>
      <c r="G24" s="1">
        <v>8280</v>
      </c>
      <c r="H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333</v>
      </c>
      <c r="I24" s="4">
        <f>knicks_players_all_stats[[#This Row],[VALORATION]]/knicks_players_all_stats[[#This Row],[GP]]</f>
        <v>9.5142857142857142</v>
      </c>
      <c r="J24" s="1">
        <v>115</v>
      </c>
      <c r="K24" s="1">
        <v>260</v>
      </c>
      <c r="L24" s="1">
        <v>442</v>
      </c>
      <c r="M24" s="4">
        <f>knicks_players_all_stats[[#This Row],[FG3M2]]/10</f>
        <v>59</v>
      </c>
      <c r="N24" s="1">
        <v>590</v>
      </c>
      <c r="O24" s="1">
        <f>knicks_players_all_stats[[#This Row],[FG3A2]]/10</f>
        <v>138</v>
      </c>
      <c r="P24" s="1">
        <v>1380</v>
      </c>
      <c r="Q24" s="2">
        <f>knicks_players_all_stats[[#This Row],[FG3M2]]/knicks_players_all_stats[[#This Row],[FG3A2]]</f>
        <v>0.42753623188405798</v>
      </c>
      <c r="R24" s="1">
        <v>16</v>
      </c>
      <c r="S24" s="1">
        <v>21</v>
      </c>
      <c r="T24" s="3">
        <f>knicks_players_all_stats[[#This Row],[FTM]]/knicks_players_all_stats[[#This Row],[FTA]]</f>
        <v>0.76190476190476186</v>
      </c>
      <c r="U24" s="1">
        <f>knicks_players_all_stats[[#This Row],[OREB22]]/10</f>
        <v>10</v>
      </c>
      <c r="V24" s="1">
        <f>knicks_players_all_stats[[#This Row],[DREB33]]/10</f>
        <v>86</v>
      </c>
      <c r="W24" s="1">
        <f>knicks_players_all_stats[[#This Row],[REB44]]/10</f>
        <v>96</v>
      </c>
      <c r="X24">
        <v>100</v>
      </c>
      <c r="Y24">
        <v>860</v>
      </c>
      <c r="Z24">
        <v>960</v>
      </c>
      <c r="AA24" s="14">
        <f>knicks_players_all_stats[[#This Row],[REB]]/knicks_players_all_stats[[#This Row],[GP]]</f>
        <v>2.7428571428571429</v>
      </c>
      <c r="AB24" s="1">
        <v>170</v>
      </c>
      <c r="AC24" s="4">
        <f>knicks_players_all_stats[[#This Row],[AST]]/knicks_players_all_stats[[#This Row],[GP]]</f>
        <v>4.8571428571428568</v>
      </c>
      <c r="AD24" s="1">
        <f>knicks_players_all_stats[[#This Row],[STL2]]/10</f>
        <v>47</v>
      </c>
      <c r="AE24" s="1">
        <v>470</v>
      </c>
      <c r="AF24" s="4">
        <f>knicks_players_all_stats[[#This Row],[STL]]/knicks_players_all_stats[[#This Row],[GP]]</f>
        <v>1.3428571428571427</v>
      </c>
      <c r="AG24">
        <v>80</v>
      </c>
      <c r="AH24" s="1">
        <f>knicks_players_all_stats[[#This Row],[BLK2]]/10</f>
        <v>8</v>
      </c>
      <c r="AI24" s="4">
        <f>knicks_players_all_stats[[#This Row],[BLK]]/knicks_players_all_stats[[#This Row],[GP]]</f>
        <v>0.22857142857142856</v>
      </c>
      <c r="AJ24">
        <v>690</v>
      </c>
      <c r="AK24" s="4">
        <f>knicks_players_all_stats[[#This Row],[BLKPG]]+knicks_players_all_stats[[#This Row],[STLPG]]+knicks_players_all_stats[[#This Row],[REBPG]]</f>
        <v>4.3142857142857141</v>
      </c>
      <c r="AL24" s="1">
        <f>knicks_players_all_stats[[#This Row],[TOV2]]/10</f>
        <v>69</v>
      </c>
      <c r="AM24" s="4">
        <f>knicks_players_all_stats[[#This Row],[TOV]]/knicks_players_all_stats[[#This Row],[GP]]</f>
        <v>1.9714285714285715</v>
      </c>
      <c r="AN24" s="1">
        <v>74</v>
      </c>
      <c r="AO24" s="1">
        <f>knicks_players_all_stats[[#This Row],[PF]]/knicks_players_all_stats[[#This Row],[GP]]</f>
        <v>2.1142857142857143</v>
      </c>
      <c r="AP24" s="1">
        <v>305</v>
      </c>
      <c r="AQ24" s="4">
        <f>knicks_players_all_stats[[#This Row],[PTS]]/knicks_players_all_stats[[#This Row],[GP]]</f>
        <v>8.7142857142857135</v>
      </c>
    </row>
    <row r="25" spans="1:43" x14ac:dyDescent="0.3">
      <c r="A25" s="1" t="s">
        <v>1544</v>
      </c>
      <c r="B25" s="1" t="s">
        <v>1293</v>
      </c>
      <c r="C25" s="1" t="str">
        <f>knicks_players_all_stats[[#This Row],[NAME]]&amp;" ("&amp;knicks_players_all_stats[[#This Row],[SEASON]]&amp;")"</f>
        <v>Howard Eisley (2003-04)</v>
      </c>
      <c r="D25" s="1">
        <f>knicks_players_all_stats[[#This Row],[PLAYER_AGE]]/10</f>
        <v>31</v>
      </c>
      <c r="E25">
        <v>310</v>
      </c>
      <c r="F25" s="1">
        <v>33</v>
      </c>
      <c r="G25" s="1">
        <v>7300</v>
      </c>
      <c r="H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214</v>
      </c>
      <c r="I25" s="4">
        <f>knicks_players_all_stats[[#This Row],[VALORATION]]/knicks_players_all_stats[[#This Row],[GP]]</f>
        <v>6.4848484848484844</v>
      </c>
      <c r="J25" s="1">
        <v>80</v>
      </c>
      <c r="K25" s="1">
        <v>202</v>
      </c>
      <c r="L25" s="2">
        <f>knicks_players_all_stats[[#This Row],[FGM]]/knicks_players_all_stats[[#This Row],[FGA]]</f>
        <v>0.39603960396039606</v>
      </c>
      <c r="M25" s="16">
        <f>knicks_players_all_stats[[#This Row],[FG3M2]]/10</f>
        <v>28</v>
      </c>
      <c r="N25" s="1">
        <v>280</v>
      </c>
      <c r="O25" s="1">
        <f>knicks_players_all_stats[[#This Row],[FG3A2]]/10</f>
        <v>85</v>
      </c>
      <c r="P25" s="1">
        <v>850</v>
      </c>
      <c r="Q25" s="2">
        <f>knicks_players_all_stats[[#This Row],[FG3M2]]/knicks_players_all_stats[[#This Row],[FG3A2]]</f>
        <v>0.32941176470588235</v>
      </c>
      <c r="R25" s="1">
        <v>32</v>
      </c>
      <c r="S25" s="1">
        <v>36</v>
      </c>
      <c r="T25" s="3">
        <f>knicks_players_all_stats[[#This Row],[FTM]]/knicks_players_all_stats[[#This Row],[FTA]]</f>
        <v>0.88888888888888884</v>
      </c>
      <c r="U25" s="1">
        <f>knicks_players_all_stats[[#This Row],[OREB22]]/10</f>
        <v>7</v>
      </c>
      <c r="V25" s="1">
        <f>knicks_players_all_stats[[#This Row],[DREB33]]/10</f>
        <v>59</v>
      </c>
      <c r="W25" s="1">
        <f>knicks_players_all_stats[[#This Row],[REB44]]/10</f>
        <v>66</v>
      </c>
      <c r="X25">
        <v>70</v>
      </c>
      <c r="Y25">
        <v>590</v>
      </c>
      <c r="Z25">
        <v>660</v>
      </c>
      <c r="AA25" s="14">
        <f>knicks_players_all_stats[[#This Row],[REB]]/knicks_players_all_stats[[#This Row],[GP]]</f>
        <v>2</v>
      </c>
      <c r="AB25" s="1">
        <v>156</v>
      </c>
      <c r="AC25" s="4">
        <f>knicks_players_all_stats[[#This Row],[AST]]/knicks_players_all_stats[[#This Row],[GP]]</f>
        <v>4.7272727272727275</v>
      </c>
      <c r="AD25" s="1">
        <f>knicks_players_all_stats[[#This Row],[STL2]]/10</f>
        <v>30</v>
      </c>
      <c r="AE25" s="1">
        <v>300</v>
      </c>
      <c r="AF25" s="4">
        <f>knicks_players_all_stats[[#This Row],[STL]]/knicks_players_all_stats[[#This Row],[GP]]</f>
        <v>0.90909090909090906</v>
      </c>
      <c r="AG25">
        <v>30</v>
      </c>
      <c r="AH25" s="1">
        <f>knicks_players_all_stats[[#This Row],[BLK2]]/10</f>
        <v>3</v>
      </c>
      <c r="AI25" s="4">
        <f>knicks_players_all_stats[[#This Row],[BLK]]/knicks_players_all_stats[[#This Row],[GP]]</f>
        <v>9.0909090909090912E-2</v>
      </c>
      <c r="AJ25">
        <v>500</v>
      </c>
      <c r="AK25" s="4">
        <f>knicks_players_all_stats[[#This Row],[BLKPG]]+knicks_players_all_stats[[#This Row],[STLPG]]+knicks_players_all_stats[[#This Row],[REBPG]]</f>
        <v>3</v>
      </c>
      <c r="AL25" s="1">
        <f>knicks_players_all_stats[[#This Row],[TOV2]]/10</f>
        <v>50</v>
      </c>
      <c r="AM25" s="4">
        <f>knicks_players_all_stats[[#This Row],[TOV]]/knicks_players_all_stats[[#This Row],[GP]]</f>
        <v>1.5151515151515151</v>
      </c>
      <c r="AN25" s="1">
        <v>85</v>
      </c>
      <c r="AO25" s="1">
        <f>knicks_players_all_stats[[#This Row],[PF]]/knicks_players_all_stats[[#This Row],[GP]]</f>
        <v>2.5757575757575757</v>
      </c>
      <c r="AP25" s="1">
        <v>220</v>
      </c>
      <c r="AQ25" s="4">
        <f>knicks_players_all_stats[[#This Row],[PTS]]/knicks_players_all_stats[[#This Row],[GP]]</f>
        <v>6.666666666666667</v>
      </c>
    </row>
    <row r="26" spans="1:43" x14ac:dyDescent="0.3">
      <c r="A26" s="1" t="s">
        <v>1551</v>
      </c>
      <c r="B26" s="1" t="s">
        <v>1259</v>
      </c>
      <c r="C26" s="1" t="str">
        <f>knicks_players_all_stats[[#This Row],[NAME]]&amp;" ("&amp;knicks_players_all_stats[[#This Row],[SEASON]]&amp;")"</f>
        <v>Trey Burke (2017-18)</v>
      </c>
      <c r="D26" s="1">
        <f>knicks_players_all_stats[[#This Row],[PLAYER_AGE]]/10</f>
        <v>25</v>
      </c>
      <c r="E26">
        <v>250</v>
      </c>
      <c r="F26" s="1">
        <v>36</v>
      </c>
      <c r="G26" s="1">
        <v>7850</v>
      </c>
      <c r="H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433</v>
      </c>
      <c r="I26" s="4">
        <f>knicks_players_all_stats[[#This Row],[VALORATION]]/knicks_players_all_stats[[#This Row],[GP]]</f>
        <v>12.027777777777779</v>
      </c>
      <c r="J26" s="1">
        <v>193</v>
      </c>
      <c r="K26" s="1">
        <v>384</v>
      </c>
      <c r="L26" s="2">
        <f>knicks_players_all_stats[[#This Row],[FGM]]/knicks_players_all_stats[[#This Row],[FGA]]</f>
        <v>0.50260416666666663</v>
      </c>
      <c r="M26" s="16">
        <f>knicks_players_all_stats[[#This Row],[FG3M2]]/10</f>
        <v>38</v>
      </c>
      <c r="N26" s="1">
        <v>380</v>
      </c>
      <c r="O26" s="1">
        <f>knicks_players_all_stats[[#This Row],[FG3A2]]/10</f>
        <v>105</v>
      </c>
      <c r="P26" s="1">
        <v>1050</v>
      </c>
      <c r="Q26" s="2">
        <f>knicks_players_all_stats[[#This Row],[FG3M2]]/knicks_players_all_stats[[#This Row],[FG3A2]]</f>
        <v>0.3619047619047619</v>
      </c>
      <c r="R26" s="1">
        <v>37</v>
      </c>
      <c r="S26" s="1">
        <v>57</v>
      </c>
      <c r="T26" s="3">
        <f>knicks_players_all_stats[[#This Row],[FTM]]/knicks_players_all_stats[[#This Row],[FTA]]</f>
        <v>0.64912280701754388</v>
      </c>
      <c r="U26" s="1">
        <f>knicks_players_all_stats[[#This Row],[OREB22]]/10</f>
        <v>13</v>
      </c>
      <c r="V26" s="1">
        <f>knicks_players_all_stats[[#This Row],[DREB33]]/10</f>
        <v>58</v>
      </c>
      <c r="W26" s="1">
        <f>knicks_players_all_stats[[#This Row],[REB44]]/10</f>
        <v>71</v>
      </c>
      <c r="X26">
        <v>130</v>
      </c>
      <c r="Y26">
        <v>580</v>
      </c>
      <c r="Z26">
        <v>710</v>
      </c>
      <c r="AA26" s="14">
        <f>knicks_players_all_stats[[#This Row],[REB]]/knicks_players_all_stats[[#This Row],[GP]]</f>
        <v>1.9722222222222223</v>
      </c>
      <c r="AB26" s="1">
        <v>170</v>
      </c>
      <c r="AC26" s="4">
        <f>knicks_players_all_stats[[#This Row],[AST]]/knicks_players_all_stats[[#This Row],[GP]]</f>
        <v>4.7222222222222223</v>
      </c>
      <c r="AD26" s="1">
        <f>knicks_players_all_stats[[#This Row],[STL2]]/10</f>
        <v>24</v>
      </c>
      <c r="AE26" s="1">
        <v>240</v>
      </c>
      <c r="AF26" s="4">
        <f>knicks_players_all_stats[[#This Row],[STL]]/knicks_players_all_stats[[#This Row],[GP]]</f>
        <v>0.66666666666666663</v>
      </c>
      <c r="AG26">
        <v>40</v>
      </c>
      <c r="AH26" s="1">
        <f>knicks_players_all_stats[[#This Row],[BLK2]]/10</f>
        <v>4</v>
      </c>
      <c r="AI26" s="4">
        <f>knicks_players_all_stats[[#This Row],[BLK]]/knicks_players_all_stats[[#This Row],[GP]]</f>
        <v>0.1111111111111111</v>
      </c>
      <c r="AJ26">
        <v>430</v>
      </c>
      <c r="AK26" s="4">
        <f>knicks_players_all_stats[[#This Row],[BLKPG]]+knicks_players_all_stats[[#This Row],[STLPG]]+knicks_players_all_stats[[#This Row],[REBPG]]</f>
        <v>2.75</v>
      </c>
      <c r="AL26" s="1">
        <f>knicks_players_all_stats[[#This Row],[TOV2]]/10</f>
        <v>43</v>
      </c>
      <c r="AM26" s="4">
        <f>knicks_players_all_stats[[#This Row],[TOV]]/knicks_players_all_stats[[#This Row],[GP]]</f>
        <v>1.1944444444444444</v>
      </c>
      <c r="AN26" s="1">
        <v>43</v>
      </c>
      <c r="AO26" s="1">
        <f>knicks_players_all_stats[[#This Row],[PF]]/knicks_players_all_stats[[#This Row],[GP]]</f>
        <v>1.1944444444444444</v>
      </c>
      <c r="AP26" s="1">
        <v>461</v>
      </c>
      <c r="AQ26" s="4">
        <f>knicks_players_all_stats[[#This Row],[PTS]]/knicks_players_all_stats[[#This Row],[GP]]</f>
        <v>12.805555555555555</v>
      </c>
    </row>
    <row r="27" spans="1:43" x14ac:dyDescent="0.3">
      <c r="A27" s="1" t="s">
        <v>1510</v>
      </c>
      <c r="B27" s="1" t="s">
        <v>1343</v>
      </c>
      <c r="C27" s="1" t="str">
        <f>knicks_players_all_stats[[#This Row],[NAME]]&amp;" ("&amp;knicks_players_all_stats[[#This Row],[SEASON]]&amp;")"</f>
        <v>Jose Calderon (2014-15)</v>
      </c>
      <c r="D27" s="1">
        <f>knicks_players_all_stats[[#This Row],[PLAYER_AGE]]/10</f>
        <v>33</v>
      </c>
      <c r="E27">
        <v>330</v>
      </c>
      <c r="F27" s="1">
        <v>42</v>
      </c>
      <c r="G27" s="1">
        <v>12700</v>
      </c>
      <c r="H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374</v>
      </c>
      <c r="I27" s="4">
        <f>knicks_players_all_stats[[#This Row],[VALORATION]]/knicks_players_all_stats[[#This Row],[GP]]</f>
        <v>8.9047619047619051</v>
      </c>
      <c r="J27" s="1">
        <v>147</v>
      </c>
      <c r="K27" s="1">
        <v>354</v>
      </c>
      <c r="L27" s="2">
        <f>knicks_players_all_stats[[#This Row],[FGM]]/knicks_players_all_stats[[#This Row],[FGA]]</f>
        <v>0.4152542372881356</v>
      </c>
      <c r="M27" s="16">
        <f>knicks_players_all_stats[[#This Row],[FG3M2]]/10</f>
        <v>59</v>
      </c>
      <c r="N27" s="1">
        <v>590</v>
      </c>
      <c r="O27" s="1">
        <f>knicks_players_all_stats[[#This Row],[FG3A2]]/10</f>
        <v>142</v>
      </c>
      <c r="P27" s="1">
        <v>1420</v>
      </c>
      <c r="Q27" s="2">
        <f>knicks_players_all_stats[[#This Row],[FG3M2]]/knicks_players_all_stats[[#This Row],[FG3A2]]</f>
        <v>0.41549295774647887</v>
      </c>
      <c r="R27" s="1">
        <v>29</v>
      </c>
      <c r="S27" s="1">
        <v>32</v>
      </c>
      <c r="T27" s="3">
        <f>knicks_players_all_stats[[#This Row],[FTM]]/knicks_players_all_stats[[#This Row],[FTA]]</f>
        <v>0.90625</v>
      </c>
      <c r="U27" s="1">
        <f>knicks_players_all_stats[[#This Row],[OREB22]]/10</f>
        <v>19</v>
      </c>
      <c r="V27" s="1">
        <f>knicks_players_all_stats[[#This Row],[DREB33]]/10</f>
        <v>105</v>
      </c>
      <c r="W27" s="1">
        <f>knicks_players_all_stats[[#This Row],[REB44]]/10</f>
        <v>124</v>
      </c>
      <c r="X27">
        <v>190</v>
      </c>
      <c r="Y27">
        <v>1050</v>
      </c>
      <c r="Z27">
        <v>1240</v>
      </c>
      <c r="AA27" s="14">
        <f>knicks_players_all_stats[[#This Row],[REB]]/knicks_players_all_stats[[#This Row],[GP]]</f>
        <v>2.9523809523809526</v>
      </c>
      <c r="AB27" s="1">
        <v>198</v>
      </c>
      <c r="AC27" s="4">
        <f>knicks_players_all_stats[[#This Row],[AST]]/knicks_players_all_stats[[#This Row],[GP]]</f>
        <v>4.7142857142857144</v>
      </c>
      <c r="AD27" s="1">
        <f>knicks_players_all_stats[[#This Row],[STL2]]/10</f>
        <v>31</v>
      </c>
      <c r="AE27" s="1">
        <v>310</v>
      </c>
      <c r="AF27" s="4">
        <f>knicks_players_all_stats[[#This Row],[STL]]/knicks_players_all_stats[[#This Row],[GP]]</f>
        <v>0.73809523809523814</v>
      </c>
      <c r="AG27">
        <v>0</v>
      </c>
      <c r="AH27" s="1">
        <f>knicks_players_all_stats[[#This Row],[BLK2]]/10</f>
        <v>0</v>
      </c>
      <c r="AI27" s="4">
        <f>knicks_players_all_stats[[#This Row],[BLK]]/knicks_players_all_stats[[#This Row],[GP]]</f>
        <v>0</v>
      </c>
      <c r="AJ27">
        <v>750</v>
      </c>
      <c r="AK27" s="4">
        <f>knicks_players_all_stats[[#This Row],[BLKPG]]+knicks_players_all_stats[[#This Row],[STLPG]]+knicks_players_all_stats[[#This Row],[REBPG]]</f>
        <v>3.6904761904761907</v>
      </c>
      <c r="AL27" s="1">
        <f>knicks_players_all_stats[[#This Row],[TOV2]]/10</f>
        <v>75</v>
      </c>
      <c r="AM27" s="4">
        <f>knicks_players_all_stats[[#This Row],[TOV]]/knicks_players_all_stats[[#This Row],[GP]]</f>
        <v>1.7857142857142858</v>
      </c>
      <c r="AN27" s="1">
        <v>76</v>
      </c>
      <c r="AO27" s="1">
        <f>knicks_players_all_stats[[#This Row],[PF]]/knicks_players_all_stats[[#This Row],[GP]]</f>
        <v>1.8095238095238095</v>
      </c>
      <c r="AP27" s="1">
        <v>382</v>
      </c>
      <c r="AQ27" s="4">
        <f>knicks_players_all_stats[[#This Row],[PTS]]/knicks_players_all_stats[[#This Row],[GP]]</f>
        <v>9.0952380952380949</v>
      </c>
    </row>
    <row r="28" spans="1:43" customFormat="1" x14ac:dyDescent="0.3">
      <c r="A28" s="1" t="s">
        <v>1498</v>
      </c>
      <c r="B28" s="1" t="s">
        <v>1303</v>
      </c>
      <c r="C28" s="1" t="str">
        <f>knicks_players_all_stats[[#This Row],[NAME]]&amp;" ("&amp;knicks_players_all_stats[[#This Row],[SEASON]]&amp;")"</f>
        <v>Stephon Marbury (2007-08)</v>
      </c>
      <c r="D28" s="1">
        <f>knicks_players_all_stats[[#This Row],[PLAYER_AGE]]/10</f>
        <v>31</v>
      </c>
      <c r="E28">
        <v>310</v>
      </c>
      <c r="F28" s="1">
        <v>24</v>
      </c>
      <c r="G28" s="1">
        <v>8050</v>
      </c>
      <c r="H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236</v>
      </c>
      <c r="I28" s="4">
        <f>knicks_players_all_stats[[#This Row],[VALORATION]]/knicks_players_all_stats[[#This Row],[GP]]</f>
        <v>9.8333333333333339</v>
      </c>
      <c r="J28" s="1">
        <v>111</v>
      </c>
      <c r="K28" s="1">
        <v>265</v>
      </c>
      <c r="L28" s="2">
        <f>knicks_players_all_stats[[#This Row],[FGM]]/knicks_players_all_stats[[#This Row],[FGA]]</f>
        <v>0.4188679245283019</v>
      </c>
      <c r="M28" s="16">
        <f>knicks_players_all_stats[[#This Row],[FG3M2]]/10</f>
        <v>28</v>
      </c>
      <c r="N28" s="1">
        <v>280</v>
      </c>
      <c r="O28" s="1">
        <f>knicks_players_all_stats[[#This Row],[FG3A2]]/10</f>
        <v>74</v>
      </c>
      <c r="P28" s="1">
        <v>740</v>
      </c>
      <c r="Q28" s="2">
        <f>knicks_players_all_stats[[#This Row],[FG3M2]]/knicks_players_all_stats[[#This Row],[FG3A2]]</f>
        <v>0.3783783783783784</v>
      </c>
      <c r="R28" s="1">
        <v>83</v>
      </c>
      <c r="S28" s="1">
        <v>116</v>
      </c>
      <c r="T28" s="3">
        <f>knicks_players_all_stats[[#This Row],[FTM]]/knicks_players_all_stats[[#This Row],[FTA]]</f>
        <v>0.71551724137931039</v>
      </c>
      <c r="U28" s="1">
        <f>knicks_players_all_stats[[#This Row],[OREB22]]/10</f>
        <v>17</v>
      </c>
      <c r="V28" s="1">
        <f>knicks_players_all_stats[[#This Row],[DREB33]]/10</f>
        <v>42</v>
      </c>
      <c r="W28" s="1">
        <f>knicks_players_all_stats[[#This Row],[REB44]]/10</f>
        <v>59</v>
      </c>
      <c r="X28">
        <v>170</v>
      </c>
      <c r="Y28">
        <v>420</v>
      </c>
      <c r="Z28">
        <v>590</v>
      </c>
      <c r="AA28" s="14">
        <f>knicks_players_all_stats[[#This Row],[REB]]/knicks_players_all_stats[[#This Row],[GP]]</f>
        <v>2.4583333333333335</v>
      </c>
      <c r="AB28" s="1">
        <v>113</v>
      </c>
      <c r="AC28" s="4">
        <f>knicks_players_all_stats[[#This Row],[AST]]/knicks_players_all_stats[[#This Row],[GP]]</f>
        <v>4.708333333333333</v>
      </c>
      <c r="AD28" s="1">
        <f>knicks_players_all_stats[[#This Row],[STL2]]/10</f>
        <v>21</v>
      </c>
      <c r="AE28" s="1">
        <v>210</v>
      </c>
      <c r="AF28" s="4">
        <f>knicks_players_all_stats[[#This Row],[STL]]/knicks_players_all_stats[[#This Row],[GP]]</f>
        <v>0.875</v>
      </c>
      <c r="AG28">
        <v>20</v>
      </c>
      <c r="AH28" s="1">
        <f>knicks_players_all_stats[[#This Row],[BLK2]]/10</f>
        <v>2</v>
      </c>
      <c r="AI28" s="4">
        <f>knicks_players_all_stats[[#This Row],[BLK]]/knicks_players_all_stats[[#This Row],[GP]]</f>
        <v>8.3333333333333329E-2</v>
      </c>
      <c r="AJ28">
        <v>480</v>
      </c>
      <c r="AK28" s="4">
        <f>knicks_players_all_stats[[#This Row],[BLKPG]]+knicks_players_all_stats[[#This Row],[STLPG]]+knicks_players_all_stats[[#This Row],[REBPG]]</f>
        <v>3.416666666666667</v>
      </c>
      <c r="AL28" s="1">
        <f>knicks_players_all_stats[[#This Row],[TOV2]]/10</f>
        <v>48</v>
      </c>
      <c r="AM28" s="4">
        <f>knicks_players_all_stats[[#This Row],[TOV]]/knicks_players_all_stats[[#This Row],[GP]]</f>
        <v>2</v>
      </c>
      <c r="AN28" s="1">
        <v>57</v>
      </c>
      <c r="AO28" s="1">
        <f>knicks_players_all_stats[[#This Row],[PF]]/knicks_players_all_stats[[#This Row],[GP]]</f>
        <v>2.375</v>
      </c>
      <c r="AP28" s="1">
        <v>333</v>
      </c>
      <c r="AQ28" s="4">
        <f>knicks_players_all_stats[[#This Row],[PTS]]/knicks_players_all_stats[[#This Row],[GP]]</f>
        <v>13.875</v>
      </c>
    </row>
    <row r="29" spans="1:43" customFormat="1" x14ac:dyDescent="0.3">
      <c r="A29" s="1" t="s">
        <v>1659</v>
      </c>
      <c r="B29" s="1" t="s">
        <v>1290</v>
      </c>
      <c r="C29" s="1" t="str">
        <f>knicks_players_all_stats[[#This Row],[NAME]]&amp;" ("&amp;knicks_players_all_stats[[#This Row],[SEASON]]&amp;")"</f>
        <v>Baron Davis (2011-12)</v>
      </c>
      <c r="D29" s="1">
        <f>knicks_players_all_stats[[#This Row],[PLAYER_AGE]]/10</f>
        <v>33</v>
      </c>
      <c r="E29">
        <v>330</v>
      </c>
      <c r="F29" s="1">
        <v>29</v>
      </c>
      <c r="G29" s="1">
        <v>5950</v>
      </c>
      <c r="H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145</v>
      </c>
      <c r="I29" s="4">
        <f>knicks_players_all_stats[[#This Row],[VALORATION]]/knicks_players_all_stats[[#This Row],[GP]]</f>
        <v>5</v>
      </c>
      <c r="J29" s="1">
        <v>68</v>
      </c>
      <c r="K29" s="1">
        <v>184</v>
      </c>
      <c r="L29" s="1">
        <v>37</v>
      </c>
      <c r="M29" s="4">
        <f>knicks_players_all_stats[[#This Row],[FG3M2]]/10</f>
        <v>26</v>
      </c>
      <c r="N29" s="1">
        <v>260</v>
      </c>
      <c r="O29" s="1">
        <f>knicks_players_all_stats[[#This Row],[FG3A2]]/10</f>
        <v>85</v>
      </c>
      <c r="P29" s="1">
        <v>850</v>
      </c>
      <c r="Q29" s="2">
        <f>knicks_players_all_stats[[#This Row],[FG3M2]]/knicks_players_all_stats[[#This Row],[FG3A2]]</f>
        <v>0.30588235294117649</v>
      </c>
      <c r="R29" s="1">
        <v>16</v>
      </c>
      <c r="S29" s="1">
        <v>24</v>
      </c>
      <c r="T29" s="3">
        <f>knicks_players_all_stats[[#This Row],[FTM]]/knicks_players_all_stats[[#This Row],[FTA]]</f>
        <v>0.66666666666666663</v>
      </c>
      <c r="U29" s="1">
        <f>knicks_players_all_stats[[#This Row],[OREB22]]/10</f>
        <v>13</v>
      </c>
      <c r="V29" s="1">
        <f>knicks_players_all_stats[[#This Row],[DREB33]]/10</f>
        <v>43</v>
      </c>
      <c r="W29" s="1">
        <f>knicks_players_all_stats[[#This Row],[REB44]]/10</f>
        <v>56</v>
      </c>
      <c r="X29">
        <v>130</v>
      </c>
      <c r="Y29">
        <v>430</v>
      </c>
      <c r="Z29">
        <v>560</v>
      </c>
      <c r="AA29" s="14">
        <f>knicks_players_all_stats[[#This Row],[REB]]/knicks_players_all_stats[[#This Row],[GP]]</f>
        <v>1.9310344827586208</v>
      </c>
      <c r="AB29" s="1">
        <v>135</v>
      </c>
      <c r="AC29" s="4">
        <f>knicks_players_all_stats[[#This Row],[AST]]/knicks_players_all_stats[[#This Row],[GP]]</f>
        <v>4.6551724137931032</v>
      </c>
      <c r="AD29" s="1">
        <f>knicks_players_all_stats[[#This Row],[STL2]]/10</f>
        <v>34</v>
      </c>
      <c r="AE29" s="1">
        <v>340</v>
      </c>
      <c r="AF29" s="4">
        <f>knicks_players_all_stats[[#This Row],[STL]]/knicks_players_all_stats[[#This Row],[GP]]</f>
        <v>1.1724137931034482</v>
      </c>
      <c r="AG29">
        <v>30</v>
      </c>
      <c r="AH29" s="1">
        <f>knicks_players_all_stats[[#This Row],[BLK2]]/10</f>
        <v>3</v>
      </c>
      <c r="AI29" s="4">
        <f>knicks_players_all_stats[[#This Row],[BLK]]/knicks_players_all_stats[[#This Row],[GP]]</f>
        <v>0.10344827586206896</v>
      </c>
      <c r="AJ29">
        <v>760</v>
      </c>
      <c r="AK29" s="4">
        <f>knicks_players_all_stats[[#This Row],[BLKPG]]+knicks_players_all_stats[[#This Row],[STLPG]]+knicks_players_all_stats[[#This Row],[REBPG]]</f>
        <v>3.2068965517241379</v>
      </c>
      <c r="AL29" s="1">
        <f>knicks_players_all_stats[[#This Row],[TOV2]]/10</f>
        <v>76</v>
      </c>
      <c r="AM29" s="4">
        <f>knicks_players_all_stats[[#This Row],[TOV]]/knicks_players_all_stats[[#This Row],[GP]]</f>
        <v>2.6206896551724137</v>
      </c>
      <c r="AN29" s="1">
        <v>61</v>
      </c>
      <c r="AO29" s="1">
        <f>knicks_players_all_stats[[#This Row],[PF]]/knicks_players_all_stats[[#This Row],[GP]]</f>
        <v>2.103448275862069</v>
      </c>
      <c r="AP29" s="1">
        <v>178</v>
      </c>
      <c r="AQ29" s="4">
        <f>knicks_players_all_stats[[#This Row],[PTS]]/knicks_players_all_stats[[#This Row],[GP]]</f>
        <v>6.1379310344827589</v>
      </c>
    </row>
    <row r="30" spans="1:43" customFormat="1" x14ac:dyDescent="0.3">
      <c r="A30" s="1" t="s">
        <v>1822</v>
      </c>
      <c r="B30" s="1" t="s">
        <v>1325</v>
      </c>
      <c r="C30" s="1" t="str">
        <f>knicks_players_all_stats[[#This Row],[NAME]]&amp;" ("&amp;knicks_players_all_stats[[#This Row],[SEASON]]&amp;")"</f>
        <v>Charlie Ward (2002-03)</v>
      </c>
      <c r="D30" s="1">
        <f>knicks_players_all_stats[[#This Row],[PLAYER_AGE]]/10</f>
        <v>32</v>
      </c>
      <c r="E30">
        <v>320</v>
      </c>
      <c r="F30" s="1">
        <v>66</v>
      </c>
      <c r="G30" s="1">
        <v>14670</v>
      </c>
      <c r="H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542</v>
      </c>
      <c r="I30" s="4">
        <f>knicks_players_all_stats[[#This Row],[VALORATION]]/knicks_players_all_stats[[#This Row],[GP]]</f>
        <v>8.2121212121212128</v>
      </c>
      <c r="J30" s="1">
        <v>165</v>
      </c>
      <c r="K30" s="1">
        <v>414</v>
      </c>
      <c r="L30" s="1">
        <v>399</v>
      </c>
      <c r="M30" s="4">
        <f>knicks_players_all_stats[[#This Row],[FG3M2]]/10</f>
        <v>101</v>
      </c>
      <c r="N30" s="1">
        <v>1010</v>
      </c>
      <c r="O30" s="1">
        <f>knicks_players_all_stats[[#This Row],[FG3A2]]/10</f>
        <v>267</v>
      </c>
      <c r="P30" s="1">
        <v>2670</v>
      </c>
      <c r="Q30" s="2">
        <f>knicks_players_all_stats[[#This Row],[FG3M2]]/knicks_players_all_stats[[#This Row],[FG3A2]]</f>
        <v>0.37827715355805241</v>
      </c>
      <c r="R30" s="1">
        <v>41</v>
      </c>
      <c r="S30" s="1">
        <v>53</v>
      </c>
      <c r="T30" s="3">
        <f>knicks_players_all_stats[[#This Row],[FTM]]/knicks_players_all_stats[[#This Row],[FTA]]</f>
        <v>0.77358490566037741</v>
      </c>
      <c r="U30" s="1">
        <f>knicks_players_all_stats[[#This Row],[OREB22]]/10</f>
        <v>25</v>
      </c>
      <c r="V30" s="1">
        <f>knicks_players_all_stats[[#This Row],[DREB33]]/10</f>
        <v>152</v>
      </c>
      <c r="W30" s="1">
        <f>knicks_players_all_stats[[#This Row],[REB44]]/10</f>
        <v>177</v>
      </c>
      <c r="X30">
        <v>250</v>
      </c>
      <c r="Y30">
        <v>1520</v>
      </c>
      <c r="Z30">
        <v>1770</v>
      </c>
      <c r="AA30" s="14">
        <f>knicks_players_all_stats[[#This Row],[REB]]/knicks_players_all_stats[[#This Row],[GP]]</f>
        <v>2.6818181818181817</v>
      </c>
      <c r="AB30" s="1">
        <v>306</v>
      </c>
      <c r="AC30" s="4">
        <f>knicks_players_all_stats[[#This Row],[AST]]/knicks_players_all_stats[[#This Row],[GP]]</f>
        <v>4.6363636363636367</v>
      </c>
      <c r="AD30" s="1">
        <f>knicks_players_all_stats[[#This Row],[STL2]]/10</f>
        <v>78</v>
      </c>
      <c r="AE30" s="1">
        <v>780</v>
      </c>
      <c r="AF30" s="4">
        <f>knicks_players_all_stats[[#This Row],[STL]]/knicks_players_all_stats[[#This Row],[GP]]</f>
        <v>1.1818181818181819</v>
      </c>
      <c r="AG30">
        <v>110</v>
      </c>
      <c r="AH30" s="1">
        <f>knicks_players_all_stats[[#This Row],[BLK2]]/10</f>
        <v>11</v>
      </c>
      <c r="AI30" s="4">
        <f>knicks_players_all_stats[[#This Row],[BLK]]/knicks_players_all_stats[[#This Row],[GP]]</f>
        <v>0.16666666666666666</v>
      </c>
      <c r="AJ30">
        <v>950</v>
      </c>
      <c r="AK30" s="4">
        <f>knicks_players_all_stats[[#This Row],[BLKPG]]+knicks_players_all_stats[[#This Row],[STLPG]]+knicks_players_all_stats[[#This Row],[REBPG]]</f>
        <v>4.0303030303030303</v>
      </c>
      <c r="AL30" s="1">
        <f>knicks_players_all_stats[[#This Row],[TOV2]]/10</f>
        <v>95</v>
      </c>
      <c r="AM30" s="4">
        <f>knicks_players_all_stats[[#This Row],[TOV]]/knicks_players_all_stats[[#This Row],[GP]]</f>
        <v>1.4393939393939394</v>
      </c>
      <c r="AN30" s="1">
        <v>146</v>
      </c>
      <c r="AO30" s="1">
        <f>knicks_players_all_stats[[#This Row],[PF]]/knicks_players_all_stats[[#This Row],[GP]]</f>
        <v>2.2121212121212119</v>
      </c>
      <c r="AP30" s="1">
        <v>472</v>
      </c>
      <c r="AQ30" s="4">
        <f>knicks_players_all_stats[[#This Row],[PTS]]/knicks_players_all_stats[[#This Row],[GP]]</f>
        <v>7.1515151515151514</v>
      </c>
    </row>
    <row r="31" spans="1:43" x14ac:dyDescent="0.3">
      <c r="A31" s="1" t="s">
        <v>1771</v>
      </c>
      <c r="B31" s="1" t="s">
        <v>1465</v>
      </c>
      <c r="C31" s="1" t="str">
        <f>knicks_players_all_stats[[#This Row],[NAME]]&amp;" ("&amp;knicks_players_all_stats[[#This Row],[SEASON]]&amp;")"</f>
        <v>Chris Childs (2000-01)</v>
      </c>
      <c r="D31" s="1">
        <f>knicks_players_all_stats[[#This Row],[PLAYER_AGE]]/10</f>
        <v>33</v>
      </c>
      <c r="E31">
        <v>330</v>
      </c>
      <c r="F31" s="1">
        <v>51</v>
      </c>
      <c r="G31" s="1">
        <v>13060</v>
      </c>
      <c r="H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269</v>
      </c>
      <c r="I31" s="4">
        <f>knicks_players_all_stats[[#This Row],[VALORATION]]/knicks_players_all_stats[[#This Row],[GP]]</f>
        <v>5.2745098039215685</v>
      </c>
      <c r="J31" s="1">
        <v>93</v>
      </c>
      <c r="K31" s="1">
        <v>222</v>
      </c>
      <c r="L31" s="1">
        <v>419</v>
      </c>
      <c r="M31" s="4">
        <f>knicks_players_all_stats[[#This Row],[FG3M2]]/10</f>
        <v>20</v>
      </c>
      <c r="N31" s="1">
        <v>200</v>
      </c>
      <c r="O31" s="1">
        <f>knicks_players_all_stats[[#This Row],[FG3A2]]/10</f>
        <v>64</v>
      </c>
      <c r="P31" s="1">
        <v>640</v>
      </c>
      <c r="Q31" s="2">
        <f>knicks_players_all_stats[[#This Row],[FG3M2]]/knicks_players_all_stats[[#This Row],[FG3A2]]</f>
        <v>0.3125</v>
      </c>
      <c r="R31" s="1">
        <v>39</v>
      </c>
      <c r="S31" s="1">
        <v>46</v>
      </c>
      <c r="T31" s="3">
        <f>knicks_players_all_stats[[#This Row],[FTM]]/knicks_players_all_stats[[#This Row],[FTA]]</f>
        <v>0.84782608695652173</v>
      </c>
      <c r="U31" s="1">
        <f>knicks_players_all_stats[[#This Row],[OREB22]]/10</f>
        <v>14</v>
      </c>
      <c r="V31" s="1">
        <f>knicks_players_all_stats[[#This Row],[DREB33]]/10</f>
        <v>124</v>
      </c>
      <c r="W31" s="1">
        <f>knicks_players_all_stats[[#This Row],[REB44]]/10</f>
        <v>138</v>
      </c>
      <c r="X31">
        <v>140</v>
      </c>
      <c r="Y31">
        <v>1240</v>
      </c>
      <c r="Z31">
        <v>1380</v>
      </c>
      <c r="AA31" s="14">
        <f>knicks_players_all_stats[[#This Row],[REB]]/knicks_players_all_stats[[#This Row],[GP]]</f>
        <v>2.7058823529411766</v>
      </c>
      <c r="AB31" s="1">
        <v>236</v>
      </c>
      <c r="AC31" s="4">
        <f>knicks_players_all_stats[[#This Row],[AST]]/knicks_players_all_stats[[#This Row],[GP]]</f>
        <v>4.6274509803921573</v>
      </c>
      <c r="AD31" s="1">
        <f>knicks_players_all_stats[[#This Row],[STL2]]/10</f>
        <v>37</v>
      </c>
      <c r="AE31" s="1">
        <v>370</v>
      </c>
      <c r="AF31" s="4">
        <f>knicks_players_all_stats[[#This Row],[STL]]/knicks_players_all_stats[[#This Row],[GP]]</f>
        <v>0.72549019607843135</v>
      </c>
      <c r="AG31">
        <v>70</v>
      </c>
      <c r="AH31" s="1">
        <f>knicks_players_all_stats[[#This Row],[BLK2]]/10</f>
        <v>7</v>
      </c>
      <c r="AI31" s="4">
        <f>knicks_players_all_stats[[#This Row],[BLK]]/knicks_players_all_stats[[#This Row],[GP]]</f>
        <v>0.13725490196078433</v>
      </c>
      <c r="AJ31">
        <v>980</v>
      </c>
      <c r="AK31" s="4">
        <f>knicks_players_all_stats[[#This Row],[BLKPG]]+knicks_players_all_stats[[#This Row],[STLPG]]+knicks_players_all_stats[[#This Row],[REBPG]]</f>
        <v>3.5686274509803924</v>
      </c>
      <c r="AL31" s="1">
        <f>knicks_players_all_stats[[#This Row],[TOV2]]/10</f>
        <v>98</v>
      </c>
      <c r="AM31" s="4">
        <f>knicks_players_all_stats[[#This Row],[TOV]]/knicks_players_all_stats[[#This Row],[GP]]</f>
        <v>1.9215686274509804</v>
      </c>
      <c r="AN31" s="1">
        <v>160</v>
      </c>
      <c r="AO31" s="1">
        <f>knicks_players_all_stats[[#This Row],[PF]]/knicks_players_all_stats[[#This Row],[GP]]</f>
        <v>3.1372549019607843</v>
      </c>
      <c r="AP31" s="1">
        <v>245</v>
      </c>
      <c r="AQ31" s="4">
        <f>knicks_players_all_stats[[#This Row],[PTS]]/knicks_players_all_stats[[#This Row],[GP]]</f>
        <v>4.8039215686274508</v>
      </c>
    </row>
    <row r="32" spans="1:43" x14ac:dyDescent="0.3">
      <c r="A32" s="1" t="s">
        <v>1600</v>
      </c>
      <c r="B32" s="1" t="s">
        <v>1325</v>
      </c>
      <c r="C32" s="1" t="str">
        <f>knicks_players_all_stats[[#This Row],[NAME]]&amp;" ("&amp;knicks_players_all_stats[[#This Row],[SEASON]]&amp;")"</f>
        <v>Latrell Sprewell (2002-03)</v>
      </c>
      <c r="D32" s="1">
        <f>knicks_players_all_stats[[#This Row],[PLAYER_AGE]]/10</f>
        <v>32</v>
      </c>
      <c r="E32">
        <v>320</v>
      </c>
      <c r="F32" s="1">
        <v>74</v>
      </c>
      <c r="G32" s="1">
        <v>28580</v>
      </c>
      <c r="H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932</v>
      </c>
      <c r="I32" s="4">
        <f>knicks_players_all_stats[[#This Row],[VALORATION]]/knicks_players_all_stats[[#This Row],[GP]]</f>
        <v>12.594594594594595</v>
      </c>
      <c r="J32" s="1">
        <v>454</v>
      </c>
      <c r="K32" s="1">
        <v>1127</v>
      </c>
      <c r="L32" s="2">
        <f>knicks_players_all_stats[[#This Row],[FGM]]/knicks_players_all_stats[[#This Row],[FGA]]</f>
        <v>0.4028393966282165</v>
      </c>
      <c r="M32" s="16">
        <f>knicks_players_all_stats[[#This Row],[FG3M2]]/10</f>
        <v>134</v>
      </c>
      <c r="N32" s="1">
        <v>1340</v>
      </c>
      <c r="O32" s="1">
        <f>knicks_players_all_stats[[#This Row],[FG3A2]]/10</f>
        <v>360</v>
      </c>
      <c r="P32" s="1">
        <v>3600</v>
      </c>
      <c r="Q32" s="2">
        <f>knicks_players_all_stats[[#This Row],[FG3M2]]/knicks_players_all_stats[[#This Row],[FG3A2]]</f>
        <v>0.37222222222222223</v>
      </c>
      <c r="R32" s="1">
        <v>173</v>
      </c>
      <c r="S32" s="1">
        <v>218</v>
      </c>
      <c r="T32" s="3">
        <f>knicks_players_all_stats[[#This Row],[FTM]]/knicks_players_all_stats[[#This Row],[FTA]]</f>
        <v>0.79357798165137616</v>
      </c>
      <c r="U32" s="1">
        <f>knicks_players_all_stats[[#This Row],[OREB22]]/10</f>
        <v>45</v>
      </c>
      <c r="V32" s="1">
        <f>knicks_players_all_stats[[#This Row],[DREB33]]/10</f>
        <v>240</v>
      </c>
      <c r="W32" s="1">
        <f>knicks_players_all_stats[[#This Row],[REB44]]/10</f>
        <v>285</v>
      </c>
      <c r="X32">
        <v>450</v>
      </c>
      <c r="Y32">
        <v>2400</v>
      </c>
      <c r="Z32">
        <v>2850</v>
      </c>
      <c r="AA32" s="14">
        <f>knicks_players_all_stats[[#This Row],[REB]]/knicks_players_all_stats[[#This Row],[GP]]</f>
        <v>3.8513513513513513</v>
      </c>
      <c r="AB32" s="1">
        <v>332</v>
      </c>
      <c r="AC32" s="4">
        <f>knicks_players_all_stats[[#This Row],[AST]]/knicks_players_all_stats[[#This Row],[GP]]</f>
        <v>4.4864864864864868</v>
      </c>
      <c r="AD32" s="1">
        <f>knicks_players_all_stats[[#This Row],[STL2]]/10</f>
        <v>102</v>
      </c>
      <c r="AE32" s="1">
        <v>1020</v>
      </c>
      <c r="AF32" s="4">
        <f>knicks_players_all_stats[[#This Row],[STL]]/knicks_players_all_stats[[#This Row],[GP]]</f>
        <v>1.3783783783783783</v>
      </c>
      <c r="AG32">
        <v>220</v>
      </c>
      <c r="AH32" s="1">
        <f>knicks_players_all_stats[[#This Row],[BLK2]]/10</f>
        <v>22</v>
      </c>
      <c r="AI32" s="4">
        <f>knicks_players_all_stats[[#This Row],[BLK]]/knicks_players_all_stats[[#This Row],[GP]]</f>
        <v>0.29729729729729731</v>
      </c>
      <c r="AJ32">
        <v>1720</v>
      </c>
      <c r="AK32" s="4">
        <f>knicks_players_all_stats[[#This Row],[BLKPG]]+knicks_players_all_stats[[#This Row],[STLPG]]+knicks_players_all_stats[[#This Row],[REBPG]]</f>
        <v>5.5270270270270272</v>
      </c>
      <c r="AL32" s="1">
        <f>knicks_players_all_stats[[#This Row],[TOV2]]/10</f>
        <v>172</v>
      </c>
      <c r="AM32" s="4">
        <f>knicks_players_all_stats[[#This Row],[TOV]]/knicks_players_all_stats[[#This Row],[GP]]</f>
        <v>2.3243243243243241</v>
      </c>
      <c r="AN32" s="1">
        <v>134</v>
      </c>
      <c r="AO32" s="1">
        <f>knicks_players_all_stats[[#This Row],[PF]]/knicks_players_all_stats[[#This Row],[GP]]</f>
        <v>1.8108108108108107</v>
      </c>
      <c r="AP32" s="1">
        <v>1215</v>
      </c>
      <c r="AQ32" s="4">
        <f>knicks_players_all_stats[[#This Row],[PTS]]/knicks_players_all_stats[[#This Row],[GP]]</f>
        <v>16.418918918918919</v>
      </c>
    </row>
    <row r="33" spans="1:43" x14ac:dyDescent="0.3">
      <c r="A33" s="1" t="s">
        <v>1822</v>
      </c>
      <c r="B33" s="1" t="s">
        <v>1465</v>
      </c>
      <c r="C33" s="1" t="str">
        <f>knicks_players_all_stats[[#This Row],[NAME]]&amp;" ("&amp;knicks_players_all_stats[[#This Row],[SEASON]]&amp;")"</f>
        <v>Charlie Ward (2000-01)</v>
      </c>
      <c r="D33" s="1">
        <f>knicks_players_all_stats[[#This Row],[PLAYER_AGE]]/10</f>
        <v>30</v>
      </c>
      <c r="E33">
        <v>300</v>
      </c>
      <c r="F33" s="1">
        <v>61</v>
      </c>
      <c r="G33" s="1">
        <v>14950</v>
      </c>
      <c r="H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469</v>
      </c>
      <c r="I33" s="4">
        <f>knicks_players_all_stats[[#This Row],[VALORATION]]/knicks_players_all_stats[[#This Row],[GP]]</f>
        <v>7.6885245901639347</v>
      </c>
      <c r="J33" s="1">
        <v>155</v>
      </c>
      <c r="K33" s="1">
        <v>373</v>
      </c>
      <c r="L33" s="1">
        <v>416</v>
      </c>
      <c r="M33" s="4">
        <f>knicks_players_all_stats[[#This Row],[FG3M2]]/10</f>
        <v>67</v>
      </c>
      <c r="N33" s="1">
        <v>670</v>
      </c>
      <c r="O33" s="1">
        <f>knicks_players_all_stats[[#This Row],[FG3A2]]/10</f>
        <v>175</v>
      </c>
      <c r="P33" s="1">
        <v>1750</v>
      </c>
      <c r="Q33" s="2">
        <f>knicks_players_all_stats[[#This Row],[FG3M2]]/knicks_players_all_stats[[#This Row],[FG3A2]]</f>
        <v>0.38285714285714284</v>
      </c>
      <c r="R33" s="1">
        <v>56</v>
      </c>
      <c r="S33" s="1">
        <v>70</v>
      </c>
      <c r="T33" s="3">
        <f>knicks_players_all_stats[[#This Row],[FTM]]/knicks_players_all_stats[[#This Row],[FTA]]</f>
        <v>0.8</v>
      </c>
      <c r="U33" s="1">
        <f>knicks_players_all_stats[[#This Row],[OREB22]]/10</f>
        <v>32</v>
      </c>
      <c r="V33" s="1">
        <f>knicks_players_all_stats[[#This Row],[DREB33]]/10</f>
        <v>127</v>
      </c>
      <c r="W33" s="1">
        <f>knicks_players_all_stats[[#This Row],[REB44]]/10</f>
        <v>159</v>
      </c>
      <c r="X33">
        <v>320</v>
      </c>
      <c r="Y33">
        <v>1270</v>
      </c>
      <c r="Z33">
        <v>1590</v>
      </c>
      <c r="AA33" s="14">
        <f>knicks_players_all_stats[[#This Row],[REB]]/knicks_players_all_stats[[#This Row],[GP]]</f>
        <v>2.6065573770491803</v>
      </c>
      <c r="AB33" s="1">
        <v>273</v>
      </c>
      <c r="AC33" s="4">
        <f>knicks_players_all_stats[[#This Row],[AST]]/knicks_players_all_stats[[#This Row],[GP]]</f>
        <v>4.4754098360655741</v>
      </c>
      <c r="AD33" s="1">
        <f>knicks_players_all_stats[[#This Row],[STL2]]/10</f>
        <v>70</v>
      </c>
      <c r="AE33" s="1">
        <v>700</v>
      </c>
      <c r="AF33" s="4">
        <f>knicks_players_all_stats[[#This Row],[STL]]/knicks_players_all_stats[[#This Row],[GP]]</f>
        <v>1.1475409836065573</v>
      </c>
      <c r="AG33">
        <v>100</v>
      </c>
      <c r="AH33" s="1">
        <f>knicks_players_all_stats[[#This Row],[BLK2]]/10</f>
        <v>10</v>
      </c>
      <c r="AI33" s="4">
        <f>knicks_players_all_stats[[#This Row],[BLK]]/knicks_players_all_stats[[#This Row],[GP]]</f>
        <v>0.16393442622950818</v>
      </c>
      <c r="AJ33">
        <v>1120</v>
      </c>
      <c r="AK33" s="4">
        <f>knicks_players_all_stats[[#This Row],[BLKPG]]+knicks_players_all_stats[[#This Row],[STLPG]]+knicks_players_all_stats[[#This Row],[REBPG]]</f>
        <v>3.918032786885246</v>
      </c>
      <c r="AL33" s="1">
        <f>knicks_players_all_stats[[#This Row],[TOV2]]/10</f>
        <v>112</v>
      </c>
      <c r="AM33" s="4">
        <f>knicks_players_all_stats[[#This Row],[TOV]]/knicks_players_all_stats[[#This Row],[GP]]</f>
        <v>1.8360655737704918</v>
      </c>
      <c r="AN33" s="1">
        <v>132</v>
      </c>
      <c r="AO33" s="1">
        <f>knicks_players_all_stats[[#This Row],[PF]]/knicks_players_all_stats[[#This Row],[GP]]</f>
        <v>2.1639344262295084</v>
      </c>
      <c r="AP33" s="1">
        <v>433</v>
      </c>
      <c r="AQ33" s="4">
        <f>knicks_players_all_stats[[#This Row],[PTS]]/knicks_players_all_stats[[#This Row],[GP]]</f>
        <v>7.0983606557377046</v>
      </c>
    </row>
    <row r="34" spans="1:43" x14ac:dyDescent="0.3">
      <c r="A34" s="1" t="s">
        <v>1408</v>
      </c>
      <c r="B34" s="1" t="s">
        <v>1281</v>
      </c>
      <c r="C34" s="1" t="str">
        <f>knicks_players_all_stats[[#This Row],[NAME]]&amp;" ("&amp;knicks_players_all_stats[[#This Row],[SEASON]]&amp;")"</f>
        <v>Derrick Rose (2016-17)</v>
      </c>
      <c r="D34" s="1">
        <f>knicks_players_all_stats[[#This Row],[PLAYER_AGE]]/10</f>
        <v>28</v>
      </c>
      <c r="E34">
        <v>280</v>
      </c>
      <c r="F34" s="1">
        <v>64</v>
      </c>
      <c r="G34" s="1">
        <v>20820</v>
      </c>
      <c r="H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964</v>
      </c>
      <c r="I34" s="4">
        <f>knicks_players_all_stats[[#This Row],[VALORATION]]/knicks_players_all_stats[[#This Row],[GP]]</f>
        <v>15.0625</v>
      </c>
      <c r="J34" s="1">
        <v>460</v>
      </c>
      <c r="K34" s="1">
        <v>977</v>
      </c>
      <c r="L34" s="2">
        <f>knicks_players_all_stats[[#This Row],[FGM]]/knicks_players_all_stats[[#This Row],[FGA]]</f>
        <v>0.47082906857727735</v>
      </c>
      <c r="M34" s="16">
        <f>knicks_players_all_stats[[#This Row],[FG3M2]]/10</f>
        <v>13</v>
      </c>
      <c r="N34" s="1">
        <v>130</v>
      </c>
      <c r="O34" s="1">
        <f>knicks_players_all_stats[[#This Row],[FG3A2]]/10</f>
        <v>60</v>
      </c>
      <c r="P34" s="1">
        <v>600</v>
      </c>
      <c r="Q34" s="2">
        <f>knicks_players_all_stats[[#This Row],[FG3M2]]/knicks_players_all_stats[[#This Row],[FG3A2]]</f>
        <v>0.21666666666666667</v>
      </c>
      <c r="R34" s="1">
        <v>221</v>
      </c>
      <c r="S34" s="1">
        <v>253</v>
      </c>
      <c r="T34" s="3">
        <f>knicks_players_all_stats[[#This Row],[FTM]]/knicks_players_all_stats[[#This Row],[FTA]]</f>
        <v>0.87351778656126478</v>
      </c>
      <c r="U34" s="1">
        <f>knicks_players_all_stats[[#This Row],[OREB22]]/10</f>
        <v>66</v>
      </c>
      <c r="V34" s="1">
        <f>knicks_players_all_stats[[#This Row],[DREB33]]/10</f>
        <v>180</v>
      </c>
      <c r="W34" s="1">
        <f>knicks_players_all_stats[[#This Row],[REB44]]/10</f>
        <v>246</v>
      </c>
      <c r="X34">
        <v>660</v>
      </c>
      <c r="Y34">
        <v>1800</v>
      </c>
      <c r="Z34">
        <v>2460</v>
      </c>
      <c r="AA34" s="14">
        <f>knicks_players_all_stats[[#This Row],[REB]]/knicks_players_all_stats[[#This Row],[GP]]</f>
        <v>3.84375</v>
      </c>
      <c r="AB34" s="1">
        <v>283</v>
      </c>
      <c r="AC34" s="4">
        <f>knicks_players_all_stats[[#This Row],[AST]]/knicks_players_all_stats[[#This Row],[GP]]</f>
        <v>4.421875</v>
      </c>
      <c r="AD34" s="1">
        <f>knicks_players_all_stats[[#This Row],[STL2]]/10</f>
        <v>44</v>
      </c>
      <c r="AE34" s="1">
        <v>440</v>
      </c>
      <c r="AF34" s="4">
        <f>knicks_players_all_stats[[#This Row],[STL]]/knicks_players_all_stats[[#This Row],[GP]]</f>
        <v>0.6875</v>
      </c>
      <c r="AG34">
        <v>170</v>
      </c>
      <c r="AH34" s="1">
        <f>knicks_players_all_stats[[#This Row],[BLK2]]/10</f>
        <v>17</v>
      </c>
      <c r="AI34" s="4">
        <f>knicks_players_all_stats[[#This Row],[BLK]]/knicks_players_all_stats[[#This Row],[GP]]</f>
        <v>0.265625</v>
      </c>
      <c r="AJ34">
        <v>1470</v>
      </c>
      <c r="AK34" s="4">
        <f>knicks_players_all_stats[[#This Row],[BLKPG]]+knicks_players_all_stats[[#This Row],[STLPG]]+knicks_players_all_stats[[#This Row],[REBPG]]</f>
        <v>4.796875</v>
      </c>
      <c r="AL34" s="1">
        <f>knicks_players_all_stats[[#This Row],[TOV2]]/10</f>
        <v>147</v>
      </c>
      <c r="AM34" s="4">
        <f>knicks_players_all_stats[[#This Row],[TOV]]/knicks_players_all_stats[[#This Row],[GP]]</f>
        <v>2.296875</v>
      </c>
      <c r="AN34" s="1">
        <v>84</v>
      </c>
      <c r="AO34" s="1">
        <f>knicks_players_all_stats[[#This Row],[PF]]/knicks_players_all_stats[[#This Row],[GP]]</f>
        <v>1.3125</v>
      </c>
      <c r="AP34" s="1">
        <v>1154</v>
      </c>
      <c r="AQ34" s="4">
        <f>knicks_players_all_stats[[#This Row],[PTS]]/knicks_players_all_stats[[#This Row],[GP]]</f>
        <v>18.03125</v>
      </c>
    </row>
    <row r="35" spans="1:43" x14ac:dyDescent="0.3">
      <c r="A35" s="1" t="s">
        <v>1697</v>
      </c>
      <c r="B35" s="1" t="s">
        <v>1302</v>
      </c>
      <c r="C35" s="1" t="str">
        <f>knicks_players_all_stats[[#This Row],[NAME]]&amp;" ("&amp;knicks_players_all_stats[[#This Row],[SEASON]]&amp;")"</f>
        <v>Jamal Crawford (2006-07)</v>
      </c>
      <c r="D35" s="1">
        <f>knicks_players_all_stats[[#This Row],[PLAYER_AGE]]/10</f>
        <v>27</v>
      </c>
      <c r="E35">
        <v>270</v>
      </c>
      <c r="F35" s="1">
        <v>59</v>
      </c>
      <c r="G35" s="1">
        <v>21980</v>
      </c>
      <c r="H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700</v>
      </c>
      <c r="I35" s="4">
        <f>knicks_players_all_stats[[#This Row],[VALORATION]]/knicks_players_all_stats[[#This Row],[GP]]</f>
        <v>11.864406779661017</v>
      </c>
      <c r="J35" s="1">
        <v>354</v>
      </c>
      <c r="K35" s="1">
        <v>886</v>
      </c>
      <c r="L35" s="1">
        <v>4</v>
      </c>
      <c r="M35" s="4">
        <f>knicks_players_all_stats[[#This Row],[FG3M2]]/10</f>
        <v>103</v>
      </c>
      <c r="N35" s="1">
        <v>1030</v>
      </c>
      <c r="O35" s="1">
        <f>knicks_players_all_stats[[#This Row],[FG3A2]]/10</f>
        <v>322</v>
      </c>
      <c r="P35" s="1">
        <v>3220</v>
      </c>
      <c r="Q35" s="2">
        <f>knicks_players_all_stats[[#This Row],[FG3M2]]/knicks_players_all_stats[[#This Row],[FG3A2]]</f>
        <v>0.31987577639751552</v>
      </c>
      <c r="R35" s="1">
        <v>228</v>
      </c>
      <c r="S35" s="1">
        <v>272</v>
      </c>
      <c r="T35" s="3">
        <f>knicks_players_all_stats[[#This Row],[FTM]]/knicks_players_all_stats[[#This Row],[FTA]]</f>
        <v>0.83823529411764708</v>
      </c>
      <c r="U35" s="1">
        <f>knicks_players_all_stats[[#This Row],[OREB22]]/10</f>
        <v>44</v>
      </c>
      <c r="V35" s="1">
        <f>knicks_players_all_stats[[#This Row],[DREB33]]/10</f>
        <v>145</v>
      </c>
      <c r="W35" s="1">
        <f>knicks_players_all_stats[[#This Row],[REB44]]/10</f>
        <v>189</v>
      </c>
      <c r="X35">
        <v>440</v>
      </c>
      <c r="Y35">
        <v>1450</v>
      </c>
      <c r="Z35">
        <v>1890</v>
      </c>
      <c r="AA35" s="14">
        <f>knicks_players_all_stats[[#This Row],[REB]]/knicks_players_all_stats[[#This Row],[GP]]</f>
        <v>3.2033898305084745</v>
      </c>
      <c r="AB35" s="1">
        <v>259</v>
      </c>
      <c r="AC35" s="4">
        <f>knicks_players_all_stats[[#This Row],[AST]]/knicks_players_all_stats[[#This Row],[GP]]</f>
        <v>4.3898305084745761</v>
      </c>
      <c r="AD35" s="1">
        <f>knicks_players_all_stats[[#This Row],[STL2]]/10</f>
        <v>57</v>
      </c>
      <c r="AE35" s="1">
        <v>570</v>
      </c>
      <c r="AF35" s="4">
        <f>knicks_players_all_stats[[#This Row],[STL]]/knicks_players_all_stats[[#This Row],[GP]]</f>
        <v>0.96610169491525422</v>
      </c>
      <c r="AG35">
        <v>80</v>
      </c>
      <c r="AH35" s="1">
        <f>knicks_players_all_stats[[#This Row],[BLK2]]/10</f>
        <v>8</v>
      </c>
      <c r="AI35" s="4">
        <f>knicks_players_all_stats[[#This Row],[BLK]]/knicks_players_all_stats[[#This Row],[GP]]</f>
        <v>0.13559322033898305</v>
      </c>
      <c r="AJ35">
        <v>1620</v>
      </c>
      <c r="AK35" s="4">
        <f>knicks_players_all_stats[[#This Row],[BLKPG]]+knicks_players_all_stats[[#This Row],[STLPG]]+knicks_players_all_stats[[#This Row],[REBPG]]</f>
        <v>4.3050847457627119</v>
      </c>
      <c r="AL35" s="1">
        <f>knicks_players_all_stats[[#This Row],[TOV2]]/10</f>
        <v>162</v>
      </c>
      <c r="AM35" s="4">
        <f>knicks_players_all_stats[[#This Row],[TOV]]/knicks_players_all_stats[[#This Row],[GP]]</f>
        <v>2.7457627118644066</v>
      </c>
      <c r="AN35" s="1">
        <v>114</v>
      </c>
      <c r="AO35" s="1">
        <f>knicks_players_all_stats[[#This Row],[PF]]/knicks_players_all_stats[[#This Row],[GP]]</f>
        <v>1.9322033898305084</v>
      </c>
      <c r="AP35" s="1">
        <v>1039</v>
      </c>
      <c r="AQ35" s="4">
        <f>knicks_players_all_stats[[#This Row],[PTS]]/knicks_players_all_stats[[#This Row],[GP]]</f>
        <v>17.610169491525422</v>
      </c>
    </row>
    <row r="36" spans="1:43" x14ac:dyDescent="0.3">
      <c r="A36" s="1" t="s">
        <v>1697</v>
      </c>
      <c r="B36" s="1" t="s">
        <v>1304</v>
      </c>
      <c r="C36" s="1" t="str">
        <f>knicks_players_all_stats[[#This Row],[NAME]]&amp;" ("&amp;knicks_players_all_stats[[#This Row],[SEASON]]&amp;")"</f>
        <v>Jamal Crawford (2008-09)</v>
      </c>
      <c r="D36" s="1">
        <f>knicks_players_all_stats[[#This Row],[PLAYER_AGE]]/10</f>
        <v>29</v>
      </c>
      <c r="E36">
        <v>290</v>
      </c>
      <c r="F36" s="1">
        <v>11</v>
      </c>
      <c r="G36" s="1">
        <v>3920</v>
      </c>
      <c r="H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144</v>
      </c>
      <c r="I36" s="4">
        <f>knicks_players_all_stats[[#This Row],[VALORATION]]/knicks_players_all_stats[[#This Row],[GP]]</f>
        <v>13.090909090909092</v>
      </c>
      <c r="J36" s="1">
        <v>73</v>
      </c>
      <c r="K36" s="1">
        <v>169</v>
      </c>
      <c r="L36" s="1">
        <v>432</v>
      </c>
      <c r="M36" s="4">
        <f>knicks_players_all_stats[[#This Row],[FG3M2]]/10</f>
        <v>35</v>
      </c>
      <c r="N36" s="1">
        <v>350</v>
      </c>
      <c r="O36" s="1">
        <f>knicks_players_all_stats[[#This Row],[FG3A2]]/10</f>
        <v>77</v>
      </c>
      <c r="P36" s="1">
        <v>770</v>
      </c>
      <c r="Q36" s="2">
        <f>knicks_players_all_stats[[#This Row],[FG3M2]]/knicks_players_all_stats[[#This Row],[FG3A2]]</f>
        <v>0.45454545454545453</v>
      </c>
      <c r="R36" s="1">
        <v>35</v>
      </c>
      <c r="S36" s="1">
        <v>46</v>
      </c>
      <c r="T36" s="3">
        <f>knicks_players_all_stats[[#This Row],[FTM]]/knicks_players_all_stats[[#This Row],[FTA]]</f>
        <v>0.76086956521739135</v>
      </c>
      <c r="U36" s="1">
        <f>knicks_players_all_stats[[#This Row],[OREB22]]/10</f>
        <v>2</v>
      </c>
      <c r="V36" s="1">
        <f>knicks_players_all_stats[[#This Row],[DREB33]]/10</f>
        <v>15</v>
      </c>
      <c r="W36" s="1">
        <f>knicks_players_all_stats[[#This Row],[REB44]]/10</f>
        <v>17</v>
      </c>
      <c r="X36">
        <v>20</v>
      </c>
      <c r="Y36">
        <v>150</v>
      </c>
      <c r="Z36">
        <v>170</v>
      </c>
      <c r="AA36" s="14">
        <f>knicks_players_all_stats[[#This Row],[REB]]/knicks_players_all_stats[[#This Row],[GP]]</f>
        <v>1.5454545454545454</v>
      </c>
      <c r="AB36" s="1">
        <v>48</v>
      </c>
      <c r="AC36" s="4">
        <f>knicks_players_all_stats[[#This Row],[AST]]/knicks_players_all_stats[[#This Row],[GP]]</f>
        <v>4.3636363636363633</v>
      </c>
      <c r="AD36" s="1">
        <f>knicks_players_all_stats[[#This Row],[STL2]]/10</f>
        <v>9</v>
      </c>
      <c r="AE36" s="1">
        <v>90</v>
      </c>
      <c r="AF36" s="4">
        <f>knicks_players_all_stats[[#This Row],[STL]]/knicks_players_all_stats[[#This Row],[GP]]</f>
        <v>0.81818181818181823</v>
      </c>
      <c r="AG36">
        <v>0</v>
      </c>
      <c r="AH36" s="1">
        <f>knicks_players_all_stats[[#This Row],[BLK2]]/10</f>
        <v>0</v>
      </c>
      <c r="AI36" s="4">
        <f>knicks_players_all_stats[[#This Row],[BLK]]/knicks_players_all_stats[[#This Row],[GP]]</f>
        <v>0</v>
      </c>
      <c r="AJ36">
        <v>260</v>
      </c>
      <c r="AK36" s="4">
        <f>knicks_players_all_stats[[#This Row],[BLKPG]]+knicks_players_all_stats[[#This Row],[STLPG]]+knicks_players_all_stats[[#This Row],[REBPG]]</f>
        <v>2.3636363636363638</v>
      </c>
      <c r="AL36" s="1">
        <f>knicks_players_all_stats[[#This Row],[TOV2]]/10</f>
        <v>26</v>
      </c>
      <c r="AM36" s="4">
        <f>knicks_players_all_stats[[#This Row],[TOV]]/knicks_players_all_stats[[#This Row],[GP]]</f>
        <v>2.3636363636363638</v>
      </c>
      <c r="AN36" s="1">
        <v>13</v>
      </c>
      <c r="AO36" s="1">
        <f>knicks_players_all_stats[[#This Row],[PF]]/knicks_players_all_stats[[#This Row],[GP]]</f>
        <v>1.1818181818181819</v>
      </c>
      <c r="AP36" s="1">
        <v>216</v>
      </c>
      <c r="AQ36" s="4">
        <f>knicks_players_all_stats[[#This Row],[PTS]]/knicks_players_all_stats[[#This Row],[GP]]</f>
        <v>19.636363636363637</v>
      </c>
    </row>
    <row r="37" spans="1:43" x14ac:dyDescent="0.3">
      <c r="A37" s="1" t="s">
        <v>1697</v>
      </c>
      <c r="B37" s="1" t="s">
        <v>1295</v>
      </c>
      <c r="C37" s="1" t="str">
        <f>knicks_players_all_stats[[#This Row],[NAME]]&amp;" ("&amp;knicks_players_all_stats[[#This Row],[SEASON]]&amp;")"</f>
        <v>Jamal Crawford (2004-05)</v>
      </c>
      <c r="D37" s="1">
        <f>knicks_players_all_stats[[#This Row],[PLAYER_AGE]]/10</f>
        <v>25</v>
      </c>
      <c r="E37">
        <v>250</v>
      </c>
      <c r="F37" s="1">
        <v>70</v>
      </c>
      <c r="G37" s="1">
        <v>26880</v>
      </c>
      <c r="H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880</v>
      </c>
      <c r="I37" s="4">
        <f>knicks_players_all_stats[[#This Row],[VALORATION]]/knicks_players_all_stats[[#This Row],[GP]]</f>
        <v>12.571428571428571</v>
      </c>
      <c r="J37" s="1">
        <v>437</v>
      </c>
      <c r="K37" s="1">
        <v>1097</v>
      </c>
      <c r="L37" s="1">
        <v>398</v>
      </c>
      <c r="M37" s="4">
        <f>knicks_players_all_stats[[#This Row],[FG3M2]]/10</f>
        <v>185</v>
      </c>
      <c r="N37" s="1">
        <v>1850</v>
      </c>
      <c r="O37" s="1">
        <f>knicks_players_all_stats[[#This Row],[FG3A2]]/10</f>
        <v>512</v>
      </c>
      <c r="P37" s="1">
        <v>5120</v>
      </c>
      <c r="Q37" s="2">
        <f>knicks_players_all_stats[[#This Row],[FG3M2]]/knicks_players_all_stats[[#This Row],[FG3A2]]</f>
        <v>0.361328125</v>
      </c>
      <c r="R37" s="1">
        <v>182</v>
      </c>
      <c r="S37" s="1">
        <v>216</v>
      </c>
      <c r="T37" s="3">
        <f>knicks_players_all_stats[[#This Row],[FTM]]/knicks_players_all_stats[[#This Row],[FTA]]</f>
        <v>0.84259259259259256</v>
      </c>
      <c r="U37" s="1">
        <f>knicks_players_all_stats[[#This Row],[OREB22]]/10</f>
        <v>33</v>
      </c>
      <c r="V37" s="1">
        <f>knicks_players_all_stats[[#This Row],[DREB33]]/10</f>
        <v>170</v>
      </c>
      <c r="W37" s="1">
        <f>knicks_players_all_stats[[#This Row],[REB44]]/10</f>
        <v>203</v>
      </c>
      <c r="X37">
        <v>330</v>
      </c>
      <c r="Y37">
        <v>1700</v>
      </c>
      <c r="Z37">
        <v>2030</v>
      </c>
      <c r="AA37" s="14">
        <f>knicks_players_all_stats[[#This Row],[REB]]/knicks_players_all_stats[[#This Row],[GP]]</f>
        <v>2.9</v>
      </c>
      <c r="AB37" s="1">
        <v>302</v>
      </c>
      <c r="AC37" s="4">
        <f>knicks_players_all_stats[[#This Row],[AST]]/knicks_players_all_stats[[#This Row],[GP]]</f>
        <v>4.3142857142857141</v>
      </c>
      <c r="AD37" s="1">
        <f>knicks_players_all_stats[[#This Row],[STL2]]/10</f>
        <v>92</v>
      </c>
      <c r="AE37" s="1">
        <v>920</v>
      </c>
      <c r="AF37" s="4">
        <f>knicks_players_all_stats[[#This Row],[STL]]/knicks_players_all_stats[[#This Row],[GP]]</f>
        <v>1.3142857142857143</v>
      </c>
      <c r="AG37">
        <v>190</v>
      </c>
      <c r="AH37" s="1">
        <f>knicks_players_all_stats[[#This Row],[BLK2]]/10</f>
        <v>19</v>
      </c>
      <c r="AI37" s="4">
        <f>knicks_players_all_stats[[#This Row],[BLK]]/knicks_players_all_stats[[#This Row],[GP]]</f>
        <v>0.27142857142857141</v>
      </c>
      <c r="AJ37">
        <v>1480</v>
      </c>
      <c r="AK37" s="4">
        <f>knicks_players_all_stats[[#This Row],[BLKPG]]+knicks_players_all_stats[[#This Row],[STLPG]]+knicks_players_all_stats[[#This Row],[REBPG]]</f>
        <v>4.4857142857142858</v>
      </c>
      <c r="AL37" s="1">
        <f>knicks_players_all_stats[[#This Row],[TOV2]]/10</f>
        <v>148</v>
      </c>
      <c r="AM37" s="4">
        <f>knicks_players_all_stats[[#This Row],[TOV]]/knicks_players_all_stats[[#This Row],[GP]]</f>
        <v>2.1142857142857143</v>
      </c>
      <c r="AN37" s="1">
        <v>135</v>
      </c>
      <c r="AO37" s="1">
        <f>knicks_players_all_stats[[#This Row],[PF]]/knicks_players_all_stats[[#This Row],[GP]]</f>
        <v>1.9285714285714286</v>
      </c>
      <c r="AP37" s="1">
        <v>1241</v>
      </c>
      <c r="AQ37" s="4">
        <f>knicks_players_all_stats[[#This Row],[PTS]]/knicks_players_all_stats[[#This Row],[GP]]</f>
        <v>17.728571428571428</v>
      </c>
    </row>
    <row r="38" spans="1:43" x14ac:dyDescent="0.3">
      <c r="A38" s="1" t="s">
        <v>1408</v>
      </c>
      <c r="B38" s="1" t="s">
        <v>1289</v>
      </c>
      <c r="C38" s="1" t="str">
        <f>knicks_players_all_stats[[#This Row],[NAME]]&amp;" ("&amp;knicks_players_all_stats[[#This Row],[SEASON]]&amp;")"</f>
        <v>Derrick Rose (2020-21)</v>
      </c>
      <c r="D38" s="1">
        <f>knicks_players_all_stats[[#This Row],[PLAYER_AGE]]/10</f>
        <v>32</v>
      </c>
      <c r="E38">
        <v>320</v>
      </c>
      <c r="F38" s="1">
        <v>35</v>
      </c>
      <c r="G38" s="1">
        <v>9370</v>
      </c>
      <c r="H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498</v>
      </c>
      <c r="I38" s="4">
        <f>knicks_players_all_stats[[#This Row],[VALORATION]]/knicks_players_all_stats[[#This Row],[GP]]</f>
        <v>14.228571428571428</v>
      </c>
      <c r="J38" s="1">
        <v>208</v>
      </c>
      <c r="K38" s="1">
        <v>427</v>
      </c>
      <c r="L38" s="2">
        <f>knicks_players_all_stats[[#This Row],[FGM]]/knicks_players_all_stats[[#This Row],[FGA]]</f>
        <v>0.48711943793911006</v>
      </c>
      <c r="M38" s="16">
        <f>knicks_players_all_stats[[#This Row],[FG3M2]]/10</f>
        <v>37</v>
      </c>
      <c r="N38" s="1">
        <v>370</v>
      </c>
      <c r="O38" s="1">
        <f>knicks_players_all_stats[[#This Row],[FG3A2]]/10</f>
        <v>90</v>
      </c>
      <c r="P38" s="1">
        <v>900</v>
      </c>
      <c r="Q38" s="2">
        <f>knicks_players_all_stats[[#This Row],[FG3M2]]/knicks_players_all_stats[[#This Row],[FG3A2]]</f>
        <v>0.41111111111111109</v>
      </c>
      <c r="R38" s="1">
        <v>68</v>
      </c>
      <c r="S38" s="1">
        <v>77</v>
      </c>
      <c r="T38" s="3">
        <f>knicks_players_all_stats[[#This Row],[FTM]]/knicks_players_all_stats[[#This Row],[FTA]]</f>
        <v>0.88311688311688308</v>
      </c>
      <c r="U38" s="1">
        <f>knicks_players_all_stats[[#This Row],[OREB22]]/10</f>
        <v>14</v>
      </c>
      <c r="V38" s="1">
        <f>knicks_players_all_stats[[#This Row],[DREB33]]/10</f>
        <v>87</v>
      </c>
      <c r="W38" s="1">
        <f>knicks_players_all_stats[[#This Row],[REB44]]/10</f>
        <v>101</v>
      </c>
      <c r="X38">
        <v>140</v>
      </c>
      <c r="Y38">
        <v>870</v>
      </c>
      <c r="Z38">
        <v>1010</v>
      </c>
      <c r="AA38" s="14">
        <f>knicks_players_all_stats[[#This Row],[REB]]/knicks_players_all_stats[[#This Row],[GP]]</f>
        <v>2.8857142857142857</v>
      </c>
      <c r="AB38" s="1">
        <v>146</v>
      </c>
      <c r="AC38" s="4">
        <f>knicks_players_all_stats[[#This Row],[AST]]/knicks_players_all_stats[[#This Row],[GP]]</f>
        <v>4.1714285714285717</v>
      </c>
      <c r="AD38" s="1">
        <f>knicks_players_all_stats[[#This Row],[STL2]]/10</f>
        <v>31</v>
      </c>
      <c r="AE38" s="1">
        <v>310</v>
      </c>
      <c r="AF38" s="4">
        <f>knicks_players_all_stats[[#This Row],[STL]]/knicks_players_all_stats[[#This Row],[GP]]</f>
        <v>0.88571428571428568</v>
      </c>
      <c r="AG38">
        <v>150</v>
      </c>
      <c r="AH38" s="1">
        <f>knicks_players_all_stats[[#This Row],[BLK2]]/10</f>
        <v>15</v>
      </c>
      <c r="AI38" s="4">
        <f>knicks_players_all_stats[[#This Row],[BLK]]/knicks_players_all_stats[[#This Row],[GP]]</f>
        <v>0.42857142857142855</v>
      </c>
      <c r="AJ38">
        <v>490</v>
      </c>
      <c r="AK38" s="4">
        <f>knicks_players_all_stats[[#This Row],[BLKPG]]+knicks_players_all_stats[[#This Row],[STLPG]]+knicks_players_all_stats[[#This Row],[REBPG]]</f>
        <v>4.2</v>
      </c>
      <c r="AL38" s="1">
        <f>knicks_players_all_stats[[#This Row],[TOV2]]/10</f>
        <v>49</v>
      </c>
      <c r="AM38" s="4">
        <f>knicks_players_all_stats[[#This Row],[TOV]]/knicks_players_all_stats[[#This Row],[GP]]</f>
        <v>1.4</v>
      </c>
      <c r="AN38" s="1">
        <v>39</v>
      </c>
      <c r="AO38" s="1">
        <f>knicks_players_all_stats[[#This Row],[PF]]/knicks_players_all_stats[[#This Row],[GP]]</f>
        <v>1.1142857142857143</v>
      </c>
      <c r="AP38" s="1">
        <v>521</v>
      </c>
      <c r="AQ38" s="4">
        <f>knicks_players_all_stats[[#This Row],[PTS]]/knicks_players_all_stats[[#This Row],[GP]]</f>
        <v>14.885714285714286</v>
      </c>
    </row>
    <row r="39" spans="1:43" customFormat="1" x14ac:dyDescent="0.3">
      <c r="A39" s="1" t="s">
        <v>1419</v>
      </c>
      <c r="B39" s="1" t="s">
        <v>1279</v>
      </c>
      <c r="C39" s="1" t="str">
        <f>knicks_players_all_stats[[#This Row],[NAME]]&amp;" ("&amp;knicks_players_all_stats[[#This Row],[SEASON]]&amp;")"</f>
        <v>Carmelo Anthony (2015-16)</v>
      </c>
      <c r="D39" s="1">
        <f>knicks_players_all_stats[[#This Row],[PLAYER_AGE]]/10</f>
        <v>32</v>
      </c>
      <c r="E39">
        <v>320</v>
      </c>
      <c r="F39" s="1">
        <v>72</v>
      </c>
      <c r="G39" s="1">
        <v>25300</v>
      </c>
      <c r="H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1363</v>
      </c>
      <c r="I39" s="4">
        <f>knicks_players_all_stats[[#This Row],[VALORATION]]/knicks_players_all_stats[[#This Row],[GP]]</f>
        <v>18.930555555555557</v>
      </c>
      <c r="J39" s="1">
        <v>567</v>
      </c>
      <c r="K39" s="1">
        <v>1307</v>
      </c>
      <c r="L39" s="2">
        <f>knicks_players_all_stats[[#This Row],[FGM]]/knicks_players_all_stats[[#This Row],[FGA]]</f>
        <v>0.4338179035960214</v>
      </c>
      <c r="M39" s="16">
        <f>knicks_players_all_stats[[#This Row],[FG3M2]]/10</f>
        <v>105</v>
      </c>
      <c r="N39" s="1">
        <v>1050</v>
      </c>
      <c r="O39" s="1">
        <f>knicks_players_all_stats[[#This Row],[FG3A2]]/10</f>
        <v>310</v>
      </c>
      <c r="P39" s="1">
        <v>3100</v>
      </c>
      <c r="Q39" s="2">
        <f>knicks_players_all_stats[[#This Row],[FG3M2]]/knicks_players_all_stats[[#This Row],[FG3A2]]</f>
        <v>0.33870967741935482</v>
      </c>
      <c r="R39" s="1">
        <v>334</v>
      </c>
      <c r="S39" s="1">
        <v>403</v>
      </c>
      <c r="T39" s="3">
        <f>knicks_players_all_stats[[#This Row],[FTM]]/knicks_players_all_stats[[#This Row],[FTA]]</f>
        <v>0.8287841191066998</v>
      </c>
      <c r="U39" s="1">
        <f>knicks_players_all_stats[[#This Row],[OREB22]]/10</f>
        <v>98</v>
      </c>
      <c r="V39" s="1">
        <f>knicks_players_all_stats[[#This Row],[DREB33]]/10</f>
        <v>458</v>
      </c>
      <c r="W39" s="1">
        <f>knicks_players_all_stats[[#This Row],[REB44]]/10</f>
        <v>556</v>
      </c>
      <c r="X39">
        <v>980</v>
      </c>
      <c r="Y39">
        <v>4580</v>
      </c>
      <c r="Z39">
        <v>5560</v>
      </c>
      <c r="AA39" s="14">
        <f>knicks_players_all_stats[[#This Row],[REB]]/knicks_players_all_stats[[#This Row],[GP]]</f>
        <v>7.7222222222222223</v>
      </c>
      <c r="AB39" s="1">
        <v>299</v>
      </c>
      <c r="AC39" s="4">
        <f>knicks_players_all_stats[[#This Row],[AST]]/knicks_players_all_stats[[#This Row],[GP]]</f>
        <v>4.1527777777777777</v>
      </c>
      <c r="AD39" s="1">
        <f>knicks_players_all_stats[[#This Row],[STL2]]/10</f>
        <v>62</v>
      </c>
      <c r="AE39" s="1">
        <v>620</v>
      </c>
      <c r="AF39" s="4">
        <f>knicks_players_all_stats[[#This Row],[STL]]/knicks_players_all_stats[[#This Row],[GP]]</f>
        <v>0.86111111111111116</v>
      </c>
      <c r="AG39">
        <v>380</v>
      </c>
      <c r="AH39" s="1">
        <f>knicks_players_all_stats[[#This Row],[BLK2]]/10</f>
        <v>38</v>
      </c>
      <c r="AI39" s="4">
        <f>knicks_players_all_stats[[#This Row],[BLK]]/knicks_players_all_stats[[#This Row],[GP]]</f>
        <v>0.52777777777777779</v>
      </c>
      <c r="AJ39">
        <v>1760</v>
      </c>
      <c r="AK39" s="4">
        <f>knicks_players_all_stats[[#This Row],[BLKPG]]+knicks_players_all_stats[[#This Row],[STLPG]]+knicks_players_all_stats[[#This Row],[REBPG]]</f>
        <v>9.1111111111111107</v>
      </c>
      <c r="AL39" s="1">
        <f>knicks_players_all_stats[[#This Row],[TOV2]]/10</f>
        <v>176</v>
      </c>
      <c r="AM39" s="4">
        <f>knicks_players_all_stats[[#This Row],[TOV]]/knicks_players_all_stats[[#This Row],[GP]]</f>
        <v>2.4444444444444446</v>
      </c>
      <c r="AN39" s="1">
        <v>180</v>
      </c>
      <c r="AO39" s="1">
        <f>knicks_players_all_stats[[#This Row],[PF]]/knicks_players_all_stats[[#This Row],[GP]]</f>
        <v>2.5</v>
      </c>
      <c r="AP39" s="1">
        <v>1573</v>
      </c>
      <c r="AQ39" s="4">
        <f>knicks_players_all_stats[[#This Row],[PTS]]/knicks_players_all_stats[[#This Row],[GP]]</f>
        <v>21.847222222222221</v>
      </c>
    </row>
    <row r="40" spans="1:43" customFormat="1" x14ac:dyDescent="0.3">
      <c r="A40" s="1" t="s">
        <v>1510</v>
      </c>
      <c r="B40" s="1" t="s">
        <v>1279</v>
      </c>
      <c r="C40" s="1" t="str">
        <f>knicks_players_all_stats[[#This Row],[NAME]]&amp;" ("&amp;knicks_players_all_stats[[#This Row],[SEASON]]&amp;")"</f>
        <v>Jose Calderon (2015-16)</v>
      </c>
      <c r="D40" s="1">
        <f>knicks_players_all_stats[[#This Row],[PLAYER_AGE]]/10</f>
        <v>34</v>
      </c>
      <c r="E40">
        <v>340</v>
      </c>
      <c r="F40" s="1">
        <v>72</v>
      </c>
      <c r="G40" s="1">
        <v>20240</v>
      </c>
      <c r="H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667</v>
      </c>
      <c r="I40" s="4">
        <f>knicks_players_all_stats[[#This Row],[VALORATION]]/knicks_players_all_stats[[#This Row],[GP]]</f>
        <v>9.2638888888888893</v>
      </c>
      <c r="J40" s="1">
        <v>209</v>
      </c>
      <c r="K40" s="1">
        <v>455</v>
      </c>
      <c r="L40" s="2">
        <f>knicks_players_all_stats[[#This Row],[FGM]]/knicks_players_all_stats[[#This Row],[FGA]]</f>
        <v>0.45934065934065932</v>
      </c>
      <c r="M40" s="16">
        <f>knicks_players_all_stats[[#This Row],[FG3M2]]/10</f>
        <v>84</v>
      </c>
      <c r="N40" s="1">
        <v>840</v>
      </c>
      <c r="O40" s="1">
        <f>knicks_players_all_stats[[#This Row],[FG3A2]]/10</f>
        <v>203</v>
      </c>
      <c r="P40" s="1">
        <v>2030</v>
      </c>
      <c r="Q40" s="2">
        <f>knicks_players_all_stats[[#This Row],[FG3M2]]/knicks_players_all_stats[[#This Row],[FG3A2]]</f>
        <v>0.41379310344827586</v>
      </c>
      <c r="R40" s="1">
        <v>42</v>
      </c>
      <c r="S40" s="1">
        <v>48</v>
      </c>
      <c r="T40" s="3">
        <f>knicks_players_all_stats[[#This Row],[FTM]]/knicks_players_all_stats[[#This Row],[FTA]]</f>
        <v>0.875</v>
      </c>
      <c r="U40" s="1">
        <f>knicks_players_all_stats[[#This Row],[OREB22]]/10</f>
        <v>22</v>
      </c>
      <c r="V40" s="1">
        <f>knicks_players_all_stats[[#This Row],[DREB33]]/10</f>
        <v>207</v>
      </c>
      <c r="W40" s="1">
        <f>knicks_players_all_stats[[#This Row],[REB44]]/10</f>
        <v>229</v>
      </c>
      <c r="X40">
        <v>220</v>
      </c>
      <c r="Y40">
        <v>2070</v>
      </c>
      <c r="Z40">
        <v>2290</v>
      </c>
      <c r="AA40" s="14">
        <f>knicks_players_all_stats[[#This Row],[REB]]/knicks_players_all_stats[[#This Row],[GP]]</f>
        <v>3.1805555555555554</v>
      </c>
      <c r="AB40" s="1">
        <v>298</v>
      </c>
      <c r="AC40" s="4">
        <f>knicks_players_all_stats[[#This Row],[AST]]/knicks_players_all_stats[[#This Row],[GP]]</f>
        <v>4.1388888888888893</v>
      </c>
      <c r="AD40" s="1">
        <f>knicks_players_all_stats[[#This Row],[STL2]]/10</f>
        <v>63</v>
      </c>
      <c r="AE40" s="1">
        <v>630</v>
      </c>
      <c r="AF40" s="4">
        <f>knicks_players_all_stats[[#This Row],[STL]]/knicks_players_all_stats[[#This Row],[GP]]</f>
        <v>0.875</v>
      </c>
      <c r="AG40">
        <v>70</v>
      </c>
      <c r="AH40" s="1">
        <f>knicks_players_all_stats[[#This Row],[BLK2]]/10</f>
        <v>7</v>
      </c>
      <c r="AI40" s="4">
        <f>knicks_players_all_stats[[#This Row],[BLK]]/knicks_players_all_stats[[#This Row],[GP]]</f>
        <v>9.7222222222222224E-2</v>
      </c>
      <c r="AJ40">
        <v>870</v>
      </c>
      <c r="AK40" s="4">
        <f>knicks_players_all_stats[[#This Row],[BLKPG]]+knicks_players_all_stats[[#This Row],[STLPG]]+knicks_players_all_stats[[#This Row],[REBPG]]</f>
        <v>4.1527777777777777</v>
      </c>
      <c r="AL40" s="1">
        <f>knicks_players_all_stats[[#This Row],[TOV2]]/10</f>
        <v>87</v>
      </c>
      <c r="AM40" s="4">
        <f>knicks_players_all_stats[[#This Row],[TOV]]/knicks_players_all_stats[[#This Row],[GP]]</f>
        <v>1.2083333333333333</v>
      </c>
      <c r="AN40" s="1">
        <v>135</v>
      </c>
      <c r="AO40" s="1">
        <f>knicks_players_all_stats[[#This Row],[PF]]/knicks_players_all_stats[[#This Row],[GP]]</f>
        <v>1.875</v>
      </c>
      <c r="AP40" s="1">
        <v>544</v>
      </c>
      <c r="AQ40" s="4">
        <f>knicks_players_all_stats[[#This Row],[PTS]]/knicks_players_all_stats[[#This Row],[GP]]</f>
        <v>7.5555555555555554</v>
      </c>
    </row>
    <row r="41" spans="1:43" customFormat="1" x14ac:dyDescent="0.3">
      <c r="A41" s="1" t="s">
        <v>1535</v>
      </c>
      <c r="B41" s="1" t="s">
        <v>1327</v>
      </c>
      <c r="C41" s="1" t="str">
        <f>knicks_players_all_stats[[#This Row],[NAME]]&amp;" ("&amp;knicks_players_all_stats[[#This Row],[SEASON]]&amp;")"</f>
        <v>Julius Randle (2022-23)</v>
      </c>
      <c r="D41" s="1">
        <f>knicks_players_all_stats[[#This Row],[PLAYER_AGE]]/10</f>
        <v>28</v>
      </c>
      <c r="E41">
        <v>280</v>
      </c>
      <c r="F41" s="1">
        <v>77</v>
      </c>
      <c r="G41" s="1">
        <v>27370</v>
      </c>
      <c r="H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1737</v>
      </c>
      <c r="I41" s="4">
        <f>knicks_players_all_stats[[#This Row],[VALORATION]]/knicks_players_all_stats[[#This Row],[GP]]</f>
        <v>22.558441558441558</v>
      </c>
      <c r="J41" s="1">
        <v>658</v>
      </c>
      <c r="K41" s="1">
        <v>1432</v>
      </c>
      <c r="L41" s="2">
        <f>knicks_players_all_stats[[#This Row],[FGM]]/knicks_players_all_stats[[#This Row],[FGA]]</f>
        <v>0.45949720670391059</v>
      </c>
      <c r="M41" s="16">
        <f>knicks_players_all_stats[[#This Row],[FG3M2]]/10</f>
        <v>218</v>
      </c>
      <c r="N41" s="1">
        <v>2180</v>
      </c>
      <c r="O41" s="1">
        <f>knicks_players_all_stats[[#This Row],[FG3A2]]/10</f>
        <v>636</v>
      </c>
      <c r="P41" s="1">
        <v>6360</v>
      </c>
      <c r="Q41" s="2">
        <f>knicks_players_all_stats[[#This Row],[FG3M2]]/knicks_players_all_stats[[#This Row],[FG3A2]]</f>
        <v>0.34276729559748426</v>
      </c>
      <c r="R41" s="1">
        <v>402</v>
      </c>
      <c r="S41" s="1">
        <v>531</v>
      </c>
      <c r="T41" s="3">
        <f>knicks_players_all_stats[[#This Row],[FTM]]/knicks_players_all_stats[[#This Row],[FTA]]</f>
        <v>0.75706214689265539</v>
      </c>
      <c r="U41" s="1">
        <f>knicks_players_all_stats[[#This Row],[OREB22]]/10</f>
        <v>141</v>
      </c>
      <c r="V41" s="1">
        <f>knicks_players_all_stats[[#This Row],[DREB33]]/10</f>
        <v>626</v>
      </c>
      <c r="W41" s="1">
        <f>knicks_players_all_stats[[#This Row],[REB44]]/10</f>
        <v>767</v>
      </c>
      <c r="X41">
        <v>1410</v>
      </c>
      <c r="Y41">
        <v>6260</v>
      </c>
      <c r="Z41">
        <v>7670</v>
      </c>
      <c r="AA41" s="14">
        <f>knicks_players_all_stats[[#This Row],[REB]]/knicks_players_all_stats[[#This Row],[GP]]</f>
        <v>9.9610389610389607</v>
      </c>
      <c r="AB41" s="1">
        <v>316</v>
      </c>
      <c r="AC41" s="4">
        <f>knicks_players_all_stats[[#This Row],[AST]]/knicks_players_all_stats[[#This Row],[GP]]</f>
        <v>4.1038961038961039</v>
      </c>
      <c r="AD41" s="1">
        <f>knicks_players_all_stats[[#This Row],[STL2]]/10</f>
        <v>49</v>
      </c>
      <c r="AE41" s="1">
        <v>490</v>
      </c>
      <c r="AF41" s="4">
        <f>knicks_players_all_stats[[#This Row],[STL]]/knicks_players_all_stats[[#This Row],[GP]]</f>
        <v>0.63636363636363635</v>
      </c>
      <c r="AG41">
        <v>210</v>
      </c>
      <c r="AH41" s="1">
        <f>knicks_players_all_stats[[#This Row],[BLK2]]/10</f>
        <v>21</v>
      </c>
      <c r="AI41" s="4">
        <f>knicks_players_all_stats[[#This Row],[BLK]]/knicks_players_all_stats[[#This Row],[GP]]</f>
        <v>0.27272727272727271</v>
      </c>
      <c r="AJ41">
        <v>2160</v>
      </c>
      <c r="AK41" s="4">
        <f>knicks_players_all_stats[[#This Row],[BLKPG]]+knicks_players_all_stats[[#This Row],[STLPG]]+knicks_players_all_stats[[#This Row],[REBPG]]</f>
        <v>10.870129870129869</v>
      </c>
      <c r="AL41" s="1">
        <f>knicks_players_all_stats[[#This Row],[TOV2]]/10</f>
        <v>216</v>
      </c>
      <c r="AM41" s="4">
        <f>knicks_players_all_stats[[#This Row],[TOV]]/knicks_players_all_stats[[#This Row],[GP]]</f>
        <v>2.8051948051948052</v>
      </c>
      <c r="AN41" s="1">
        <v>233</v>
      </c>
      <c r="AO41" s="1">
        <f>knicks_players_all_stats[[#This Row],[PF]]/knicks_players_all_stats[[#This Row],[GP]]</f>
        <v>3.0259740259740258</v>
      </c>
      <c r="AP41" s="1">
        <v>1936</v>
      </c>
      <c r="AQ41" s="4">
        <f>knicks_players_all_stats[[#This Row],[PTS]]/knicks_players_all_stats[[#This Row],[GP]]</f>
        <v>25.142857142857142</v>
      </c>
    </row>
    <row r="42" spans="1:43" customFormat="1" x14ac:dyDescent="0.3">
      <c r="A42" s="1" t="s">
        <v>1562</v>
      </c>
      <c r="B42" s="1" t="s">
        <v>1369</v>
      </c>
      <c r="C42" s="1" t="str">
        <f>knicks_players_all_stats[[#This Row],[NAME]]&amp;" ("&amp;knicks_players_all_stats[[#This Row],[SEASON]]&amp;")"</f>
        <v>Josh Hart (2023-24)</v>
      </c>
      <c r="D42" s="1">
        <f>knicks_players_all_stats[[#This Row],[PLAYER_AGE]]/10</f>
        <v>29</v>
      </c>
      <c r="E42">
        <v>290</v>
      </c>
      <c r="F42" s="1">
        <v>81</v>
      </c>
      <c r="G42" s="1">
        <v>27070</v>
      </c>
      <c r="H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1168</v>
      </c>
      <c r="I42" s="4">
        <f>knicks_players_all_stats[[#This Row],[VALORATION]]/knicks_players_all_stats[[#This Row],[GP]]</f>
        <v>14.419753086419753</v>
      </c>
      <c r="J42" s="1">
        <v>295</v>
      </c>
      <c r="K42" s="1">
        <v>679</v>
      </c>
      <c r="L42" s="2">
        <f>knicks_players_all_stats[[#This Row],[FGM]]/knicks_players_all_stats[[#This Row],[FGA]]</f>
        <v>0.43446244477172313</v>
      </c>
      <c r="M42" s="16">
        <f>knicks_players_all_stats[[#This Row],[FG3M2]]/10</f>
        <v>80</v>
      </c>
      <c r="N42" s="1">
        <v>800</v>
      </c>
      <c r="O42" s="1">
        <f>knicks_players_all_stats[[#This Row],[FG3A2]]/10</f>
        <v>258</v>
      </c>
      <c r="P42" s="1">
        <v>2580</v>
      </c>
      <c r="Q42" s="2">
        <f>knicks_players_all_stats[[#This Row],[FG3M2]]/knicks_players_all_stats[[#This Row],[FG3A2]]</f>
        <v>0.31007751937984496</v>
      </c>
      <c r="R42" s="1">
        <v>91</v>
      </c>
      <c r="S42" s="1">
        <v>115</v>
      </c>
      <c r="T42" s="3">
        <f>knicks_players_all_stats[[#This Row],[FTM]]/knicks_players_all_stats[[#This Row],[FTA]]</f>
        <v>0.79130434782608694</v>
      </c>
      <c r="U42" s="1">
        <f>knicks_players_all_stats[[#This Row],[OREB22]]/10</f>
        <v>128</v>
      </c>
      <c r="V42" s="1">
        <f>knicks_players_all_stats[[#This Row],[DREB33]]/10</f>
        <v>547</v>
      </c>
      <c r="W42" s="1">
        <f>knicks_players_all_stats[[#This Row],[REB44]]/10</f>
        <v>675</v>
      </c>
      <c r="X42">
        <v>1280</v>
      </c>
      <c r="Y42">
        <v>5470</v>
      </c>
      <c r="Z42">
        <v>6750</v>
      </c>
      <c r="AA42" s="14">
        <f>knicks_players_all_stats[[#This Row],[REB]]/knicks_players_all_stats[[#This Row],[GP]]</f>
        <v>8.3333333333333339</v>
      </c>
      <c r="AB42" s="1">
        <v>331</v>
      </c>
      <c r="AC42" s="4">
        <f>knicks_players_all_stats[[#This Row],[AST]]/knicks_players_all_stats[[#This Row],[GP]]</f>
        <v>4.0864197530864201</v>
      </c>
      <c r="AD42" s="1">
        <f>knicks_players_all_stats[[#This Row],[STL2]]/10</f>
        <v>75</v>
      </c>
      <c r="AE42" s="1">
        <v>750</v>
      </c>
      <c r="AF42" s="4">
        <f>knicks_players_all_stats[[#This Row],[STL]]/knicks_players_all_stats[[#This Row],[GP]]</f>
        <v>0.92592592592592593</v>
      </c>
      <c r="AG42">
        <v>230</v>
      </c>
      <c r="AH42" s="1">
        <f>knicks_players_all_stats[[#This Row],[BLK2]]/10</f>
        <v>23</v>
      </c>
      <c r="AI42" s="4">
        <f>knicks_players_all_stats[[#This Row],[BLK]]/knicks_players_all_stats[[#This Row],[GP]]</f>
        <v>0.2839506172839506</v>
      </c>
      <c r="AJ42">
        <v>1180</v>
      </c>
      <c r="AK42" s="4">
        <f>knicks_players_all_stats[[#This Row],[BLKPG]]+knicks_players_all_stats[[#This Row],[STLPG]]+knicks_players_all_stats[[#This Row],[REBPG]]</f>
        <v>9.5432098765432105</v>
      </c>
      <c r="AL42" s="1">
        <f>knicks_players_all_stats[[#This Row],[TOV2]]/10</f>
        <v>118</v>
      </c>
      <c r="AM42" s="4">
        <f>knicks_players_all_stats[[#This Row],[TOV]]/knicks_players_all_stats[[#This Row],[GP]]</f>
        <v>1.4567901234567902</v>
      </c>
      <c r="AN42" s="1">
        <v>171</v>
      </c>
      <c r="AO42" s="1">
        <f>knicks_players_all_stats[[#This Row],[PF]]/knicks_players_all_stats[[#This Row],[GP]]</f>
        <v>2.1111111111111112</v>
      </c>
      <c r="AP42" s="1">
        <v>761</v>
      </c>
      <c r="AQ42" s="4">
        <f>knicks_players_all_stats[[#This Row],[PTS]]/knicks_players_all_stats[[#This Row],[GP]]</f>
        <v>9.3950617283950617</v>
      </c>
    </row>
    <row r="43" spans="1:43" customFormat="1" x14ac:dyDescent="0.3">
      <c r="A43" s="1" t="s">
        <v>1301</v>
      </c>
      <c r="B43" s="1" t="s">
        <v>1304</v>
      </c>
      <c r="C43" s="1" t="str">
        <f>knicks_players_all_stats[[#This Row],[NAME]]&amp;" ("&amp;knicks_players_all_stats[[#This Row],[SEASON]]&amp;")"</f>
        <v>Nate Robinson (2008-09)</v>
      </c>
      <c r="D43" s="1">
        <f>knicks_players_all_stats[[#This Row],[PLAYER_AGE]]/10</f>
        <v>25</v>
      </c>
      <c r="E43">
        <v>250</v>
      </c>
      <c r="F43" s="1">
        <v>74</v>
      </c>
      <c r="G43" s="1">
        <v>22090</v>
      </c>
      <c r="H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993</v>
      </c>
      <c r="I43" s="4">
        <f>knicks_players_all_stats[[#This Row],[VALORATION]]/knicks_players_all_stats[[#This Row],[GP]]</f>
        <v>13.418918918918919</v>
      </c>
      <c r="J43" s="1">
        <v>449</v>
      </c>
      <c r="K43" s="1">
        <v>1028</v>
      </c>
      <c r="L43" s="2">
        <f>knicks_players_all_stats[[#This Row],[FGM]]/knicks_players_all_stats[[#This Row],[FGA]]</f>
        <v>0.4367704280155642</v>
      </c>
      <c r="M43" s="16">
        <f>knicks_players_all_stats[[#This Row],[FG3M2]]/10</f>
        <v>125</v>
      </c>
      <c r="N43" s="1">
        <v>1250</v>
      </c>
      <c r="O43" s="1">
        <f>knicks_players_all_stats[[#This Row],[FG3A2]]/10</f>
        <v>385</v>
      </c>
      <c r="P43" s="1">
        <v>3850</v>
      </c>
      <c r="Q43" s="2">
        <f>knicks_players_all_stats[[#This Row],[FG3M2]]/knicks_players_all_stats[[#This Row],[FG3A2]]</f>
        <v>0.32467532467532467</v>
      </c>
      <c r="R43" s="1">
        <v>249</v>
      </c>
      <c r="S43" s="1">
        <v>296</v>
      </c>
      <c r="T43" s="3">
        <f>knicks_players_all_stats[[#This Row],[FTM]]/knicks_players_all_stats[[#This Row],[FTA]]</f>
        <v>0.84121621621621623</v>
      </c>
      <c r="U43" s="1">
        <f>knicks_players_all_stats[[#This Row],[OREB22]]/10</f>
        <v>98</v>
      </c>
      <c r="V43" s="1">
        <f>knicks_players_all_stats[[#This Row],[DREB33]]/10</f>
        <v>192</v>
      </c>
      <c r="W43" s="1">
        <f>knicks_players_all_stats[[#This Row],[REB44]]/10</f>
        <v>290</v>
      </c>
      <c r="X43">
        <v>980</v>
      </c>
      <c r="Y43">
        <v>1920</v>
      </c>
      <c r="Z43">
        <v>2900</v>
      </c>
      <c r="AA43" s="14">
        <f>knicks_players_all_stats[[#This Row],[REB]]/knicks_players_all_stats[[#This Row],[GP]]</f>
        <v>3.9189189189189189</v>
      </c>
      <c r="AB43" s="1">
        <v>301</v>
      </c>
      <c r="AC43" s="4">
        <f>knicks_players_all_stats[[#This Row],[AST]]/knicks_players_all_stats[[#This Row],[GP]]</f>
        <v>4.0675675675675675</v>
      </c>
      <c r="AD43" s="1">
        <f>knicks_players_all_stats[[#This Row],[STL2]]/10</f>
        <v>95</v>
      </c>
      <c r="AE43" s="1">
        <v>950</v>
      </c>
      <c r="AF43" s="4">
        <f>knicks_players_all_stats[[#This Row],[STL]]/knicks_players_all_stats[[#This Row],[GP]]</f>
        <v>1.2837837837837838</v>
      </c>
      <c r="AG43">
        <v>60</v>
      </c>
      <c r="AH43" s="1">
        <f>knicks_players_all_stats[[#This Row],[BLK2]]/10</f>
        <v>6</v>
      </c>
      <c r="AI43" s="4">
        <f>knicks_players_all_stats[[#This Row],[BLK]]/knicks_players_all_stats[[#This Row],[GP]]</f>
        <v>8.1081081081081086E-2</v>
      </c>
      <c r="AJ43">
        <v>1390</v>
      </c>
      <c r="AK43" s="4">
        <f>knicks_players_all_stats[[#This Row],[BLKPG]]+knicks_players_all_stats[[#This Row],[STLPG]]+knicks_players_all_stats[[#This Row],[REBPG]]</f>
        <v>5.2837837837837842</v>
      </c>
      <c r="AL43" s="1">
        <f>knicks_players_all_stats[[#This Row],[TOV2]]/10</f>
        <v>139</v>
      </c>
      <c r="AM43" s="4">
        <f>knicks_players_all_stats[[#This Row],[TOV]]/knicks_players_all_stats[[#This Row],[GP]]</f>
        <v>1.8783783783783783</v>
      </c>
      <c r="AN43" s="1">
        <v>206</v>
      </c>
      <c r="AO43" s="1">
        <f>knicks_players_all_stats[[#This Row],[PF]]/knicks_players_all_stats[[#This Row],[GP]]</f>
        <v>2.7837837837837838</v>
      </c>
      <c r="AP43" s="1">
        <v>1272</v>
      </c>
      <c r="AQ43" s="4">
        <f>knicks_players_all_stats[[#This Row],[PTS]]/knicks_players_all_stats[[#This Row],[GP]]</f>
        <v>17.189189189189189</v>
      </c>
    </row>
    <row r="44" spans="1:43" x14ac:dyDescent="0.3">
      <c r="A44" s="1" t="s">
        <v>1408</v>
      </c>
      <c r="B44" s="1" t="s">
        <v>1308</v>
      </c>
      <c r="C44" s="1" t="str">
        <f>knicks_players_all_stats[[#This Row],[NAME]]&amp;" ("&amp;knicks_players_all_stats[[#This Row],[SEASON]]&amp;")"</f>
        <v>Derrick Rose (2021-22)</v>
      </c>
      <c r="D44" s="1">
        <f>knicks_players_all_stats[[#This Row],[PLAYER_AGE]]/10</f>
        <v>33</v>
      </c>
      <c r="E44">
        <v>330</v>
      </c>
      <c r="F44" s="1">
        <v>26</v>
      </c>
      <c r="G44" s="1">
        <v>6360</v>
      </c>
      <c r="H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319</v>
      </c>
      <c r="I44" s="4">
        <f>knicks_players_all_stats[[#This Row],[VALORATION]]/knicks_players_all_stats[[#This Row],[GP]]</f>
        <v>12.26923076923077</v>
      </c>
      <c r="J44" s="1">
        <v>122</v>
      </c>
      <c r="K44" s="1">
        <v>274</v>
      </c>
      <c r="L44" s="2">
        <f>knicks_players_all_stats[[#This Row],[FGM]]/knicks_players_all_stats[[#This Row],[FGA]]</f>
        <v>0.44525547445255476</v>
      </c>
      <c r="M44" s="16">
        <f>knicks_players_all_stats[[#This Row],[FG3M2]]/10</f>
        <v>37</v>
      </c>
      <c r="N44" s="1">
        <v>370</v>
      </c>
      <c r="O44" s="1">
        <f>knicks_players_all_stats[[#This Row],[FG3A2]]/10</f>
        <v>92</v>
      </c>
      <c r="P44" s="1">
        <v>920</v>
      </c>
      <c r="Q44" s="2">
        <f>knicks_players_all_stats[[#This Row],[FG3M2]]/knicks_players_all_stats[[#This Row],[FG3A2]]</f>
        <v>0.40217391304347827</v>
      </c>
      <c r="R44" s="1">
        <v>30</v>
      </c>
      <c r="S44" s="1">
        <v>31</v>
      </c>
      <c r="T44" s="3">
        <f>knicks_players_all_stats[[#This Row],[FTM]]/knicks_players_all_stats[[#This Row],[FTA]]</f>
        <v>0.967741935483871</v>
      </c>
      <c r="U44" s="1">
        <f>knicks_players_all_stats[[#This Row],[OREB22]]/10</f>
        <v>21</v>
      </c>
      <c r="V44" s="1">
        <f>knicks_players_all_stats[[#This Row],[DREB33]]/10</f>
        <v>57</v>
      </c>
      <c r="W44" s="1">
        <f>knicks_players_all_stats[[#This Row],[REB44]]/10</f>
        <v>78</v>
      </c>
      <c r="X44">
        <v>210</v>
      </c>
      <c r="Y44">
        <v>570</v>
      </c>
      <c r="Z44">
        <v>780</v>
      </c>
      <c r="AA44" s="14">
        <f>knicks_players_all_stats[[#This Row],[REB]]/knicks_players_all_stats[[#This Row],[GP]]</f>
        <v>3</v>
      </c>
      <c r="AB44" s="1">
        <v>103</v>
      </c>
      <c r="AC44" s="4">
        <f>knicks_players_all_stats[[#This Row],[AST]]/knicks_players_all_stats[[#This Row],[GP]]</f>
        <v>3.9615384615384617</v>
      </c>
      <c r="AD44" s="1">
        <f>knicks_players_all_stats[[#This Row],[STL2]]/10</f>
        <v>22</v>
      </c>
      <c r="AE44" s="1">
        <v>220</v>
      </c>
      <c r="AF44" s="4">
        <f>knicks_players_all_stats[[#This Row],[STL]]/knicks_players_all_stats[[#This Row],[GP]]</f>
        <v>0.84615384615384615</v>
      </c>
      <c r="AG44">
        <v>120</v>
      </c>
      <c r="AH44" s="1">
        <f>knicks_players_all_stats[[#This Row],[BLK2]]/10</f>
        <v>12</v>
      </c>
      <c r="AI44" s="4">
        <f>knicks_players_all_stats[[#This Row],[BLK]]/knicks_players_all_stats[[#This Row],[GP]]</f>
        <v>0.46153846153846156</v>
      </c>
      <c r="AJ44">
        <v>390</v>
      </c>
      <c r="AK44" s="4">
        <f>knicks_players_all_stats[[#This Row],[BLKPG]]+knicks_players_all_stats[[#This Row],[STLPG]]+knicks_players_all_stats[[#This Row],[REBPG]]</f>
        <v>4.3076923076923075</v>
      </c>
      <c r="AL44" s="1">
        <f>knicks_players_all_stats[[#This Row],[TOV2]]/10</f>
        <v>39</v>
      </c>
      <c r="AM44" s="4">
        <f>knicks_players_all_stats[[#This Row],[TOV]]/knicks_players_all_stats[[#This Row],[GP]]</f>
        <v>1.5</v>
      </c>
      <c r="AN44" s="1">
        <v>15</v>
      </c>
      <c r="AO44" s="1">
        <f>knicks_players_all_stats[[#This Row],[PF]]/knicks_players_all_stats[[#This Row],[GP]]</f>
        <v>0.57692307692307687</v>
      </c>
      <c r="AP44" s="1">
        <v>311</v>
      </c>
      <c r="AQ44" s="4">
        <f>knicks_players_all_stats[[#This Row],[PTS]]/knicks_players_all_stats[[#This Row],[GP]]</f>
        <v>11.961538461538462</v>
      </c>
    </row>
    <row r="45" spans="1:43" x14ac:dyDescent="0.3">
      <c r="A45" s="1" t="s">
        <v>1418</v>
      </c>
      <c r="B45" s="1" t="s">
        <v>1305</v>
      </c>
      <c r="C45" s="1" t="str">
        <f>knicks_players_all_stats[[#This Row],[NAME]]&amp;" ("&amp;knicks_players_all_stats[[#This Row],[SEASON]]&amp;")"</f>
        <v>Tracy McGrady (2009-10)</v>
      </c>
      <c r="D45" s="1">
        <f>knicks_players_all_stats[[#This Row],[PLAYER_AGE]]/10</f>
        <v>31</v>
      </c>
      <c r="E45">
        <v>310</v>
      </c>
      <c r="F45" s="1">
        <v>24</v>
      </c>
      <c r="G45" s="1">
        <v>6270</v>
      </c>
      <c r="H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208</v>
      </c>
      <c r="I45" s="4">
        <f>knicks_players_all_stats[[#This Row],[VALORATION]]/knicks_players_all_stats[[#This Row],[GP]]</f>
        <v>8.6666666666666661</v>
      </c>
      <c r="J45" s="1">
        <v>84</v>
      </c>
      <c r="K45" s="1">
        <v>216</v>
      </c>
      <c r="L45" s="2">
        <f>knicks_players_all_stats[[#This Row],[FGM]]/knicks_players_all_stats[[#This Row],[FGA]]</f>
        <v>0.3888888888888889</v>
      </c>
      <c r="M45" s="16">
        <f>knicks_players_all_stats[[#This Row],[FG3M2]]/10</f>
        <v>15</v>
      </c>
      <c r="N45" s="1">
        <v>150</v>
      </c>
      <c r="O45" s="1">
        <f>knicks_players_all_stats[[#This Row],[FG3A2]]/10</f>
        <v>62</v>
      </c>
      <c r="P45" s="1">
        <v>620</v>
      </c>
      <c r="Q45" s="2">
        <f>knicks_players_all_stats[[#This Row],[FG3M2]]/knicks_players_all_stats[[#This Row],[FG3A2]]</f>
        <v>0.24193548387096775</v>
      </c>
      <c r="R45" s="1">
        <v>43</v>
      </c>
      <c r="S45" s="1">
        <v>57</v>
      </c>
      <c r="T45" s="3">
        <f>knicks_players_all_stats[[#This Row],[FTM]]/knicks_players_all_stats[[#This Row],[FTA]]</f>
        <v>0.75438596491228072</v>
      </c>
      <c r="U45" s="1">
        <f>knicks_players_all_stats[[#This Row],[OREB22]]/10</f>
        <v>22</v>
      </c>
      <c r="V45" s="1">
        <f>knicks_players_all_stats[[#This Row],[DREB33]]/10</f>
        <v>67</v>
      </c>
      <c r="W45" s="1">
        <f>knicks_players_all_stats[[#This Row],[REB44]]/10</f>
        <v>89</v>
      </c>
      <c r="X45">
        <v>220</v>
      </c>
      <c r="Y45">
        <v>670</v>
      </c>
      <c r="Z45">
        <v>890</v>
      </c>
      <c r="AA45" s="14">
        <f>knicks_players_all_stats[[#This Row],[REB]]/knicks_players_all_stats[[#This Row],[GP]]</f>
        <v>3.7083333333333335</v>
      </c>
      <c r="AB45" s="1">
        <v>93</v>
      </c>
      <c r="AC45" s="4">
        <f>knicks_players_all_stats[[#This Row],[AST]]/knicks_players_all_stats[[#This Row],[GP]]</f>
        <v>3.875</v>
      </c>
      <c r="AD45" s="1">
        <f>knicks_players_all_stats[[#This Row],[STL2]]/10</f>
        <v>15</v>
      </c>
      <c r="AE45" s="1">
        <v>150</v>
      </c>
      <c r="AF45" s="4">
        <f>knicks_players_all_stats[[#This Row],[STL]]/knicks_players_all_stats[[#This Row],[GP]]</f>
        <v>0.625</v>
      </c>
      <c r="AG45">
        <v>120</v>
      </c>
      <c r="AH45" s="1">
        <f>knicks_players_all_stats[[#This Row],[BLK2]]/10</f>
        <v>12</v>
      </c>
      <c r="AI45" s="4">
        <f>knicks_players_all_stats[[#This Row],[BLK]]/knicks_players_all_stats[[#This Row],[GP]]</f>
        <v>0.5</v>
      </c>
      <c r="AJ45">
        <v>430</v>
      </c>
      <c r="AK45" s="4">
        <f>knicks_players_all_stats[[#This Row],[BLKPG]]+knicks_players_all_stats[[#This Row],[STLPG]]+knicks_players_all_stats[[#This Row],[REBPG]]</f>
        <v>4.8333333333333339</v>
      </c>
      <c r="AL45" s="1">
        <f>knicks_players_all_stats[[#This Row],[TOV2]]/10</f>
        <v>43</v>
      </c>
      <c r="AM45" s="4">
        <f>knicks_players_all_stats[[#This Row],[TOV]]/knicks_players_all_stats[[#This Row],[GP]]</f>
        <v>1.7916666666666667</v>
      </c>
      <c r="AN45" s="1">
        <v>38</v>
      </c>
      <c r="AO45" s="1">
        <f>knicks_players_all_stats[[#This Row],[PF]]/knicks_players_all_stats[[#This Row],[GP]]</f>
        <v>1.5833333333333333</v>
      </c>
      <c r="AP45" s="1">
        <v>226</v>
      </c>
      <c r="AQ45" s="4">
        <f>knicks_players_all_stats[[#This Row],[PTS]]/knicks_players_all_stats[[#This Row],[GP]]</f>
        <v>9.4166666666666661</v>
      </c>
    </row>
    <row r="46" spans="1:43" x14ac:dyDescent="0.3">
      <c r="A46" s="1" t="s">
        <v>1600</v>
      </c>
      <c r="B46" s="1" t="s">
        <v>1330</v>
      </c>
      <c r="C46" s="1" t="str">
        <f>knicks_players_all_stats[[#This Row],[NAME]]&amp;" ("&amp;knicks_players_all_stats[[#This Row],[SEASON]]&amp;")"</f>
        <v>Latrell Sprewell (2001-02)</v>
      </c>
      <c r="D46" s="1">
        <f>knicks_players_all_stats[[#This Row],[PLAYER_AGE]]/10</f>
        <v>31</v>
      </c>
      <c r="E46">
        <v>310</v>
      </c>
      <c r="F46" s="1">
        <v>81</v>
      </c>
      <c r="G46" s="1">
        <v>33280</v>
      </c>
      <c r="H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1002</v>
      </c>
      <c r="I46" s="4">
        <f>knicks_players_all_stats[[#This Row],[VALORATION]]/knicks_players_all_stats[[#This Row],[GP]]</f>
        <v>12.37037037037037</v>
      </c>
      <c r="J46" s="1">
        <v>573</v>
      </c>
      <c r="K46" s="1">
        <v>1419</v>
      </c>
      <c r="L46" s="2">
        <f>knicks_players_all_stats[[#This Row],[FGM]]/knicks_players_all_stats[[#This Row],[FGA]]</f>
        <v>0.40380549682875266</v>
      </c>
      <c r="M46" s="16">
        <f>knicks_players_all_stats[[#This Row],[FG3M2]]/10</f>
        <v>145</v>
      </c>
      <c r="N46" s="1">
        <v>1450</v>
      </c>
      <c r="O46" s="1">
        <f>knicks_players_all_stats[[#This Row],[FG3A2]]/10</f>
        <v>403</v>
      </c>
      <c r="P46" s="1">
        <v>4030</v>
      </c>
      <c r="Q46" s="2">
        <f>knicks_players_all_stats[[#This Row],[FG3M2]]/knicks_players_all_stats[[#This Row],[FG3A2]]</f>
        <v>0.35980148883374691</v>
      </c>
      <c r="R46" s="1">
        <v>284</v>
      </c>
      <c r="S46" s="1">
        <v>346</v>
      </c>
      <c r="T46" s="3">
        <f>knicks_players_all_stats[[#This Row],[FTM]]/knicks_players_all_stats[[#This Row],[FTA]]</f>
        <v>0.82080924855491333</v>
      </c>
      <c r="U46" s="1">
        <f>knicks_players_all_stats[[#This Row],[OREB22]]/10</f>
        <v>59</v>
      </c>
      <c r="V46" s="1">
        <f>knicks_players_all_stats[[#This Row],[DREB33]]/10</f>
        <v>239</v>
      </c>
      <c r="W46" s="1">
        <f>knicks_players_all_stats[[#This Row],[REB44]]/10</f>
        <v>298</v>
      </c>
      <c r="X46">
        <v>590</v>
      </c>
      <c r="Y46">
        <v>2390</v>
      </c>
      <c r="Z46">
        <v>2980</v>
      </c>
      <c r="AA46" s="14">
        <f>knicks_players_all_stats[[#This Row],[REB]]/knicks_players_all_stats[[#This Row],[GP]]</f>
        <v>3.6790123456790123</v>
      </c>
      <c r="AB46" s="1">
        <v>313</v>
      </c>
      <c r="AC46" s="4">
        <f>knicks_players_all_stats[[#This Row],[AST]]/knicks_players_all_stats[[#This Row],[GP]]</f>
        <v>3.8641975308641974</v>
      </c>
      <c r="AD46" s="1">
        <f>knicks_players_all_stats[[#This Row],[STL2]]/10</f>
        <v>94</v>
      </c>
      <c r="AE46" s="1">
        <v>940</v>
      </c>
      <c r="AF46" s="4">
        <f>knicks_players_all_stats[[#This Row],[STL]]/knicks_players_all_stats[[#This Row],[GP]]</f>
        <v>1.1604938271604939</v>
      </c>
      <c r="AG46">
        <v>140</v>
      </c>
      <c r="AH46" s="1">
        <f>knicks_players_all_stats[[#This Row],[BLK2]]/10</f>
        <v>14</v>
      </c>
      <c r="AI46" s="4">
        <f>knicks_players_all_stats[[#This Row],[BLK]]/knicks_players_all_stats[[#This Row],[GP]]</f>
        <v>0.1728395061728395</v>
      </c>
      <c r="AJ46">
        <v>2230</v>
      </c>
      <c r="AK46" s="4">
        <f>knicks_players_all_stats[[#This Row],[BLKPG]]+knicks_players_all_stats[[#This Row],[STLPG]]+knicks_players_all_stats[[#This Row],[REBPG]]</f>
        <v>5.0123456790123457</v>
      </c>
      <c r="AL46" s="1">
        <f>knicks_players_all_stats[[#This Row],[TOV2]]/10</f>
        <v>223</v>
      </c>
      <c r="AM46" s="4">
        <f>knicks_players_all_stats[[#This Row],[TOV]]/knicks_players_all_stats[[#This Row],[GP]]</f>
        <v>2.7530864197530862</v>
      </c>
      <c r="AN46" s="1">
        <v>161</v>
      </c>
      <c r="AO46" s="1">
        <f>knicks_players_all_stats[[#This Row],[PF]]/knicks_players_all_stats[[#This Row],[GP]]</f>
        <v>1.9876543209876543</v>
      </c>
      <c r="AP46" s="1">
        <v>1575</v>
      </c>
      <c r="AQ46" s="4">
        <f>knicks_players_all_stats[[#This Row],[PTS]]/knicks_players_all_stats[[#This Row],[GP]]</f>
        <v>19.444444444444443</v>
      </c>
    </row>
    <row r="47" spans="1:43" x14ac:dyDescent="0.3">
      <c r="A47" s="1" t="s">
        <v>1449</v>
      </c>
      <c r="B47" s="1" t="s">
        <v>1302</v>
      </c>
      <c r="C47" s="1" t="str">
        <f>knicks_players_all_stats[[#This Row],[NAME]]&amp;" ("&amp;knicks_players_all_stats[[#This Row],[SEASON]]&amp;")"</f>
        <v>Steve Francis (2006-07)</v>
      </c>
      <c r="D47" s="1">
        <f>knicks_players_all_stats[[#This Row],[PLAYER_AGE]]/10</f>
        <v>30</v>
      </c>
      <c r="E47">
        <v>300</v>
      </c>
      <c r="F47" s="1">
        <v>44</v>
      </c>
      <c r="G47" s="1">
        <v>12370</v>
      </c>
      <c r="H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412</v>
      </c>
      <c r="I47" s="4">
        <f>knicks_players_all_stats[[#This Row],[VALORATION]]/knicks_players_all_stats[[#This Row],[GP]]</f>
        <v>9.3636363636363633</v>
      </c>
      <c r="J47" s="1">
        <v>140</v>
      </c>
      <c r="K47" s="1">
        <v>343</v>
      </c>
      <c r="L47" s="2">
        <f>knicks_players_all_stats[[#This Row],[FGM]]/knicks_players_all_stats[[#This Row],[FGA]]</f>
        <v>0.40816326530612246</v>
      </c>
      <c r="M47" s="16">
        <f>knicks_players_all_stats[[#This Row],[FG3M2]]/10</f>
        <v>42</v>
      </c>
      <c r="N47" s="1">
        <v>420</v>
      </c>
      <c r="O47" s="1">
        <f>knicks_players_all_stats[[#This Row],[FG3A2]]/10</f>
        <v>111</v>
      </c>
      <c r="P47" s="1">
        <v>1110</v>
      </c>
      <c r="Q47" s="2">
        <f>knicks_players_all_stats[[#This Row],[FG3M2]]/knicks_players_all_stats[[#This Row],[FG3A2]]</f>
        <v>0.3783783783783784</v>
      </c>
      <c r="R47" s="1">
        <v>175</v>
      </c>
      <c r="S47" s="1">
        <v>211</v>
      </c>
      <c r="T47" s="3">
        <f>knicks_players_all_stats[[#This Row],[FTM]]/knicks_players_all_stats[[#This Row],[FTA]]</f>
        <v>0.82938388625592419</v>
      </c>
      <c r="U47" s="1">
        <f>knicks_players_all_stats[[#This Row],[OREB22]]/10</f>
        <v>33</v>
      </c>
      <c r="V47" s="1">
        <f>knicks_players_all_stats[[#This Row],[DREB33]]/10</f>
        <v>124</v>
      </c>
      <c r="W47" s="1">
        <f>knicks_players_all_stats[[#This Row],[REB44]]/10</f>
        <v>157</v>
      </c>
      <c r="X47">
        <v>330</v>
      </c>
      <c r="Y47">
        <v>1240</v>
      </c>
      <c r="Z47">
        <v>1570</v>
      </c>
      <c r="AA47" s="14">
        <f>knicks_players_all_stats[[#This Row],[REB]]/knicks_players_all_stats[[#This Row],[GP]]</f>
        <v>3.5681818181818183</v>
      </c>
      <c r="AB47" s="1">
        <v>170</v>
      </c>
      <c r="AC47" s="4">
        <f>knicks_players_all_stats[[#This Row],[AST]]/knicks_players_all_stats[[#This Row],[GP]]</f>
        <v>3.8636363636363638</v>
      </c>
      <c r="AD47" s="1">
        <f>knicks_players_all_stats[[#This Row],[STL2]]/10</f>
        <v>41</v>
      </c>
      <c r="AE47" s="1">
        <v>410</v>
      </c>
      <c r="AF47" s="4">
        <f>knicks_players_all_stats[[#This Row],[STL]]/knicks_players_all_stats[[#This Row],[GP]]</f>
        <v>0.93181818181818177</v>
      </c>
      <c r="AG47">
        <v>120</v>
      </c>
      <c r="AH47" s="1">
        <f>knicks_players_all_stats[[#This Row],[BLK2]]/10</f>
        <v>12</v>
      </c>
      <c r="AI47" s="4">
        <f>knicks_players_all_stats[[#This Row],[BLK]]/knicks_players_all_stats[[#This Row],[GP]]</f>
        <v>0.27272727272727271</v>
      </c>
      <c r="AJ47">
        <v>1000</v>
      </c>
      <c r="AK47" s="4">
        <f>knicks_players_all_stats[[#This Row],[BLKPG]]+knicks_players_all_stats[[#This Row],[STLPG]]+knicks_players_all_stats[[#This Row],[REBPG]]</f>
        <v>4.7727272727272734</v>
      </c>
      <c r="AL47" s="1">
        <f>knicks_players_all_stats[[#This Row],[TOV2]]/10</f>
        <v>100</v>
      </c>
      <c r="AM47" s="4">
        <f>knicks_players_all_stats[[#This Row],[TOV]]/knicks_players_all_stats[[#This Row],[GP]]</f>
        <v>2.2727272727272729</v>
      </c>
      <c r="AN47" s="1">
        <v>126</v>
      </c>
      <c r="AO47" s="1">
        <f>knicks_players_all_stats[[#This Row],[PF]]/knicks_players_all_stats[[#This Row],[GP]]</f>
        <v>2.8636363636363638</v>
      </c>
      <c r="AP47" s="1">
        <v>497</v>
      </c>
      <c r="AQ47" s="4">
        <f>knicks_players_all_stats[[#This Row],[PTS]]/knicks_players_all_stats[[#This Row],[GP]]</f>
        <v>11.295454545454545</v>
      </c>
    </row>
    <row r="48" spans="1:43" x14ac:dyDescent="0.3">
      <c r="A48" s="1" t="s">
        <v>1345</v>
      </c>
      <c r="B48" s="1" t="s">
        <v>1259</v>
      </c>
      <c r="C48" s="1" t="str">
        <f>knicks_players_all_stats[[#This Row],[NAME]]&amp;" ("&amp;knicks_players_all_stats[[#This Row],[SEASON]]&amp;")"</f>
        <v>Emmanuel Mudiay (2017-18)</v>
      </c>
      <c r="D48" s="1">
        <f>knicks_players_all_stats[[#This Row],[PLAYER_AGE]]/10</f>
        <v>22</v>
      </c>
      <c r="E48">
        <v>220</v>
      </c>
      <c r="F48" s="1">
        <v>22</v>
      </c>
      <c r="G48" s="1">
        <v>4930</v>
      </c>
      <c r="H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145</v>
      </c>
      <c r="I48" s="4">
        <f>knicks_players_all_stats[[#This Row],[VALORATION]]/knicks_players_all_stats[[#This Row],[GP]]</f>
        <v>6.5909090909090908</v>
      </c>
      <c r="J48" s="1">
        <v>75</v>
      </c>
      <c r="K48" s="1">
        <v>204</v>
      </c>
      <c r="L48" s="2">
        <f>knicks_players_all_stats[[#This Row],[FGM]]/knicks_players_all_stats[[#This Row],[FGA]]</f>
        <v>0.36764705882352944</v>
      </c>
      <c r="M48" s="16">
        <f>knicks_players_all_stats[[#This Row],[FG3M2]]/10</f>
        <v>9</v>
      </c>
      <c r="N48" s="1">
        <v>90</v>
      </c>
      <c r="O48" s="1">
        <f>knicks_players_all_stats[[#This Row],[FG3A2]]/10</f>
        <v>46</v>
      </c>
      <c r="P48" s="1">
        <v>460</v>
      </c>
      <c r="Q48" s="2">
        <f>knicks_players_all_stats[[#This Row],[FG3M2]]/knicks_players_all_stats[[#This Row],[FG3A2]]</f>
        <v>0.19565217391304349</v>
      </c>
      <c r="R48" s="1">
        <v>35</v>
      </c>
      <c r="S48" s="1">
        <v>51</v>
      </c>
      <c r="T48" s="3">
        <f>knicks_players_all_stats[[#This Row],[FTM]]/knicks_players_all_stats[[#This Row],[FTA]]</f>
        <v>0.68627450980392157</v>
      </c>
      <c r="U48" s="1">
        <f>knicks_players_all_stats[[#This Row],[OREB22]]/10</f>
        <v>10</v>
      </c>
      <c r="V48" s="1">
        <f>knicks_players_all_stats[[#This Row],[DREB33]]/10</f>
        <v>48</v>
      </c>
      <c r="W48" s="1">
        <f>knicks_players_all_stats[[#This Row],[REB44]]/10</f>
        <v>58</v>
      </c>
      <c r="X48">
        <v>100</v>
      </c>
      <c r="Y48">
        <v>480</v>
      </c>
      <c r="Z48">
        <v>580</v>
      </c>
      <c r="AA48" s="14">
        <f>knicks_players_all_stats[[#This Row],[REB]]/knicks_players_all_stats[[#This Row],[GP]]</f>
        <v>2.6363636363636362</v>
      </c>
      <c r="AB48" s="1">
        <v>85</v>
      </c>
      <c r="AC48" s="4">
        <f>knicks_players_all_stats[[#This Row],[AST]]/knicks_players_all_stats[[#This Row],[GP]]</f>
        <v>3.8636363636363638</v>
      </c>
      <c r="AD48" s="1">
        <f>knicks_players_all_stats[[#This Row],[STL2]]/10</f>
        <v>20</v>
      </c>
      <c r="AE48" s="1">
        <v>200</v>
      </c>
      <c r="AF48" s="4">
        <f>knicks_players_all_stats[[#This Row],[STL]]/knicks_players_all_stats[[#This Row],[GP]]</f>
        <v>0.90909090909090906</v>
      </c>
      <c r="AG48">
        <v>70</v>
      </c>
      <c r="AH48" s="1">
        <f>knicks_players_all_stats[[#This Row],[BLK2]]/10</f>
        <v>7</v>
      </c>
      <c r="AI48" s="4">
        <f>knicks_players_all_stats[[#This Row],[BLK]]/knicks_players_all_stats[[#This Row],[GP]]</f>
        <v>0.31818181818181818</v>
      </c>
      <c r="AJ48">
        <v>410</v>
      </c>
      <c r="AK48" s="4">
        <f>knicks_players_all_stats[[#This Row],[BLKPG]]+knicks_players_all_stats[[#This Row],[STLPG]]+knicks_players_all_stats[[#This Row],[REBPG]]</f>
        <v>3.8636363636363633</v>
      </c>
      <c r="AL48" s="1">
        <f>knicks_players_all_stats[[#This Row],[TOV2]]/10</f>
        <v>41</v>
      </c>
      <c r="AM48" s="4">
        <f>knicks_players_all_stats[[#This Row],[TOV]]/knicks_players_all_stats[[#This Row],[GP]]</f>
        <v>1.8636363636363635</v>
      </c>
      <c r="AN48" s="1">
        <v>33</v>
      </c>
      <c r="AO48" s="1">
        <f>knicks_players_all_stats[[#This Row],[PF]]/knicks_players_all_stats[[#This Row],[GP]]</f>
        <v>1.5</v>
      </c>
      <c r="AP48" s="1">
        <v>194</v>
      </c>
      <c r="AQ48" s="4">
        <f>knicks_players_all_stats[[#This Row],[PTS]]/knicks_players_all_stats[[#This Row],[GP]]</f>
        <v>8.8181818181818183</v>
      </c>
    </row>
    <row r="49" spans="1:43" x14ac:dyDescent="0.3">
      <c r="A49" s="1" t="s">
        <v>1697</v>
      </c>
      <c r="B49" s="1" t="s">
        <v>1300</v>
      </c>
      <c r="C49" s="1" t="str">
        <f>knicks_players_all_stats[[#This Row],[NAME]]&amp;" ("&amp;knicks_players_all_stats[[#This Row],[SEASON]]&amp;")"</f>
        <v>Jamal Crawford (2005-06)</v>
      </c>
      <c r="D49" s="1">
        <f>knicks_players_all_stats[[#This Row],[PLAYER_AGE]]/10</f>
        <v>26</v>
      </c>
      <c r="E49">
        <v>260</v>
      </c>
      <c r="F49" s="1">
        <v>79</v>
      </c>
      <c r="G49" s="1">
        <v>25550</v>
      </c>
      <c r="H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879</v>
      </c>
      <c r="I49" s="4">
        <f>knicks_players_all_stats[[#This Row],[VALORATION]]/knicks_players_all_stats[[#This Row],[GP]]</f>
        <v>11.126582278481013</v>
      </c>
      <c r="J49" s="1">
        <v>366</v>
      </c>
      <c r="K49" s="1">
        <v>879</v>
      </c>
      <c r="L49" s="1">
        <v>416</v>
      </c>
      <c r="M49" s="4">
        <f>knicks_players_all_stats[[#This Row],[FG3M2]]/10</f>
        <v>101</v>
      </c>
      <c r="N49" s="1">
        <v>1010</v>
      </c>
      <c r="O49" s="1">
        <f>knicks_players_all_stats[[#This Row],[FG3A2]]/10</f>
        <v>293</v>
      </c>
      <c r="P49" s="1">
        <v>2930</v>
      </c>
      <c r="Q49" s="2">
        <f>knicks_players_all_stats[[#This Row],[FG3M2]]/knicks_players_all_stats[[#This Row],[FG3A2]]</f>
        <v>0.34470989761092152</v>
      </c>
      <c r="R49" s="1">
        <v>295</v>
      </c>
      <c r="S49" s="1">
        <v>357</v>
      </c>
      <c r="T49" s="3">
        <f>knicks_players_all_stats[[#This Row],[FTM]]/knicks_players_all_stats[[#This Row],[FTA]]</f>
        <v>0.8263305322128851</v>
      </c>
      <c r="U49" s="1">
        <f>knicks_players_all_stats[[#This Row],[OREB22]]/10</f>
        <v>36</v>
      </c>
      <c r="V49" s="1">
        <f>knicks_players_all_stats[[#This Row],[DREB33]]/10</f>
        <v>212</v>
      </c>
      <c r="W49" s="1">
        <f>knicks_players_all_stats[[#This Row],[REB44]]/10</f>
        <v>248</v>
      </c>
      <c r="X49">
        <v>360</v>
      </c>
      <c r="Y49">
        <v>2120</v>
      </c>
      <c r="Z49">
        <v>2480</v>
      </c>
      <c r="AA49" s="14">
        <f>knicks_players_all_stats[[#This Row],[REB]]/knicks_players_all_stats[[#This Row],[GP]]</f>
        <v>3.1392405063291138</v>
      </c>
      <c r="AB49" s="1">
        <v>301</v>
      </c>
      <c r="AC49" s="4">
        <f>knicks_players_all_stats[[#This Row],[AST]]/knicks_players_all_stats[[#This Row],[GP]]</f>
        <v>3.8101265822784809</v>
      </c>
      <c r="AD49" s="1">
        <f>knicks_players_all_stats[[#This Row],[STL2]]/10</f>
        <v>87</v>
      </c>
      <c r="AE49" s="1">
        <v>870</v>
      </c>
      <c r="AF49" s="4">
        <f>knicks_players_all_stats[[#This Row],[STL]]/knicks_players_all_stats[[#This Row],[GP]]</f>
        <v>1.1012658227848102</v>
      </c>
      <c r="AG49">
        <v>150</v>
      </c>
      <c r="AH49" s="1">
        <f>knicks_players_all_stats[[#This Row],[BLK2]]/10</f>
        <v>15</v>
      </c>
      <c r="AI49" s="4">
        <f>knicks_players_all_stats[[#This Row],[BLK]]/knicks_players_all_stats[[#This Row],[GP]]</f>
        <v>0.189873417721519</v>
      </c>
      <c r="AJ49">
        <v>1750</v>
      </c>
      <c r="AK49" s="4">
        <f>knicks_players_all_stats[[#This Row],[BLKPG]]+knicks_players_all_stats[[#This Row],[STLPG]]+knicks_players_all_stats[[#This Row],[REBPG]]</f>
        <v>4.4303797468354436</v>
      </c>
      <c r="AL49" s="1">
        <f>knicks_players_all_stats[[#This Row],[TOV2]]/10</f>
        <v>175</v>
      </c>
      <c r="AM49" s="4">
        <f>knicks_players_all_stats[[#This Row],[TOV]]/knicks_players_all_stats[[#This Row],[GP]]</f>
        <v>2.2151898734177213</v>
      </c>
      <c r="AN49" s="1">
        <v>150</v>
      </c>
      <c r="AO49" s="1">
        <f>knicks_players_all_stats[[#This Row],[PF]]/knicks_players_all_stats[[#This Row],[GP]]</f>
        <v>1.8987341772151898</v>
      </c>
      <c r="AP49" s="1">
        <v>1128</v>
      </c>
      <c r="AQ49" s="4">
        <f>knicks_players_all_stats[[#This Row],[PTS]]/knicks_players_all_stats[[#This Row],[GP]]</f>
        <v>14.278481012658228</v>
      </c>
    </row>
    <row r="50" spans="1:43" x14ac:dyDescent="0.3">
      <c r="A50" s="1" t="s">
        <v>1301</v>
      </c>
      <c r="B50" s="1" t="s">
        <v>1305</v>
      </c>
      <c r="C50" s="1" t="str">
        <f>knicks_players_all_stats[[#This Row],[NAME]]&amp;" ("&amp;knicks_players_all_stats[[#This Row],[SEASON]]&amp;")"</f>
        <v>Nate Robinson (2009-10)</v>
      </c>
      <c r="D50" s="1">
        <f>knicks_players_all_stats[[#This Row],[PLAYER_AGE]]/10</f>
        <v>26</v>
      </c>
      <c r="E50">
        <v>260</v>
      </c>
      <c r="F50" s="1">
        <v>30</v>
      </c>
      <c r="G50" s="1">
        <v>7330</v>
      </c>
      <c r="H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298</v>
      </c>
      <c r="I50" s="4">
        <f>knicks_players_all_stats[[#This Row],[VALORATION]]/knicks_players_all_stats[[#This Row],[GP]]</f>
        <v>9.9333333333333336</v>
      </c>
      <c r="J50" s="1">
        <v>152</v>
      </c>
      <c r="K50" s="1">
        <v>336</v>
      </c>
      <c r="L50" s="2">
        <f>knicks_players_all_stats[[#This Row],[FGM]]/knicks_players_all_stats[[#This Row],[FGA]]</f>
        <v>0.45238095238095238</v>
      </c>
      <c r="M50" s="16">
        <f>knicks_players_all_stats[[#This Row],[FG3M2]]/10</f>
        <v>51</v>
      </c>
      <c r="N50" s="1">
        <v>510</v>
      </c>
      <c r="O50" s="1">
        <f>knicks_players_all_stats[[#This Row],[FG3A2]]/10</f>
        <v>136</v>
      </c>
      <c r="P50" s="1">
        <v>1360</v>
      </c>
      <c r="Q50" s="2">
        <f>knicks_players_all_stats[[#This Row],[FG3M2]]/knicks_players_all_stats[[#This Row],[FG3A2]]</f>
        <v>0.375</v>
      </c>
      <c r="R50" s="1">
        <v>42</v>
      </c>
      <c r="S50" s="1">
        <v>54</v>
      </c>
      <c r="T50" s="3">
        <f>knicks_players_all_stats[[#This Row],[FTM]]/knicks_players_all_stats[[#This Row],[FTA]]</f>
        <v>0.77777777777777779</v>
      </c>
      <c r="U50" s="1">
        <f>knicks_players_all_stats[[#This Row],[OREB22]]/10</f>
        <v>23</v>
      </c>
      <c r="V50" s="1">
        <f>knicks_players_all_stats[[#This Row],[DREB33]]/10</f>
        <v>49</v>
      </c>
      <c r="W50" s="1">
        <f>knicks_players_all_stats[[#This Row],[REB44]]/10</f>
        <v>72</v>
      </c>
      <c r="X50">
        <v>230</v>
      </c>
      <c r="Y50">
        <v>490</v>
      </c>
      <c r="Z50">
        <v>720</v>
      </c>
      <c r="AA50" s="14">
        <f>knicks_players_all_stats[[#This Row],[REB]]/knicks_players_all_stats[[#This Row],[GP]]</f>
        <v>2.4</v>
      </c>
      <c r="AB50" s="1">
        <v>112</v>
      </c>
      <c r="AC50" s="4">
        <f>knicks_players_all_stats[[#This Row],[AST]]/knicks_players_all_stats[[#This Row],[GP]]</f>
        <v>3.7333333333333334</v>
      </c>
      <c r="AD50" s="1">
        <f>knicks_players_all_stats[[#This Row],[STL2]]/10</f>
        <v>27</v>
      </c>
      <c r="AE50" s="1">
        <v>270</v>
      </c>
      <c r="AF50" s="4">
        <f>knicks_players_all_stats[[#This Row],[STL]]/knicks_players_all_stats[[#This Row],[GP]]</f>
        <v>0.9</v>
      </c>
      <c r="AG50">
        <v>50</v>
      </c>
      <c r="AH50" s="1">
        <f>knicks_players_all_stats[[#This Row],[BLK2]]/10</f>
        <v>5</v>
      </c>
      <c r="AI50" s="4">
        <f>knicks_players_all_stats[[#This Row],[BLK]]/knicks_players_all_stats[[#This Row],[GP]]</f>
        <v>0.16666666666666666</v>
      </c>
      <c r="AJ50">
        <v>530</v>
      </c>
      <c r="AK50" s="4">
        <f>knicks_players_all_stats[[#This Row],[BLKPG]]+knicks_players_all_stats[[#This Row],[STLPG]]+knicks_players_all_stats[[#This Row],[REBPG]]</f>
        <v>3.4666666666666668</v>
      </c>
      <c r="AL50" s="1">
        <f>knicks_players_all_stats[[#This Row],[TOV2]]/10</f>
        <v>53</v>
      </c>
      <c r="AM50" s="4">
        <f>knicks_players_all_stats[[#This Row],[TOV]]/knicks_players_all_stats[[#This Row],[GP]]</f>
        <v>1.7666666666666666</v>
      </c>
      <c r="AN50" s="1">
        <v>66</v>
      </c>
      <c r="AO50" s="1">
        <f>knicks_players_all_stats[[#This Row],[PF]]/knicks_players_all_stats[[#This Row],[GP]]</f>
        <v>2.2000000000000002</v>
      </c>
      <c r="AP50" s="1">
        <v>397</v>
      </c>
      <c r="AQ50" s="4">
        <f>knicks_players_all_stats[[#This Row],[PTS]]/knicks_players_all_stats[[#This Row],[GP]]</f>
        <v>13.233333333333333</v>
      </c>
    </row>
    <row r="51" spans="1:43" x14ac:dyDescent="0.3">
      <c r="A51" s="1" t="s">
        <v>1547</v>
      </c>
      <c r="B51" s="1" t="s">
        <v>1305</v>
      </c>
      <c r="C51" s="1" t="str">
        <f>knicks_players_all_stats[[#This Row],[NAME]]&amp;" ("&amp;knicks_players_all_stats[[#This Row],[SEASON]]&amp;")"</f>
        <v>David Lee (2009-10)</v>
      </c>
      <c r="D51" s="1">
        <f>knicks_players_all_stats[[#This Row],[PLAYER_AGE]]/10</f>
        <v>27</v>
      </c>
      <c r="E51">
        <v>270</v>
      </c>
      <c r="F51" s="1">
        <v>81</v>
      </c>
      <c r="G51" s="1">
        <v>30190</v>
      </c>
      <c r="H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1929</v>
      </c>
      <c r="I51" s="4">
        <f>knicks_players_all_stats[[#This Row],[VALORATION]]/knicks_players_all_stats[[#This Row],[GP]]</f>
        <v>23.814814814814813</v>
      </c>
      <c r="J51" s="1">
        <v>686</v>
      </c>
      <c r="K51" s="1">
        <v>1258</v>
      </c>
      <c r="L51" s="2">
        <f>knicks_players_all_stats[[#This Row],[FGM]]/knicks_players_all_stats[[#This Row],[FGA]]</f>
        <v>0.54531001589825123</v>
      </c>
      <c r="M51" s="16">
        <f>knicks_players_all_stats[[#This Row],[FG3M2]]/10</f>
        <v>0</v>
      </c>
      <c r="N51" s="1">
        <v>0</v>
      </c>
      <c r="O51" s="1">
        <f>knicks_players_all_stats[[#This Row],[FG3A2]]/10</f>
        <v>8</v>
      </c>
      <c r="P51" s="1">
        <v>80</v>
      </c>
      <c r="Q51" s="2">
        <f>knicks_players_all_stats[[#This Row],[FG3M2]]/knicks_players_all_stats[[#This Row],[FG3A2]]</f>
        <v>0</v>
      </c>
      <c r="R51" s="1">
        <v>268</v>
      </c>
      <c r="S51" s="1">
        <v>330</v>
      </c>
      <c r="T51" s="3">
        <f>knicks_players_all_stats[[#This Row],[FTM]]/knicks_players_all_stats[[#This Row],[FTA]]</f>
        <v>0.81212121212121213</v>
      </c>
      <c r="U51" s="1">
        <f>knicks_players_all_stats[[#This Row],[OREB22]]/10</f>
        <v>228</v>
      </c>
      <c r="V51" s="1">
        <f>knicks_players_all_stats[[#This Row],[DREB33]]/10</f>
        <v>721</v>
      </c>
      <c r="W51" s="1">
        <f>knicks_players_all_stats[[#This Row],[REB44]]/10</f>
        <v>949</v>
      </c>
      <c r="X51">
        <v>2280</v>
      </c>
      <c r="Y51">
        <v>7210</v>
      </c>
      <c r="Z51">
        <v>9490</v>
      </c>
      <c r="AA51" s="14">
        <f>knicks_players_all_stats[[#This Row],[REB]]/knicks_players_all_stats[[#This Row],[GP]]</f>
        <v>11.716049382716049</v>
      </c>
      <c r="AB51" s="1">
        <v>295</v>
      </c>
      <c r="AC51" s="4">
        <f>knicks_players_all_stats[[#This Row],[AST]]/knicks_players_all_stats[[#This Row],[GP]]</f>
        <v>3.6419753086419755</v>
      </c>
      <c r="AD51" s="1">
        <f>knicks_players_all_stats[[#This Row],[STL2]]/10</f>
        <v>85</v>
      </c>
      <c r="AE51" s="1">
        <v>850</v>
      </c>
      <c r="AF51" s="4">
        <f>knicks_players_all_stats[[#This Row],[STL]]/knicks_players_all_stats[[#This Row],[GP]]</f>
        <v>1.0493827160493827</v>
      </c>
      <c r="AG51">
        <v>400</v>
      </c>
      <c r="AH51" s="1">
        <f>knicks_players_all_stats[[#This Row],[BLK2]]/10</f>
        <v>40</v>
      </c>
      <c r="AI51" s="4">
        <f>knicks_players_all_stats[[#This Row],[BLK]]/knicks_players_all_stats[[#This Row],[GP]]</f>
        <v>0.49382716049382713</v>
      </c>
      <c r="AJ51">
        <v>1890</v>
      </c>
      <c r="AK51" s="4">
        <f>knicks_players_all_stats[[#This Row],[BLKPG]]+knicks_players_all_stats[[#This Row],[STLPG]]+knicks_players_all_stats[[#This Row],[REBPG]]</f>
        <v>13.25925925925926</v>
      </c>
      <c r="AL51" s="1">
        <f>knicks_players_all_stats[[#This Row],[TOV2]]/10</f>
        <v>189</v>
      </c>
      <c r="AM51" s="4">
        <f>knicks_players_all_stats[[#This Row],[TOV]]/knicks_players_all_stats[[#This Row],[GP]]</f>
        <v>2.3333333333333335</v>
      </c>
      <c r="AN51" s="1">
        <v>257</v>
      </c>
      <c r="AO51" s="1">
        <f>knicks_players_all_stats[[#This Row],[PF]]/knicks_players_all_stats[[#This Row],[GP]]</f>
        <v>3.1728395061728394</v>
      </c>
      <c r="AP51" s="1">
        <v>1640</v>
      </c>
      <c r="AQ51" s="4">
        <f>knicks_players_all_stats[[#This Row],[PTS]]/knicks_players_all_stats[[#This Row],[GP]]</f>
        <v>20.246913580246915</v>
      </c>
    </row>
    <row r="52" spans="1:43" x14ac:dyDescent="0.3">
      <c r="A52" s="1" t="s">
        <v>1419</v>
      </c>
      <c r="B52" s="1" t="s">
        <v>1290</v>
      </c>
      <c r="C52" s="1" t="str">
        <f>knicks_players_all_stats[[#This Row],[NAME]]&amp;" ("&amp;knicks_players_all_stats[[#This Row],[SEASON]]&amp;")"</f>
        <v>Carmelo Anthony (2011-12)</v>
      </c>
      <c r="D52" s="1">
        <f>knicks_players_all_stats[[#This Row],[PLAYER_AGE]]/10</f>
        <v>28</v>
      </c>
      <c r="E52">
        <v>280</v>
      </c>
      <c r="F52" s="1">
        <v>55</v>
      </c>
      <c r="G52" s="1">
        <v>18760</v>
      </c>
      <c r="H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919</v>
      </c>
      <c r="I52" s="4">
        <f>knicks_players_all_stats[[#This Row],[VALORATION]]/knicks_players_all_stats[[#This Row],[GP]]</f>
        <v>16.709090909090911</v>
      </c>
      <c r="J52" s="1">
        <v>441</v>
      </c>
      <c r="K52" s="1">
        <v>1025</v>
      </c>
      <c r="L52" s="2">
        <f>knicks_players_all_stats[[#This Row],[FGM]]/knicks_players_all_stats[[#This Row],[FGA]]</f>
        <v>0.43024390243902438</v>
      </c>
      <c r="M52" s="16">
        <f>knicks_players_all_stats[[#This Row],[FG3M2]]/10</f>
        <v>68</v>
      </c>
      <c r="N52" s="1">
        <v>680</v>
      </c>
      <c r="O52" s="1">
        <f>knicks_players_all_stats[[#This Row],[FG3A2]]/10</f>
        <v>203</v>
      </c>
      <c r="P52" s="1">
        <v>2030</v>
      </c>
      <c r="Q52" s="2">
        <f>knicks_players_all_stats[[#This Row],[FG3M2]]/knicks_players_all_stats[[#This Row],[FG3A2]]</f>
        <v>0.33497536945812806</v>
      </c>
      <c r="R52" s="1">
        <v>295</v>
      </c>
      <c r="S52" s="1">
        <v>367</v>
      </c>
      <c r="T52" s="3">
        <f>knicks_players_all_stats[[#This Row],[FTM]]/knicks_players_all_stats[[#This Row],[FTA]]</f>
        <v>0.80381471389645776</v>
      </c>
      <c r="U52" s="1">
        <f>knicks_players_all_stats[[#This Row],[OREB22]]/10</f>
        <v>88</v>
      </c>
      <c r="V52" s="1">
        <f>knicks_players_all_stats[[#This Row],[DREB33]]/10</f>
        <v>256</v>
      </c>
      <c r="W52" s="1">
        <f>knicks_players_all_stats[[#This Row],[REB44]]/10</f>
        <v>344</v>
      </c>
      <c r="X52">
        <v>880</v>
      </c>
      <c r="Y52">
        <v>2560</v>
      </c>
      <c r="Z52">
        <v>3440</v>
      </c>
      <c r="AA52" s="14">
        <f>knicks_players_all_stats[[#This Row],[REB]]/knicks_players_all_stats[[#This Row],[GP]]</f>
        <v>6.2545454545454549</v>
      </c>
      <c r="AB52" s="1">
        <v>200</v>
      </c>
      <c r="AC52" s="4">
        <f>knicks_players_all_stats[[#This Row],[AST]]/knicks_players_all_stats[[#This Row],[GP]]</f>
        <v>3.6363636363636362</v>
      </c>
      <c r="AD52" s="1">
        <f>knicks_players_all_stats[[#This Row],[STL2]]/10</f>
        <v>62</v>
      </c>
      <c r="AE52" s="1">
        <v>620</v>
      </c>
      <c r="AF52" s="4">
        <f>knicks_players_all_stats[[#This Row],[STL]]/knicks_players_all_stats[[#This Row],[GP]]</f>
        <v>1.1272727272727272</v>
      </c>
      <c r="AG52">
        <v>240</v>
      </c>
      <c r="AH52" s="1">
        <f>knicks_players_all_stats[[#This Row],[BLK2]]/10</f>
        <v>24</v>
      </c>
      <c r="AI52" s="4">
        <f>knicks_players_all_stats[[#This Row],[BLK]]/knicks_players_all_stats[[#This Row],[GP]]</f>
        <v>0.43636363636363634</v>
      </c>
      <c r="AJ52">
        <v>1440</v>
      </c>
      <c r="AK52" s="4">
        <f>knicks_players_all_stats[[#This Row],[BLKPG]]+knicks_players_all_stats[[#This Row],[STLPG]]+knicks_players_all_stats[[#This Row],[REBPG]]</f>
        <v>7.8181818181818183</v>
      </c>
      <c r="AL52" s="1">
        <f>knicks_players_all_stats[[#This Row],[TOV2]]/10</f>
        <v>144</v>
      </c>
      <c r="AM52" s="4">
        <f>knicks_players_all_stats[[#This Row],[TOV]]/knicks_players_all_stats[[#This Row],[GP]]</f>
        <v>2.6181818181818182</v>
      </c>
      <c r="AN52" s="1">
        <v>156</v>
      </c>
      <c r="AO52" s="1">
        <f>knicks_players_all_stats[[#This Row],[PF]]/knicks_players_all_stats[[#This Row],[GP]]</f>
        <v>2.8363636363636364</v>
      </c>
      <c r="AP52" s="1">
        <v>1245</v>
      </c>
      <c r="AQ52" s="4">
        <f>knicks_players_all_stats[[#This Row],[PTS]]/knicks_players_all_stats[[#This Row],[GP]]</f>
        <v>22.636363636363637</v>
      </c>
    </row>
    <row r="53" spans="1:43" x14ac:dyDescent="0.3">
      <c r="A53" s="1" t="s">
        <v>1562</v>
      </c>
      <c r="B53" s="1" t="s">
        <v>1327</v>
      </c>
      <c r="C53" s="1" t="str">
        <f>knicks_players_all_stats[[#This Row],[NAME]]&amp;" ("&amp;knicks_players_all_stats[[#This Row],[SEASON]]&amp;")"</f>
        <v>Josh Hart (2022-23)</v>
      </c>
      <c r="D53" s="1">
        <f>knicks_players_all_stats[[#This Row],[PLAYER_AGE]]/10</f>
        <v>28</v>
      </c>
      <c r="E53">
        <v>280</v>
      </c>
      <c r="F53" s="1">
        <v>25</v>
      </c>
      <c r="G53" s="1">
        <v>7500</v>
      </c>
      <c r="H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391</v>
      </c>
      <c r="I53" s="4">
        <f>knicks_players_all_stats[[#This Row],[VALORATION]]/knicks_players_all_stats[[#This Row],[GP]]</f>
        <v>15.64</v>
      </c>
      <c r="J53" s="1">
        <v>92</v>
      </c>
      <c r="K53" s="1">
        <v>157</v>
      </c>
      <c r="L53" s="2">
        <f>knicks_players_all_stats[[#This Row],[FGM]]/knicks_players_all_stats[[#This Row],[FGA]]</f>
        <v>0.5859872611464968</v>
      </c>
      <c r="M53" s="16">
        <f>knicks_players_all_stats[[#This Row],[FG3M2]]/10</f>
        <v>27</v>
      </c>
      <c r="N53" s="1">
        <v>270</v>
      </c>
      <c r="O53" s="1">
        <f>knicks_players_all_stats[[#This Row],[FG3A2]]/10</f>
        <v>52</v>
      </c>
      <c r="P53" s="1">
        <v>520</v>
      </c>
      <c r="Q53" s="2">
        <f>knicks_players_all_stats[[#This Row],[FG3M2]]/knicks_players_all_stats[[#This Row],[FG3A2]]</f>
        <v>0.51923076923076927</v>
      </c>
      <c r="R53" s="1">
        <v>45</v>
      </c>
      <c r="S53" s="1">
        <v>57</v>
      </c>
      <c r="T53" s="3">
        <f>knicks_players_all_stats[[#This Row],[FTM]]/knicks_players_all_stats[[#This Row],[FTA]]</f>
        <v>0.78947368421052633</v>
      </c>
      <c r="U53" s="1">
        <f>knicks_players_all_stats[[#This Row],[OREB22]]/10</f>
        <v>47</v>
      </c>
      <c r="V53" s="1">
        <f>knicks_players_all_stats[[#This Row],[DREB33]]/10</f>
        <v>129</v>
      </c>
      <c r="W53" s="1">
        <f>knicks_players_all_stats[[#This Row],[REB44]]/10</f>
        <v>176</v>
      </c>
      <c r="X53">
        <v>470</v>
      </c>
      <c r="Y53">
        <v>1290</v>
      </c>
      <c r="Z53">
        <v>1760</v>
      </c>
      <c r="AA53" s="14">
        <f>knicks_players_all_stats[[#This Row],[REB]]/knicks_players_all_stats[[#This Row],[GP]]</f>
        <v>7.04</v>
      </c>
      <c r="AB53" s="1">
        <v>90</v>
      </c>
      <c r="AC53" s="4">
        <f>knicks_players_all_stats[[#This Row],[AST]]/knicks_players_all_stats[[#This Row],[GP]]</f>
        <v>3.6</v>
      </c>
      <c r="AD53" s="1">
        <f>knicks_players_all_stats[[#This Row],[STL2]]/10</f>
        <v>34</v>
      </c>
      <c r="AE53" s="1">
        <v>340</v>
      </c>
      <c r="AF53" s="4">
        <f>knicks_players_all_stats[[#This Row],[STL]]/knicks_players_all_stats[[#This Row],[GP]]</f>
        <v>1.36</v>
      </c>
      <c r="AG53">
        <v>120</v>
      </c>
      <c r="AH53" s="1">
        <f>knicks_players_all_stats[[#This Row],[BLK2]]/10</f>
        <v>12</v>
      </c>
      <c r="AI53" s="4">
        <f>knicks_players_all_stats[[#This Row],[BLK]]/knicks_players_all_stats[[#This Row],[GP]]</f>
        <v>0.48</v>
      </c>
      <c r="AJ53">
        <v>380</v>
      </c>
      <c r="AK53" s="4">
        <f>knicks_players_all_stats[[#This Row],[BLKPG]]+knicks_players_all_stats[[#This Row],[STLPG]]+knicks_players_all_stats[[#This Row],[REBPG]]</f>
        <v>8.8800000000000008</v>
      </c>
      <c r="AL53" s="1">
        <f>knicks_players_all_stats[[#This Row],[TOV2]]/10</f>
        <v>38</v>
      </c>
      <c r="AM53" s="4">
        <f>knicks_players_all_stats[[#This Row],[TOV]]/knicks_players_all_stats[[#This Row],[GP]]</f>
        <v>1.52</v>
      </c>
      <c r="AN53" s="1">
        <v>62</v>
      </c>
      <c r="AO53" s="1">
        <f>knicks_players_all_stats[[#This Row],[PF]]/knicks_players_all_stats[[#This Row],[GP]]</f>
        <v>2.48</v>
      </c>
      <c r="AP53" s="1">
        <v>256</v>
      </c>
      <c r="AQ53" s="4">
        <f>knicks_players_all_stats[[#This Row],[PTS]]/knicks_players_all_stats[[#This Row],[GP]]</f>
        <v>10.24</v>
      </c>
    </row>
    <row r="54" spans="1:43" x14ac:dyDescent="0.3">
      <c r="A54" s="1" t="s">
        <v>1372</v>
      </c>
      <c r="B54" s="1" t="s">
        <v>1343</v>
      </c>
      <c r="C54" s="1" t="str">
        <f>knicks_players_all_stats[[#This Row],[NAME]]&amp;" ("&amp;knicks_players_all_stats[[#This Row],[SEASON]]&amp;")"</f>
        <v>Alexey Shved (2014-15)</v>
      </c>
      <c r="D54" s="1">
        <f>knicks_players_all_stats[[#This Row],[PLAYER_AGE]]/10</f>
        <v>26</v>
      </c>
      <c r="E54">
        <v>260</v>
      </c>
      <c r="F54" s="1">
        <v>16</v>
      </c>
      <c r="G54" s="1">
        <v>4230</v>
      </c>
      <c r="H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210</v>
      </c>
      <c r="I54" s="4">
        <f>knicks_players_all_stats[[#This Row],[VALORATION]]/knicks_players_all_stats[[#This Row],[GP]]</f>
        <v>13.125</v>
      </c>
      <c r="J54" s="1">
        <v>73</v>
      </c>
      <c r="K54" s="1">
        <v>181</v>
      </c>
      <c r="L54" s="2">
        <f>knicks_players_all_stats[[#This Row],[FGM]]/knicks_players_all_stats[[#This Row],[FGA]]</f>
        <v>0.40331491712707185</v>
      </c>
      <c r="M54" s="16">
        <f>knicks_players_all_stats[[#This Row],[FG3M2]]/10</f>
        <v>26</v>
      </c>
      <c r="N54" s="1">
        <v>260</v>
      </c>
      <c r="O54" s="1">
        <f>knicks_players_all_stats[[#This Row],[FG3A2]]/10</f>
        <v>70</v>
      </c>
      <c r="P54" s="1">
        <v>700</v>
      </c>
      <c r="Q54" s="2">
        <f>knicks_players_all_stats[[#This Row],[FG3M2]]/knicks_players_all_stats[[#This Row],[FG3A2]]</f>
        <v>0.37142857142857144</v>
      </c>
      <c r="R54" s="1">
        <v>64</v>
      </c>
      <c r="S54" s="1">
        <v>82</v>
      </c>
      <c r="T54" s="3">
        <f>knicks_players_all_stats[[#This Row],[FTM]]/knicks_players_all_stats[[#This Row],[FTA]]</f>
        <v>0.78048780487804881</v>
      </c>
      <c r="U54" s="1">
        <f>knicks_players_all_stats[[#This Row],[OREB22]]/10</f>
        <v>14</v>
      </c>
      <c r="V54" s="1">
        <f>knicks_players_all_stats[[#This Row],[DREB33]]/10</f>
        <v>59</v>
      </c>
      <c r="W54" s="1">
        <f>knicks_players_all_stats[[#This Row],[REB44]]/10</f>
        <v>73</v>
      </c>
      <c r="X54">
        <v>140</v>
      </c>
      <c r="Y54">
        <v>590</v>
      </c>
      <c r="Z54">
        <v>730</v>
      </c>
      <c r="AA54" s="14">
        <f>knicks_players_all_stats[[#This Row],[REB]]/knicks_players_all_stats[[#This Row],[GP]]</f>
        <v>4.5625</v>
      </c>
      <c r="AB54" s="1">
        <v>57</v>
      </c>
      <c r="AC54" s="4">
        <f>knicks_players_all_stats[[#This Row],[AST]]/knicks_players_all_stats[[#This Row],[GP]]</f>
        <v>3.5625</v>
      </c>
      <c r="AD54" s="1">
        <f>knicks_players_all_stats[[#This Row],[STL2]]/10</f>
        <v>15</v>
      </c>
      <c r="AE54" s="1">
        <v>150</v>
      </c>
      <c r="AF54" s="4">
        <f>knicks_players_all_stats[[#This Row],[STL]]/knicks_players_all_stats[[#This Row],[GP]]</f>
        <v>0.9375</v>
      </c>
      <c r="AG54">
        <v>50</v>
      </c>
      <c r="AH54" s="1">
        <f>knicks_players_all_stats[[#This Row],[BLK2]]/10</f>
        <v>5</v>
      </c>
      <c r="AI54" s="4">
        <f>knicks_players_all_stats[[#This Row],[BLK]]/knicks_players_all_stats[[#This Row],[GP]]</f>
        <v>0.3125</v>
      </c>
      <c r="AJ54">
        <v>250</v>
      </c>
      <c r="AK54" s="4">
        <f>knicks_players_all_stats[[#This Row],[BLKPG]]+knicks_players_all_stats[[#This Row],[STLPG]]+knicks_players_all_stats[[#This Row],[REBPG]]</f>
        <v>5.8125</v>
      </c>
      <c r="AL54" s="1">
        <f>knicks_players_all_stats[[#This Row],[TOV2]]/10</f>
        <v>25</v>
      </c>
      <c r="AM54" s="4">
        <f>knicks_players_all_stats[[#This Row],[TOV]]/knicks_players_all_stats[[#This Row],[GP]]</f>
        <v>1.5625</v>
      </c>
      <c r="AN54" s="1">
        <v>25</v>
      </c>
      <c r="AO54" s="1">
        <f>knicks_players_all_stats[[#This Row],[PF]]/knicks_players_all_stats[[#This Row],[GP]]</f>
        <v>1.5625</v>
      </c>
      <c r="AP54" s="1">
        <v>236</v>
      </c>
      <c r="AQ54" s="4">
        <f>knicks_players_all_stats[[#This Row],[PTS]]/knicks_players_all_stats[[#This Row],[GP]]</f>
        <v>14.75</v>
      </c>
    </row>
    <row r="55" spans="1:43" x14ac:dyDescent="0.3">
      <c r="A55" s="1" t="s">
        <v>1825</v>
      </c>
      <c r="B55" s="1" t="s">
        <v>1337</v>
      </c>
      <c r="C55" s="1" t="str">
        <f>knicks_players_all_stats[[#This Row],[NAME]]&amp;" ("&amp;knicks_players_all_stats[[#This Row],[SEASON]]&amp;")"</f>
        <v>Beno Udrih (2013-14)</v>
      </c>
      <c r="D55" s="1">
        <f>knicks_players_all_stats[[#This Row],[PLAYER_AGE]]/10</f>
        <v>31</v>
      </c>
      <c r="E55">
        <v>310</v>
      </c>
      <c r="F55" s="1">
        <v>31</v>
      </c>
      <c r="G55" s="1">
        <v>5880</v>
      </c>
      <c r="H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181</v>
      </c>
      <c r="I55" s="4">
        <f>knicks_players_all_stats[[#This Row],[VALORATION]]/knicks_players_all_stats[[#This Row],[GP]]</f>
        <v>5.838709677419355</v>
      </c>
      <c r="J55" s="1">
        <v>68</v>
      </c>
      <c r="K55" s="1">
        <v>160</v>
      </c>
      <c r="L55" s="1">
        <v>425</v>
      </c>
      <c r="M55" s="4">
        <f>knicks_players_all_stats[[#This Row],[FG3M2]]/10</f>
        <v>17</v>
      </c>
      <c r="N55" s="1">
        <v>170</v>
      </c>
      <c r="O55" s="1">
        <f>knicks_players_all_stats[[#This Row],[FG3A2]]/10</f>
        <v>40</v>
      </c>
      <c r="P55" s="1">
        <v>400</v>
      </c>
      <c r="Q55" s="2">
        <f>knicks_players_all_stats[[#This Row],[FG3M2]]/knicks_players_all_stats[[#This Row],[FG3A2]]</f>
        <v>0.42499999999999999</v>
      </c>
      <c r="R55" s="1">
        <v>20</v>
      </c>
      <c r="S55" s="1">
        <v>24</v>
      </c>
      <c r="T55" s="3">
        <f>knicks_players_all_stats[[#This Row],[FTM]]/knicks_players_all_stats[[#This Row],[FTA]]</f>
        <v>0.83333333333333337</v>
      </c>
      <c r="U55" s="1">
        <f>knicks_players_all_stats[[#This Row],[OREB22]]/10</f>
        <v>10</v>
      </c>
      <c r="V55" s="1">
        <f>knicks_players_all_stats[[#This Row],[DREB33]]/10</f>
        <v>47</v>
      </c>
      <c r="W55" s="1">
        <f>knicks_players_all_stats[[#This Row],[REB44]]/10</f>
        <v>57</v>
      </c>
      <c r="X55">
        <v>100</v>
      </c>
      <c r="Y55">
        <v>470</v>
      </c>
      <c r="Z55">
        <v>570</v>
      </c>
      <c r="AA55" s="14">
        <f>knicks_players_all_stats[[#This Row],[REB]]/knicks_players_all_stats[[#This Row],[GP]]</f>
        <v>1.8387096774193548</v>
      </c>
      <c r="AB55" s="1">
        <v>110</v>
      </c>
      <c r="AC55" s="4">
        <f>knicks_players_all_stats[[#This Row],[AST]]/knicks_players_all_stats[[#This Row],[GP]]</f>
        <v>3.5483870967741935</v>
      </c>
      <c r="AD55" s="1">
        <f>knicks_players_all_stats[[#This Row],[STL2]]/10</f>
        <v>22</v>
      </c>
      <c r="AE55" s="1">
        <v>220</v>
      </c>
      <c r="AF55" s="4">
        <f>knicks_players_all_stats[[#This Row],[STL]]/knicks_players_all_stats[[#This Row],[GP]]</f>
        <v>0.70967741935483875</v>
      </c>
      <c r="AG55">
        <v>30</v>
      </c>
      <c r="AH55" s="1">
        <f>knicks_players_all_stats[[#This Row],[BLK2]]/10</f>
        <v>3</v>
      </c>
      <c r="AI55" s="4">
        <f>knicks_players_all_stats[[#This Row],[BLK]]/knicks_players_all_stats[[#This Row],[GP]]</f>
        <v>9.6774193548387094E-2</v>
      </c>
      <c r="AJ55">
        <v>420</v>
      </c>
      <c r="AK55" s="4">
        <f>knicks_players_all_stats[[#This Row],[BLKPG]]+knicks_players_all_stats[[#This Row],[STLPG]]+knicks_players_all_stats[[#This Row],[REBPG]]</f>
        <v>2.6451612903225805</v>
      </c>
      <c r="AL55" s="1">
        <f>knicks_players_all_stats[[#This Row],[TOV2]]/10</f>
        <v>42</v>
      </c>
      <c r="AM55" s="4">
        <f>knicks_players_all_stats[[#This Row],[TOV]]/knicks_players_all_stats[[#This Row],[GP]]</f>
        <v>1.3548387096774193</v>
      </c>
      <c r="AN55" s="1">
        <v>46</v>
      </c>
      <c r="AO55" s="1">
        <f>knicks_players_all_stats[[#This Row],[PF]]/knicks_players_all_stats[[#This Row],[GP]]</f>
        <v>1.4838709677419355</v>
      </c>
      <c r="AP55" s="1">
        <v>173</v>
      </c>
      <c r="AQ55" s="4">
        <f>knicks_players_all_stats[[#This Row],[PTS]]/knicks_players_all_stats[[#This Row],[GP]]</f>
        <v>5.580645161290323</v>
      </c>
    </row>
    <row r="56" spans="1:43" x14ac:dyDescent="0.3">
      <c r="A56" s="1" t="s">
        <v>1818</v>
      </c>
      <c r="B56" s="1" t="s">
        <v>1308</v>
      </c>
      <c r="C56" s="1" t="str">
        <f>knicks_players_all_stats[[#This Row],[NAME]]&amp;" ("&amp;knicks_players_all_stats[[#This Row],[SEASON]]&amp;")"</f>
        <v>Kemba Walker (2021-22)</v>
      </c>
      <c r="D56" s="1">
        <f>knicks_players_all_stats[[#This Row],[PLAYER_AGE]]/10</f>
        <v>32</v>
      </c>
      <c r="E56">
        <v>320</v>
      </c>
      <c r="F56" s="1">
        <v>37</v>
      </c>
      <c r="G56" s="1">
        <v>9480</v>
      </c>
      <c r="H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389</v>
      </c>
      <c r="I56" s="4">
        <f>knicks_players_all_stats[[#This Row],[VALORATION]]/knicks_players_all_stats[[#This Row],[GP]]</f>
        <v>10.513513513513514</v>
      </c>
      <c r="J56" s="1">
        <v>149</v>
      </c>
      <c r="K56" s="1">
        <v>370</v>
      </c>
      <c r="L56" s="1">
        <v>403</v>
      </c>
      <c r="M56" s="4">
        <f>knicks_players_all_stats[[#This Row],[FG3M2]]/10</f>
        <v>73</v>
      </c>
      <c r="N56" s="1">
        <v>730</v>
      </c>
      <c r="O56" s="1">
        <f>knicks_players_all_stats[[#This Row],[FG3A2]]/10</f>
        <v>199</v>
      </c>
      <c r="P56" s="1">
        <v>1990</v>
      </c>
      <c r="Q56" s="2">
        <f>knicks_players_all_stats[[#This Row],[FG3M2]]/knicks_players_all_stats[[#This Row],[FG3A2]]</f>
        <v>0.36683417085427134</v>
      </c>
      <c r="R56" s="1">
        <v>60</v>
      </c>
      <c r="S56" s="1">
        <v>71</v>
      </c>
      <c r="T56" s="3">
        <f>knicks_players_all_stats[[#This Row],[FTM]]/knicks_players_all_stats[[#This Row],[FTA]]</f>
        <v>0.84507042253521125</v>
      </c>
      <c r="U56" s="1">
        <f>knicks_players_all_stats[[#This Row],[OREB22]]/10</f>
        <v>14</v>
      </c>
      <c r="V56" s="1">
        <f>knicks_players_all_stats[[#This Row],[DREB33]]/10</f>
        <v>97</v>
      </c>
      <c r="W56" s="1">
        <f>knicks_players_all_stats[[#This Row],[REB44]]/10</f>
        <v>111</v>
      </c>
      <c r="X56">
        <v>140</v>
      </c>
      <c r="Y56">
        <v>970</v>
      </c>
      <c r="Z56">
        <v>1110</v>
      </c>
      <c r="AA56" s="14">
        <f>knicks_players_all_stats[[#This Row],[REB]]/knicks_players_all_stats[[#This Row],[GP]]</f>
        <v>3</v>
      </c>
      <c r="AB56" s="1">
        <v>131</v>
      </c>
      <c r="AC56" s="4">
        <f>knicks_players_all_stats[[#This Row],[AST]]/knicks_players_all_stats[[#This Row],[GP]]</f>
        <v>3.5405405405405403</v>
      </c>
      <c r="AD56" s="1">
        <f>knicks_players_all_stats[[#This Row],[STL2]]/10</f>
        <v>26</v>
      </c>
      <c r="AE56" s="1">
        <v>260</v>
      </c>
      <c r="AF56" s="4">
        <f>knicks_players_all_stats[[#This Row],[STL]]/knicks_players_all_stats[[#This Row],[GP]]</f>
        <v>0.70270270270270274</v>
      </c>
      <c r="AG56">
        <v>70</v>
      </c>
      <c r="AH56" s="1">
        <f>knicks_players_all_stats[[#This Row],[BLK2]]/10</f>
        <v>7</v>
      </c>
      <c r="AI56" s="4">
        <f>knicks_players_all_stats[[#This Row],[BLK]]/knicks_players_all_stats[[#This Row],[GP]]</f>
        <v>0.1891891891891892</v>
      </c>
      <c r="AJ56">
        <v>480</v>
      </c>
      <c r="AK56" s="4">
        <f>knicks_players_all_stats[[#This Row],[BLKPG]]+knicks_players_all_stats[[#This Row],[STLPG]]+knicks_players_all_stats[[#This Row],[REBPG]]</f>
        <v>3.8918918918918921</v>
      </c>
      <c r="AL56" s="1">
        <f>knicks_players_all_stats[[#This Row],[TOV2]]/10</f>
        <v>48</v>
      </c>
      <c r="AM56" s="4">
        <f>knicks_players_all_stats[[#This Row],[TOV]]/knicks_players_all_stats[[#This Row],[GP]]</f>
        <v>1.2972972972972974</v>
      </c>
      <c r="AN56" s="1">
        <v>37</v>
      </c>
      <c r="AO56" s="1">
        <f>knicks_players_all_stats[[#This Row],[PF]]/knicks_players_all_stats[[#This Row],[GP]]</f>
        <v>1</v>
      </c>
      <c r="AP56" s="1">
        <v>431</v>
      </c>
      <c r="AQ56" s="4">
        <f>knicks_players_all_stats[[#This Row],[PTS]]/knicks_players_all_stats[[#This Row],[GP]]</f>
        <v>11.648648648648649</v>
      </c>
    </row>
    <row r="57" spans="1:43" x14ac:dyDescent="0.3">
      <c r="A57" s="1" t="s">
        <v>1496</v>
      </c>
      <c r="B57" s="1" t="s">
        <v>1308</v>
      </c>
      <c r="C57" s="1" t="str">
        <f>knicks_players_all_stats[[#This Row],[NAME]]&amp;" ("&amp;knicks_players_all_stats[[#This Row],[SEASON]]&amp;")"</f>
        <v>Immanuel Quickley (2021-22)</v>
      </c>
      <c r="D57" s="1">
        <f>knicks_players_all_stats[[#This Row],[PLAYER_AGE]]/10</f>
        <v>23</v>
      </c>
      <c r="E57">
        <v>230</v>
      </c>
      <c r="F57" s="1">
        <v>78</v>
      </c>
      <c r="G57" s="1">
        <v>18020</v>
      </c>
      <c r="H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731</v>
      </c>
      <c r="I57" s="4">
        <f>knicks_players_all_stats[[#This Row],[VALORATION]]/knicks_players_all_stats[[#This Row],[GP]]</f>
        <v>9.3717948717948723</v>
      </c>
      <c r="J57" s="1">
        <v>284</v>
      </c>
      <c r="K57" s="1">
        <v>724</v>
      </c>
      <c r="L57" s="2">
        <f>knicks_players_all_stats[[#This Row],[FGM]]/knicks_players_all_stats[[#This Row],[FGA]]</f>
        <v>0.39226519337016574</v>
      </c>
      <c r="M57" s="16">
        <f>knicks_players_all_stats[[#This Row],[FG3M2]]/10</f>
        <v>137</v>
      </c>
      <c r="N57" s="1">
        <v>1370</v>
      </c>
      <c r="O57" s="1">
        <f>knicks_players_all_stats[[#This Row],[FG3A2]]/10</f>
        <v>396</v>
      </c>
      <c r="P57" s="1">
        <v>3960</v>
      </c>
      <c r="Q57" s="2">
        <f>knicks_players_all_stats[[#This Row],[FG3M2]]/knicks_players_all_stats[[#This Row],[FG3A2]]</f>
        <v>0.34595959595959597</v>
      </c>
      <c r="R57" s="1">
        <v>177</v>
      </c>
      <c r="S57" s="1">
        <v>201</v>
      </c>
      <c r="T57" s="3">
        <f>knicks_players_all_stats[[#This Row],[FTM]]/knicks_players_all_stats[[#This Row],[FTA]]</f>
        <v>0.88059701492537312</v>
      </c>
      <c r="U57" s="1">
        <f>knicks_players_all_stats[[#This Row],[OREB22]]/10</f>
        <v>31</v>
      </c>
      <c r="V57" s="1">
        <f>knicks_players_all_stats[[#This Row],[DREB33]]/10</f>
        <v>216</v>
      </c>
      <c r="W57" s="1">
        <f>knicks_players_all_stats[[#This Row],[REB44]]/10</f>
        <v>247</v>
      </c>
      <c r="X57">
        <v>310</v>
      </c>
      <c r="Y57">
        <v>2160</v>
      </c>
      <c r="Z57">
        <v>2470</v>
      </c>
      <c r="AA57" s="14">
        <f>knicks_players_all_stats[[#This Row],[REB]]/knicks_players_all_stats[[#This Row],[GP]]</f>
        <v>3.1666666666666665</v>
      </c>
      <c r="AB57" s="1">
        <v>275</v>
      </c>
      <c r="AC57" s="4">
        <f>knicks_players_all_stats[[#This Row],[AST]]/knicks_players_all_stats[[#This Row],[GP]]</f>
        <v>3.5256410256410255</v>
      </c>
      <c r="AD57" s="1">
        <f>knicks_players_all_stats[[#This Row],[STL2]]/10</f>
        <v>54</v>
      </c>
      <c r="AE57" s="1">
        <v>540</v>
      </c>
      <c r="AF57" s="4">
        <f>knicks_players_all_stats[[#This Row],[STL]]/knicks_players_all_stats[[#This Row],[GP]]</f>
        <v>0.69230769230769229</v>
      </c>
      <c r="AG57">
        <v>30</v>
      </c>
      <c r="AH57" s="1">
        <f>knicks_players_all_stats[[#This Row],[BLK2]]/10</f>
        <v>3</v>
      </c>
      <c r="AI57" s="4">
        <f>knicks_players_all_stats[[#This Row],[BLK]]/knicks_players_all_stats[[#This Row],[GP]]</f>
        <v>3.8461538461538464E-2</v>
      </c>
      <c r="AJ57">
        <v>990</v>
      </c>
      <c r="AK57" s="4">
        <f>knicks_players_all_stats[[#This Row],[BLKPG]]+knicks_players_all_stats[[#This Row],[STLPG]]+knicks_players_all_stats[[#This Row],[REBPG]]</f>
        <v>3.8974358974358974</v>
      </c>
      <c r="AL57" s="1">
        <f>knicks_players_all_stats[[#This Row],[TOV2]]/10</f>
        <v>99</v>
      </c>
      <c r="AM57" s="4">
        <f>knicks_players_all_stats[[#This Row],[TOV]]/knicks_players_all_stats[[#This Row],[GP]]</f>
        <v>1.2692307692307692</v>
      </c>
      <c r="AN57" s="1">
        <v>167</v>
      </c>
      <c r="AO57" s="1">
        <f>knicks_players_all_stats[[#This Row],[PF]]/knicks_players_all_stats[[#This Row],[GP]]</f>
        <v>2.141025641025641</v>
      </c>
      <c r="AP57" s="1">
        <v>882</v>
      </c>
      <c r="AQ57" s="4">
        <f>knicks_players_all_stats[[#This Row],[PTS]]/knicks_players_all_stats[[#This Row],[GP]]</f>
        <v>11.307692307692308</v>
      </c>
    </row>
    <row r="58" spans="1:43" x14ac:dyDescent="0.3">
      <c r="A58" s="1" t="s">
        <v>1459</v>
      </c>
      <c r="B58" s="1" t="s">
        <v>1305</v>
      </c>
      <c r="C58" s="1" t="str">
        <f>knicks_players_all_stats[[#This Row],[NAME]]&amp;" ("&amp;knicks_players_all_stats[[#This Row],[SEASON]]&amp;")"</f>
        <v>Larry Hughes (2009-10)</v>
      </c>
      <c r="D58" s="1">
        <f>knicks_players_all_stats[[#This Row],[PLAYER_AGE]]/10</f>
        <v>31</v>
      </c>
      <c r="E58">
        <v>310</v>
      </c>
      <c r="F58" s="1">
        <v>31</v>
      </c>
      <c r="G58" s="1">
        <v>8200</v>
      </c>
      <c r="H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267</v>
      </c>
      <c r="I58" s="4">
        <f>knicks_players_all_stats[[#This Row],[VALORATION]]/knicks_players_all_stats[[#This Row],[GP]]</f>
        <v>8.612903225806452</v>
      </c>
      <c r="J58" s="1">
        <v>102</v>
      </c>
      <c r="K58" s="1">
        <v>279</v>
      </c>
      <c r="L58" s="2">
        <f>knicks_players_all_stats[[#This Row],[FGM]]/knicks_players_all_stats[[#This Row],[FGA]]</f>
        <v>0.36559139784946237</v>
      </c>
      <c r="M58" s="16">
        <f>knicks_players_all_stats[[#This Row],[FG3M2]]/10</f>
        <v>28</v>
      </c>
      <c r="N58" s="1">
        <v>280</v>
      </c>
      <c r="O58" s="1">
        <f>knicks_players_all_stats[[#This Row],[FG3A2]]/10</f>
        <v>97</v>
      </c>
      <c r="P58" s="1">
        <v>970</v>
      </c>
      <c r="Q58" s="2">
        <f>knicks_players_all_stats[[#This Row],[FG3M2]]/knicks_players_all_stats[[#This Row],[FG3A2]]</f>
        <v>0.28865979381443296</v>
      </c>
      <c r="R58" s="1">
        <v>65</v>
      </c>
      <c r="S58" s="1">
        <v>79</v>
      </c>
      <c r="T58" s="3">
        <f>knicks_players_all_stats[[#This Row],[FTM]]/knicks_players_all_stats[[#This Row],[FTA]]</f>
        <v>0.82278481012658233</v>
      </c>
      <c r="U58" s="1">
        <f>knicks_players_all_stats[[#This Row],[OREB22]]/10</f>
        <v>16</v>
      </c>
      <c r="V58" s="1">
        <f>knicks_players_all_stats[[#This Row],[DREB33]]/10</f>
        <v>94</v>
      </c>
      <c r="W58" s="1">
        <f>knicks_players_all_stats[[#This Row],[REB44]]/10</f>
        <v>110</v>
      </c>
      <c r="X58">
        <v>160</v>
      </c>
      <c r="Y58">
        <v>940</v>
      </c>
      <c r="Z58">
        <v>1100</v>
      </c>
      <c r="AA58" s="14">
        <f>knicks_players_all_stats[[#This Row],[REB]]/knicks_players_all_stats[[#This Row],[GP]]</f>
        <v>3.5483870967741935</v>
      </c>
      <c r="AB58" s="1">
        <v>109</v>
      </c>
      <c r="AC58" s="4">
        <f>knicks_players_all_stats[[#This Row],[AST]]/knicks_players_all_stats[[#This Row],[GP]]</f>
        <v>3.5161290322580645</v>
      </c>
      <c r="AD58" s="1">
        <f>knicks_players_all_stats[[#This Row],[STL2]]/10</f>
        <v>40</v>
      </c>
      <c r="AE58" s="1">
        <v>400</v>
      </c>
      <c r="AF58" s="4">
        <f>knicks_players_all_stats[[#This Row],[STL]]/knicks_players_all_stats[[#This Row],[GP]]</f>
        <v>1.2903225806451613</v>
      </c>
      <c r="AG58">
        <v>110</v>
      </c>
      <c r="AH58" s="1">
        <f>knicks_players_all_stats[[#This Row],[BLK2]]/10</f>
        <v>11</v>
      </c>
      <c r="AI58" s="4">
        <f>knicks_players_all_stats[[#This Row],[BLK]]/knicks_players_all_stats[[#This Row],[GP]]</f>
        <v>0.35483870967741937</v>
      </c>
      <c r="AJ58">
        <v>560</v>
      </c>
      <c r="AK58" s="4">
        <f>knicks_players_all_stats[[#This Row],[BLKPG]]+knicks_players_all_stats[[#This Row],[STLPG]]+knicks_players_all_stats[[#This Row],[REBPG]]</f>
        <v>5.193548387096774</v>
      </c>
      <c r="AL58" s="1">
        <f>knicks_players_all_stats[[#This Row],[TOV2]]/10</f>
        <v>56</v>
      </c>
      <c r="AM58" s="4">
        <f>knicks_players_all_stats[[#This Row],[TOV]]/knicks_players_all_stats[[#This Row],[GP]]</f>
        <v>1.8064516129032258</v>
      </c>
      <c r="AN58" s="1">
        <v>53</v>
      </c>
      <c r="AO58" s="1">
        <f>knicks_players_all_stats[[#This Row],[PF]]/knicks_players_all_stats[[#This Row],[GP]]</f>
        <v>1.7096774193548387</v>
      </c>
      <c r="AP58" s="1">
        <v>297</v>
      </c>
      <c r="AQ58" s="4">
        <f>knicks_players_all_stats[[#This Row],[PTS]]/knicks_players_all_stats[[#This Row],[GP]]</f>
        <v>9.5806451612903221</v>
      </c>
    </row>
    <row r="59" spans="1:43" x14ac:dyDescent="0.3">
      <c r="A59" s="1" t="s">
        <v>1600</v>
      </c>
      <c r="B59" s="1" t="s">
        <v>1465</v>
      </c>
      <c r="C59" s="1" t="str">
        <f>knicks_players_all_stats[[#This Row],[NAME]]&amp;" ("&amp;knicks_players_all_stats[[#This Row],[SEASON]]&amp;")"</f>
        <v>Latrell Sprewell (2000-01)</v>
      </c>
      <c r="D59" s="1">
        <f>knicks_players_all_stats[[#This Row],[PLAYER_AGE]]/10</f>
        <v>30</v>
      </c>
      <c r="E59">
        <v>300</v>
      </c>
      <c r="F59" s="1">
        <v>77</v>
      </c>
      <c r="G59" s="1">
        <v>30130</v>
      </c>
      <c r="H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966</v>
      </c>
      <c r="I59" s="4">
        <f>knicks_players_all_stats[[#This Row],[VALORATION]]/knicks_players_all_stats[[#This Row],[GP]]</f>
        <v>12.545454545454545</v>
      </c>
      <c r="J59" s="1">
        <v>524</v>
      </c>
      <c r="K59" s="1">
        <v>1219</v>
      </c>
      <c r="L59" s="2">
        <f>knicks_players_all_stats[[#This Row],[FGM]]/knicks_players_all_stats[[#This Row],[FGA]]</f>
        <v>0.42986054142739949</v>
      </c>
      <c r="M59" s="16">
        <f>knicks_players_all_stats[[#This Row],[FG3M2]]/10</f>
        <v>41</v>
      </c>
      <c r="N59" s="1">
        <v>410</v>
      </c>
      <c r="O59" s="1">
        <f>knicks_players_all_stats[[#This Row],[FG3A2]]/10</f>
        <v>135</v>
      </c>
      <c r="P59" s="1">
        <v>1350</v>
      </c>
      <c r="Q59" s="2">
        <f>knicks_players_all_stats[[#This Row],[FG3M2]]/knicks_players_all_stats[[#This Row],[FG3A2]]</f>
        <v>0.3037037037037037</v>
      </c>
      <c r="R59" s="1">
        <v>275</v>
      </c>
      <c r="S59" s="1">
        <v>351</v>
      </c>
      <c r="T59" s="3">
        <f>knicks_players_all_stats[[#This Row],[FTM]]/knicks_players_all_stats[[#This Row],[FTA]]</f>
        <v>0.7834757834757835</v>
      </c>
      <c r="U59" s="1">
        <f>knicks_players_all_stats[[#This Row],[OREB22]]/10</f>
        <v>49</v>
      </c>
      <c r="V59" s="1">
        <f>knicks_players_all_stats[[#This Row],[DREB33]]/10</f>
        <v>298</v>
      </c>
      <c r="W59" s="1">
        <f>knicks_players_all_stats[[#This Row],[REB44]]/10</f>
        <v>347</v>
      </c>
      <c r="X59">
        <v>490</v>
      </c>
      <c r="Y59">
        <v>2980</v>
      </c>
      <c r="Z59">
        <v>3470</v>
      </c>
      <c r="AA59" s="14">
        <f>knicks_players_all_stats[[#This Row],[REB]]/knicks_players_all_stats[[#This Row],[GP]]</f>
        <v>4.5064935064935066</v>
      </c>
      <c r="AB59" s="1">
        <v>269</v>
      </c>
      <c r="AC59" s="4">
        <f>knicks_players_all_stats[[#This Row],[AST]]/knicks_players_all_stats[[#This Row],[GP]]</f>
        <v>3.4935064935064934</v>
      </c>
      <c r="AD59" s="1">
        <f>knicks_players_all_stats[[#This Row],[STL2]]/10</f>
        <v>106</v>
      </c>
      <c r="AE59" s="1">
        <v>1060</v>
      </c>
      <c r="AF59" s="4">
        <f>knicks_players_all_stats[[#This Row],[STL]]/knicks_players_all_stats[[#This Row],[GP]]</f>
        <v>1.3766233766233766</v>
      </c>
      <c r="AG59">
        <v>280</v>
      </c>
      <c r="AH59" s="1">
        <f>knicks_players_all_stats[[#This Row],[BLK2]]/10</f>
        <v>28</v>
      </c>
      <c r="AI59" s="4">
        <f>knicks_players_all_stats[[#This Row],[BLK]]/knicks_players_all_stats[[#This Row],[GP]]</f>
        <v>0.36363636363636365</v>
      </c>
      <c r="AJ59">
        <v>2180</v>
      </c>
      <c r="AK59" s="4">
        <f>knicks_players_all_stats[[#This Row],[BLKPG]]+knicks_players_all_stats[[#This Row],[STLPG]]+knicks_players_all_stats[[#This Row],[REBPG]]</f>
        <v>6.2467532467532472</v>
      </c>
      <c r="AL59" s="1">
        <f>knicks_players_all_stats[[#This Row],[TOV2]]/10</f>
        <v>218</v>
      </c>
      <c r="AM59" s="4">
        <f>knicks_players_all_stats[[#This Row],[TOV]]/knicks_players_all_stats[[#This Row],[GP]]</f>
        <v>2.831168831168831</v>
      </c>
      <c r="AN59" s="1">
        <v>159</v>
      </c>
      <c r="AO59" s="1">
        <f>knicks_players_all_stats[[#This Row],[PF]]/knicks_players_all_stats[[#This Row],[GP]]</f>
        <v>2.0649350649350651</v>
      </c>
      <c r="AP59" s="1">
        <v>1364</v>
      </c>
      <c r="AQ59" s="4">
        <f>knicks_players_all_stats[[#This Row],[PTS]]/knicks_players_all_stats[[#This Row],[GP]]</f>
        <v>17.714285714285715</v>
      </c>
    </row>
    <row r="60" spans="1:43" x14ac:dyDescent="0.3">
      <c r="A60" s="1" t="s">
        <v>1449</v>
      </c>
      <c r="B60" s="1" t="s">
        <v>1300</v>
      </c>
      <c r="C60" s="1" t="str">
        <f>knicks_players_all_stats[[#This Row],[NAME]]&amp;" ("&amp;knicks_players_all_stats[[#This Row],[SEASON]]&amp;")"</f>
        <v>Steve Francis (2005-06)</v>
      </c>
      <c r="D60" s="1">
        <f>knicks_players_all_stats[[#This Row],[PLAYER_AGE]]/10</f>
        <v>29</v>
      </c>
      <c r="E60">
        <v>290</v>
      </c>
      <c r="F60" s="1">
        <v>24</v>
      </c>
      <c r="G60" s="1">
        <v>6590</v>
      </c>
      <c r="H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189</v>
      </c>
      <c r="I60" s="4">
        <f>knicks_players_all_stats[[#This Row],[VALORATION]]/knicks_players_all_stats[[#This Row],[GP]]</f>
        <v>7.875</v>
      </c>
      <c r="J60" s="1">
        <v>84</v>
      </c>
      <c r="K60" s="1">
        <v>190</v>
      </c>
      <c r="L60" s="2">
        <f>knicks_players_all_stats[[#This Row],[FGM]]/knicks_players_all_stats[[#This Row],[FGA]]</f>
        <v>0.44210526315789472</v>
      </c>
      <c r="M60" s="16">
        <f>knicks_players_all_stats[[#This Row],[FG3M2]]/10</f>
        <v>7</v>
      </c>
      <c r="N60" s="1">
        <v>70</v>
      </c>
      <c r="O60" s="1">
        <f>knicks_players_all_stats[[#This Row],[FG3A2]]/10</f>
        <v>13</v>
      </c>
      <c r="P60" s="1">
        <v>130</v>
      </c>
      <c r="Q60" s="2">
        <f>knicks_players_all_stats[[#This Row],[FG3M2]]/knicks_players_all_stats[[#This Row],[FG3A2]]</f>
        <v>0.53846153846153844</v>
      </c>
      <c r="R60" s="1">
        <v>83</v>
      </c>
      <c r="S60" s="1">
        <v>109</v>
      </c>
      <c r="T60" s="3">
        <f>knicks_players_all_stats[[#This Row],[FTM]]/knicks_players_all_stats[[#This Row],[FTA]]</f>
        <v>0.76146788990825687</v>
      </c>
      <c r="U60" s="1">
        <f>knicks_players_all_stats[[#This Row],[OREB22]]/10</f>
        <v>14</v>
      </c>
      <c r="V60" s="1">
        <f>knicks_players_all_stats[[#This Row],[DREB33]]/10</f>
        <v>57</v>
      </c>
      <c r="W60" s="1">
        <f>knicks_players_all_stats[[#This Row],[REB44]]/10</f>
        <v>71</v>
      </c>
      <c r="X60">
        <v>140</v>
      </c>
      <c r="Y60">
        <v>570</v>
      </c>
      <c r="Z60">
        <v>710</v>
      </c>
      <c r="AA60" s="14">
        <f>knicks_players_all_stats[[#This Row],[REB]]/knicks_players_all_stats[[#This Row],[GP]]</f>
        <v>2.9583333333333335</v>
      </c>
      <c r="AB60" s="1">
        <v>83</v>
      </c>
      <c r="AC60" s="4">
        <f>knicks_players_all_stats[[#This Row],[AST]]/knicks_players_all_stats[[#This Row],[GP]]</f>
        <v>3.4583333333333335</v>
      </c>
      <c r="AD60" s="1">
        <f>knicks_players_all_stats[[#This Row],[STL2]]/10</f>
        <v>23</v>
      </c>
      <c r="AE60" s="1">
        <v>230</v>
      </c>
      <c r="AF60" s="4">
        <f>knicks_players_all_stats[[#This Row],[STL]]/knicks_players_all_stats[[#This Row],[GP]]</f>
        <v>0.95833333333333337</v>
      </c>
      <c r="AG60">
        <v>60</v>
      </c>
      <c r="AH60" s="1">
        <f>knicks_players_all_stats[[#This Row],[BLK2]]/10</f>
        <v>6</v>
      </c>
      <c r="AI60" s="4">
        <f>knicks_players_all_stats[[#This Row],[BLK]]/knicks_players_all_stats[[#This Row],[GP]]</f>
        <v>0.25</v>
      </c>
      <c r="AJ60">
        <v>580</v>
      </c>
      <c r="AK60" s="4">
        <f>knicks_players_all_stats[[#This Row],[BLKPG]]+knicks_players_all_stats[[#This Row],[STLPG]]+knicks_players_all_stats[[#This Row],[REBPG]]</f>
        <v>4.166666666666667</v>
      </c>
      <c r="AL60" s="1">
        <f>knicks_players_all_stats[[#This Row],[TOV2]]/10</f>
        <v>58</v>
      </c>
      <c r="AM60" s="4">
        <f>knicks_players_all_stats[[#This Row],[TOV]]/knicks_players_all_stats[[#This Row],[GP]]</f>
        <v>2.4166666666666665</v>
      </c>
      <c r="AN60" s="1">
        <v>62</v>
      </c>
      <c r="AO60" s="1">
        <f>knicks_players_all_stats[[#This Row],[PF]]/knicks_players_all_stats[[#This Row],[GP]]</f>
        <v>2.5833333333333335</v>
      </c>
      <c r="AP60" s="1">
        <v>258</v>
      </c>
      <c r="AQ60" s="4">
        <f>knicks_players_all_stats[[#This Row],[PTS]]/knicks_players_all_stats[[#This Row],[GP]]</f>
        <v>10.75</v>
      </c>
    </row>
    <row r="61" spans="1:43" customFormat="1" x14ac:dyDescent="0.3">
      <c r="A61" s="1" t="s">
        <v>1404</v>
      </c>
      <c r="B61" s="1" t="s">
        <v>1337</v>
      </c>
      <c r="C61" s="1" t="str">
        <f>knicks_players_all_stats[[#This Row],[NAME]]&amp;" ("&amp;knicks_players_all_stats[[#This Row],[SEASON]]&amp;")"</f>
        <v>Pablo Prigioni (2013-14)</v>
      </c>
      <c r="D61" s="1">
        <f>knicks_players_all_stats[[#This Row],[PLAYER_AGE]]/10</f>
        <v>37</v>
      </c>
      <c r="E61">
        <v>370</v>
      </c>
      <c r="F61" s="1">
        <v>66</v>
      </c>
      <c r="G61" s="1">
        <v>12830</v>
      </c>
      <c r="H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382</v>
      </c>
      <c r="I61" s="4">
        <f>knicks_players_all_stats[[#This Row],[VALORATION]]/knicks_players_all_stats[[#This Row],[GP]]</f>
        <v>5.7878787878787881</v>
      </c>
      <c r="J61" s="1">
        <v>88</v>
      </c>
      <c r="K61" s="1">
        <v>191</v>
      </c>
      <c r="L61" s="2">
        <f>knicks_players_all_stats[[#This Row],[FGM]]/knicks_players_all_stats[[#This Row],[FGA]]</f>
        <v>0.4607329842931937</v>
      </c>
      <c r="M61" s="16">
        <f>knicks_players_all_stats[[#This Row],[FG3M2]]/10</f>
        <v>65</v>
      </c>
      <c r="N61" s="1">
        <v>650</v>
      </c>
      <c r="O61" s="1">
        <f>knicks_players_all_stats[[#This Row],[FG3A2]]/10</f>
        <v>140</v>
      </c>
      <c r="P61" s="1">
        <v>1400</v>
      </c>
      <c r="Q61" s="2">
        <f>knicks_players_all_stats[[#This Row],[FG3M2]]/knicks_players_all_stats[[#This Row],[FG3A2]]</f>
        <v>0.4642857142857143</v>
      </c>
      <c r="R61" s="1">
        <v>11</v>
      </c>
      <c r="S61" s="1">
        <v>12</v>
      </c>
      <c r="T61" s="3">
        <f>knicks_players_all_stats[[#This Row],[FTM]]/knicks_players_all_stats[[#This Row],[FTA]]</f>
        <v>0.91666666666666663</v>
      </c>
      <c r="U61" s="1">
        <f>knicks_players_all_stats[[#This Row],[OREB22]]/10</f>
        <v>36</v>
      </c>
      <c r="V61" s="1">
        <f>knicks_players_all_stats[[#This Row],[DREB33]]/10</f>
        <v>93</v>
      </c>
      <c r="W61" s="1">
        <f>knicks_players_all_stats[[#This Row],[REB44]]/10</f>
        <v>129</v>
      </c>
      <c r="X61">
        <v>360</v>
      </c>
      <c r="Y61">
        <v>930</v>
      </c>
      <c r="Z61">
        <v>1290</v>
      </c>
      <c r="AA61" s="14">
        <f>knicks_players_all_stats[[#This Row],[REB]]/knicks_players_all_stats[[#This Row],[GP]]</f>
        <v>1.9545454545454546</v>
      </c>
      <c r="AB61" s="1">
        <v>228</v>
      </c>
      <c r="AC61" s="4">
        <f>knicks_players_all_stats[[#This Row],[AST]]/knicks_players_all_stats[[#This Row],[GP]]</f>
        <v>3.4545454545454546</v>
      </c>
      <c r="AD61" s="1">
        <f>knicks_players_all_stats[[#This Row],[STL2]]/10</f>
        <v>67</v>
      </c>
      <c r="AE61" s="1">
        <v>670</v>
      </c>
      <c r="AF61" s="4">
        <f>knicks_players_all_stats[[#This Row],[STL]]/knicks_players_all_stats[[#This Row],[GP]]</f>
        <v>1.0151515151515151</v>
      </c>
      <c r="AG61">
        <v>20</v>
      </c>
      <c r="AH61" s="1">
        <f>knicks_players_all_stats[[#This Row],[BLK2]]/10</f>
        <v>2</v>
      </c>
      <c r="AI61" s="4">
        <f>knicks_players_all_stats[[#This Row],[BLK]]/knicks_players_all_stats[[#This Row],[GP]]</f>
        <v>3.0303030303030304E-2</v>
      </c>
      <c r="AJ61">
        <v>600</v>
      </c>
      <c r="AK61" s="4">
        <f>knicks_players_all_stats[[#This Row],[BLKPG]]+knicks_players_all_stats[[#This Row],[STLPG]]+knicks_players_all_stats[[#This Row],[REBPG]]</f>
        <v>3</v>
      </c>
      <c r="AL61" s="1">
        <f>knicks_players_all_stats[[#This Row],[TOV2]]/10</f>
        <v>60</v>
      </c>
      <c r="AM61" s="4">
        <f>knicks_players_all_stats[[#This Row],[TOV]]/knicks_players_all_stats[[#This Row],[GP]]</f>
        <v>0.90909090909090906</v>
      </c>
      <c r="AN61" s="1">
        <v>132</v>
      </c>
      <c r="AO61" s="1">
        <f>knicks_players_all_stats[[#This Row],[PF]]/knicks_players_all_stats[[#This Row],[GP]]</f>
        <v>2</v>
      </c>
      <c r="AP61" s="1">
        <v>252</v>
      </c>
      <c r="AQ61" s="4">
        <f>knicks_players_all_stats[[#This Row],[PTS]]/knicks_players_all_stats[[#This Row],[GP]]</f>
        <v>3.8181818181818183</v>
      </c>
    </row>
    <row r="62" spans="1:43" customFormat="1" x14ac:dyDescent="0.3">
      <c r="A62" s="1" t="s">
        <v>1496</v>
      </c>
      <c r="B62" s="1" t="s">
        <v>1327</v>
      </c>
      <c r="C62" s="1" t="str">
        <f>knicks_players_all_stats[[#This Row],[NAME]]&amp;" ("&amp;knicks_players_all_stats[[#This Row],[SEASON]]&amp;")"</f>
        <v>Immanuel Quickley (2022-23)</v>
      </c>
      <c r="D62" s="1">
        <f>knicks_players_all_stats[[#This Row],[PLAYER_AGE]]/10</f>
        <v>24</v>
      </c>
      <c r="E62">
        <v>240</v>
      </c>
      <c r="F62" s="1">
        <v>81</v>
      </c>
      <c r="G62" s="1">
        <v>23440</v>
      </c>
      <c r="H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1091</v>
      </c>
      <c r="I62" s="4">
        <f>knicks_players_all_stats[[#This Row],[VALORATION]]/knicks_players_all_stats[[#This Row],[GP]]</f>
        <v>13.469135802469136</v>
      </c>
      <c r="J62" s="1">
        <v>419</v>
      </c>
      <c r="K62" s="1">
        <v>936</v>
      </c>
      <c r="L62" s="2">
        <f>knicks_players_all_stats[[#This Row],[FGM]]/knicks_players_all_stats[[#This Row],[FGA]]</f>
        <v>0.44764957264957267</v>
      </c>
      <c r="M62" s="16">
        <f>knicks_players_all_stats[[#This Row],[FG3M2]]/10</f>
        <v>168</v>
      </c>
      <c r="N62" s="1">
        <v>1680</v>
      </c>
      <c r="O62" s="1">
        <f>knicks_players_all_stats[[#This Row],[FG3A2]]/10</f>
        <v>454</v>
      </c>
      <c r="P62" s="1">
        <v>4540</v>
      </c>
      <c r="Q62" s="2">
        <f>knicks_players_all_stats[[#This Row],[FG3M2]]/knicks_players_all_stats[[#This Row],[FG3A2]]</f>
        <v>0.37004405286343611</v>
      </c>
      <c r="R62" s="1">
        <v>203</v>
      </c>
      <c r="S62" s="1">
        <v>248</v>
      </c>
      <c r="T62" s="3">
        <f>knicks_players_all_stats[[#This Row],[FTM]]/knicks_players_all_stats[[#This Row],[FTA]]</f>
        <v>0.81854838709677424</v>
      </c>
      <c r="U62" s="1">
        <f>knicks_players_all_stats[[#This Row],[OREB22]]/10</f>
        <v>58</v>
      </c>
      <c r="V62" s="1">
        <f>knicks_players_all_stats[[#This Row],[DREB33]]/10</f>
        <v>279</v>
      </c>
      <c r="W62" s="1">
        <f>knicks_players_all_stats[[#This Row],[REB44]]/10</f>
        <v>337</v>
      </c>
      <c r="X62">
        <v>580</v>
      </c>
      <c r="Y62">
        <v>2790</v>
      </c>
      <c r="Z62">
        <v>3370</v>
      </c>
      <c r="AA62" s="14">
        <f>knicks_players_all_stats[[#This Row],[REB]]/knicks_players_all_stats[[#This Row],[GP]]</f>
        <v>4.1604938271604937</v>
      </c>
      <c r="AB62" s="1">
        <v>279</v>
      </c>
      <c r="AC62" s="4">
        <f>knicks_players_all_stats[[#This Row],[AST]]/knicks_players_all_stats[[#This Row],[GP]]</f>
        <v>3.4444444444444446</v>
      </c>
      <c r="AD62" s="1">
        <f>knicks_players_all_stats[[#This Row],[STL2]]/10</f>
        <v>80</v>
      </c>
      <c r="AE62" s="1">
        <v>800</v>
      </c>
      <c r="AF62" s="4">
        <f>knicks_players_all_stats[[#This Row],[STL]]/knicks_players_all_stats[[#This Row],[GP]]</f>
        <v>0.98765432098765427</v>
      </c>
      <c r="AG62">
        <v>140</v>
      </c>
      <c r="AH62" s="1">
        <f>knicks_players_all_stats[[#This Row],[BLK2]]/10</f>
        <v>14</v>
      </c>
      <c r="AI62" s="4">
        <f>knicks_players_all_stats[[#This Row],[BLK]]/knicks_players_all_stats[[#This Row],[GP]]</f>
        <v>0.1728395061728395</v>
      </c>
      <c r="AJ62">
        <v>1000</v>
      </c>
      <c r="AK62" s="4">
        <f>knicks_players_all_stats[[#This Row],[BLKPG]]+knicks_players_all_stats[[#This Row],[STLPG]]+knicks_players_all_stats[[#This Row],[REBPG]]</f>
        <v>5.3209876543209873</v>
      </c>
      <c r="AL62" s="1">
        <f>knicks_players_all_stats[[#This Row],[TOV2]]/10</f>
        <v>100</v>
      </c>
      <c r="AM62" s="4">
        <f>knicks_players_all_stats[[#This Row],[TOV]]/knicks_players_all_stats[[#This Row],[GP]]</f>
        <v>1.2345679012345678</v>
      </c>
      <c r="AN62" s="1">
        <v>166</v>
      </c>
      <c r="AO62" s="1">
        <f>knicks_players_all_stats[[#This Row],[PF]]/knicks_players_all_stats[[#This Row],[GP]]</f>
        <v>2.0493827160493829</v>
      </c>
      <c r="AP62" s="1">
        <v>1209</v>
      </c>
      <c r="AQ62" s="4">
        <f>knicks_players_all_stats[[#This Row],[PTS]]/knicks_players_all_stats[[#This Row],[GP]]</f>
        <v>14.925925925925926</v>
      </c>
    </row>
    <row r="63" spans="1:43" customFormat="1" x14ac:dyDescent="0.3">
      <c r="A63" s="1" t="s">
        <v>1451</v>
      </c>
      <c r="B63" s="1" t="s">
        <v>1343</v>
      </c>
      <c r="C63" s="1" t="str">
        <f>knicks_players_all_stats[[#This Row],[NAME]]&amp;" ("&amp;knicks_players_all_stats[[#This Row],[SEASON]]&amp;")"</f>
        <v>JR Smith (2014-15)</v>
      </c>
      <c r="D63" s="1">
        <f>knicks_players_all_stats[[#This Row],[PLAYER_AGE]]/10</f>
        <v>29</v>
      </c>
      <c r="E63">
        <v>290</v>
      </c>
      <c r="F63" s="1">
        <v>24</v>
      </c>
      <c r="G63" s="1">
        <v>6190</v>
      </c>
      <c r="H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171</v>
      </c>
      <c r="I63" s="4">
        <f>knicks_players_all_stats[[#This Row],[VALORATION]]/knicks_players_all_stats[[#This Row],[GP]]</f>
        <v>7.125</v>
      </c>
      <c r="J63" s="1">
        <v>101</v>
      </c>
      <c r="K63" s="1">
        <v>251</v>
      </c>
      <c r="L63" s="2">
        <f>knicks_players_all_stats[[#This Row],[FGM]]/knicks_players_all_stats[[#This Row],[FGA]]</f>
        <v>0.40239043824701193</v>
      </c>
      <c r="M63" s="16">
        <f>knicks_players_all_stats[[#This Row],[FG3M2]]/10</f>
        <v>32</v>
      </c>
      <c r="N63" s="1">
        <v>320</v>
      </c>
      <c r="O63" s="1">
        <f>knicks_players_all_stats[[#This Row],[FG3A2]]/10</f>
        <v>90</v>
      </c>
      <c r="P63" s="1">
        <v>900</v>
      </c>
      <c r="Q63" s="2">
        <f>knicks_players_all_stats[[#This Row],[FG3M2]]/knicks_players_all_stats[[#This Row],[FG3A2]]</f>
        <v>0.35555555555555557</v>
      </c>
      <c r="R63" s="1">
        <v>27</v>
      </c>
      <c r="S63" s="1">
        <v>39</v>
      </c>
      <c r="T63" s="3">
        <f>knicks_players_all_stats[[#This Row],[FTM]]/knicks_players_all_stats[[#This Row],[FTA]]</f>
        <v>0.69230769230769229</v>
      </c>
      <c r="U63" s="1">
        <f>knicks_players_all_stats[[#This Row],[OREB22]]/10</f>
        <v>4</v>
      </c>
      <c r="V63" s="1">
        <f>knicks_players_all_stats[[#This Row],[DREB33]]/10</f>
        <v>54</v>
      </c>
      <c r="W63" s="1">
        <f>knicks_players_all_stats[[#This Row],[REB44]]/10</f>
        <v>58</v>
      </c>
      <c r="X63">
        <v>40</v>
      </c>
      <c r="Y63">
        <v>540</v>
      </c>
      <c r="Z63">
        <v>580</v>
      </c>
      <c r="AA63" s="14">
        <f>knicks_players_all_stats[[#This Row],[REB]]/knicks_players_all_stats[[#This Row],[GP]]</f>
        <v>2.4166666666666665</v>
      </c>
      <c r="AB63" s="1">
        <v>81</v>
      </c>
      <c r="AC63" s="4">
        <f>knicks_players_all_stats[[#This Row],[AST]]/knicks_players_all_stats[[#This Row],[GP]]</f>
        <v>3.375</v>
      </c>
      <c r="AD63" s="1">
        <f>knicks_players_all_stats[[#This Row],[STL2]]/10</f>
        <v>18</v>
      </c>
      <c r="AE63" s="1">
        <v>180</v>
      </c>
      <c r="AF63" s="4">
        <f>knicks_players_all_stats[[#This Row],[STL]]/knicks_players_all_stats[[#This Row],[GP]]</f>
        <v>0.75</v>
      </c>
      <c r="AG63">
        <v>40</v>
      </c>
      <c r="AH63" s="1">
        <f>knicks_players_all_stats[[#This Row],[BLK2]]/10</f>
        <v>4</v>
      </c>
      <c r="AI63" s="4">
        <f>knicks_players_all_stats[[#This Row],[BLK]]/knicks_players_all_stats[[#This Row],[GP]]</f>
        <v>0.16666666666666666</v>
      </c>
      <c r="AJ63">
        <v>450</v>
      </c>
      <c r="AK63" s="4">
        <f>knicks_players_all_stats[[#This Row],[BLKPG]]+knicks_players_all_stats[[#This Row],[STLPG]]+knicks_players_all_stats[[#This Row],[REBPG]]</f>
        <v>3.333333333333333</v>
      </c>
      <c r="AL63" s="1">
        <f>knicks_players_all_stats[[#This Row],[TOV2]]/10</f>
        <v>45</v>
      </c>
      <c r="AM63" s="4">
        <f>knicks_players_all_stats[[#This Row],[TOV]]/knicks_players_all_stats[[#This Row],[GP]]</f>
        <v>1.875</v>
      </c>
      <c r="AN63" s="1">
        <v>44</v>
      </c>
      <c r="AO63" s="1">
        <f>knicks_players_all_stats[[#This Row],[PF]]/knicks_players_all_stats[[#This Row],[GP]]</f>
        <v>1.8333333333333333</v>
      </c>
      <c r="AP63" s="1">
        <v>261</v>
      </c>
      <c r="AQ63" s="4">
        <f>knicks_players_all_stats[[#This Row],[PTS]]/knicks_players_all_stats[[#This Row],[GP]]</f>
        <v>10.875</v>
      </c>
    </row>
    <row r="64" spans="1:43" customFormat="1" x14ac:dyDescent="0.3">
      <c r="A64" s="1" t="s">
        <v>1391</v>
      </c>
      <c r="B64" s="1" t="s">
        <v>1305</v>
      </c>
      <c r="C64" s="1" t="str">
        <f>knicks_players_all_stats[[#This Row],[NAME]]&amp;" ("&amp;knicks_players_all_stats[[#This Row],[SEASON]]&amp;")"</f>
        <v>Sergio Rodriguez (2009-10)</v>
      </c>
      <c r="D64" s="1">
        <f>knicks_players_all_stats[[#This Row],[PLAYER_AGE]]/10</f>
        <v>24</v>
      </c>
      <c r="E64">
        <v>240</v>
      </c>
      <c r="F64" s="1">
        <v>27</v>
      </c>
      <c r="G64" s="1">
        <v>5310</v>
      </c>
      <c r="H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172</v>
      </c>
      <c r="I64" s="4">
        <f>knicks_players_all_stats[[#This Row],[VALORATION]]/knicks_players_all_stats[[#This Row],[GP]]</f>
        <v>6.3703703703703702</v>
      </c>
      <c r="J64" s="1">
        <v>79</v>
      </c>
      <c r="K64" s="1">
        <v>161</v>
      </c>
      <c r="L64" s="2">
        <f>knicks_players_all_stats[[#This Row],[FGM]]/knicks_players_all_stats[[#This Row],[FGA]]</f>
        <v>0.49068322981366458</v>
      </c>
      <c r="M64" s="16">
        <f>knicks_players_all_stats[[#This Row],[FG3M2]]/10</f>
        <v>17</v>
      </c>
      <c r="N64" s="1">
        <v>170</v>
      </c>
      <c r="O64" s="1">
        <f>knicks_players_all_stats[[#This Row],[FG3A2]]/10</f>
        <v>49</v>
      </c>
      <c r="P64" s="1">
        <v>490</v>
      </c>
      <c r="Q64" s="2">
        <f>knicks_players_all_stats[[#This Row],[FG3M2]]/knicks_players_all_stats[[#This Row],[FG3A2]]</f>
        <v>0.34693877551020408</v>
      </c>
      <c r="R64" s="1">
        <v>25</v>
      </c>
      <c r="S64" s="1">
        <v>31</v>
      </c>
      <c r="T64" s="3">
        <f>knicks_players_all_stats[[#This Row],[FTM]]/knicks_players_all_stats[[#This Row],[FTA]]</f>
        <v>0.80645161290322576</v>
      </c>
      <c r="U64" s="1">
        <f>knicks_players_all_stats[[#This Row],[OREB22]]/10</f>
        <v>9</v>
      </c>
      <c r="V64" s="1">
        <f>knicks_players_all_stats[[#This Row],[DREB33]]/10</f>
        <v>30</v>
      </c>
      <c r="W64" s="1">
        <f>knicks_players_all_stats[[#This Row],[REB44]]/10</f>
        <v>39</v>
      </c>
      <c r="X64">
        <v>90</v>
      </c>
      <c r="Y64">
        <v>300</v>
      </c>
      <c r="Z64">
        <v>390</v>
      </c>
      <c r="AA64" s="14">
        <f>knicks_players_all_stats[[#This Row],[REB]]/knicks_players_all_stats[[#This Row],[GP]]</f>
        <v>1.4444444444444444</v>
      </c>
      <c r="AB64" s="1">
        <v>91</v>
      </c>
      <c r="AC64" s="4">
        <f>knicks_players_all_stats[[#This Row],[AST]]/knicks_players_all_stats[[#This Row],[GP]]</f>
        <v>3.3703703703703702</v>
      </c>
      <c r="AD64" s="1">
        <f>knicks_players_all_stats[[#This Row],[STL2]]/10</f>
        <v>21</v>
      </c>
      <c r="AE64" s="1">
        <v>210</v>
      </c>
      <c r="AF64" s="4">
        <f>knicks_players_all_stats[[#This Row],[STL]]/knicks_players_all_stats[[#This Row],[GP]]</f>
        <v>0.77777777777777779</v>
      </c>
      <c r="AG64">
        <v>20</v>
      </c>
      <c r="AH64" s="1">
        <f>knicks_players_all_stats[[#This Row],[BLK2]]/10</f>
        <v>2</v>
      </c>
      <c r="AI64" s="4">
        <f>knicks_players_all_stats[[#This Row],[BLK]]/knicks_players_all_stats[[#This Row],[GP]]</f>
        <v>7.407407407407407E-2</v>
      </c>
      <c r="AJ64">
        <v>550</v>
      </c>
      <c r="AK64" s="4">
        <f>knicks_players_all_stats[[#This Row],[BLKPG]]+knicks_players_all_stats[[#This Row],[STLPG]]+knicks_players_all_stats[[#This Row],[REBPG]]</f>
        <v>2.2962962962962963</v>
      </c>
      <c r="AL64" s="1">
        <f>knicks_players_all_stats[[#This Row],[TOV2]]/10</f>
        <v>55</v>
      </c>
      <c r="AM64" s="4">
        <f>knicks_players_all_stats[[#This Row],[TOV]]/knicks_players_all_stats[[#This Row],[GP]]</f>
        <v>2.0370370370370372</v>
      </c>
      <c r="AN64" s="1">
        <v>38</v>
      </c>
      <c r="AO64" s="1">
        <f>knicks_players_all_stats[[#This Row],[PF]]/knicks_players_all_stats[[#This Row],[GP]]</f>
        <v>1.4074074074074074</v>
      </c>
      <c r="AP64" s="1">
        <v>200</v>
      </c>
      <c r="AQ64" s="4">
        <f>knicks_players_all_stats[[#This Row],[PTS]]/knicks_players_all_stats[[#This Row],[GP]]</f>
        <v>7.4074074074074074</v>
      </c>
    </row>
    <row r="65" spans="1:43" customFormat="1" x14ac:dyDescent="0.3">
      <c r="A65" s="1" t="s">
        <v>1735</v>
      </c>
      <c r="B65" s="1" t="s">
        <v>1343</v>
      </c>
      <c r="C65" s="1" t="str">
        <f>knicks_players_all_stats[[#This Row],[NAME]]&amp;" ("&amp;knicks_players_all_stats[[#This Row],[SEASON]]&amp;")"</f>
        <v>Langston Galloway (2014-15)</v>
      </c>
      <c r="D65" s="1">
        <f>knicks_players_all_stats[[#This Row],[PLAYER_AGE]]/10</f>
        <v>23</v>
      </c>
      <c r="E65">
        <v>230</v>
      </c>
      <c r="F65" s="1">
        <v>45</v>
      </c>
      <c r="G65" s="1">
        <v>14570</v>
      </c>
      <c r="H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425</v>
      </c>
      <c r="I65" s="4">
        <f>knicks_players_all_stats[[#This Row],[VALORATION]]/knicks_players_all_stats[[#This Row],[GP]]</f>
        <v>9.4444444444444446</v>
      </c>
      <c r="J65" s="1">
        <v>204</v>
      </c>
      <c r="K65" s="1">
        <v>511</v>
      </c>
      <c r="L65" s="1">
        <v>399</v>
      </c>
      <c r="M65" s="4">
        <f>knicks_players_all_stats[[#This Row],[FG3M2]]/10</f>
        <v>62</v>
      </c>
      <c r="N65" s="1">
        <v>620</v>
      </c>
      <c r="O65" s="1">
        <f>knicks_players_all_stats[[#This Row],[FG3A2]]/10</f>
        <v>176</v>
      </c>
      <c r="P65" s="1">
        <v>1760</v>
      </c>
      <c r="Q65" s="2">
        <f>knicks_players_all_stats[[#This Row],[FG3M2]]/knicks_players_all_stats[[#This Row],[FG3A2]]</f>
        <v>0.35227272727272729</v>
      </c>
      <c r="R65" s="1">
        <v>63</v>
      </c>
      <c r="S65" s="1">
        <v>78</v>
      </c>
      <c r="T65" s="3">
        <f>knicks_players_all_stats[[#This Row],[FTM]]/knicks_players_all_stats[[#This Row],[FTA]]</f>
        <v>0.80769230769230771</v>
      </c>
      <c r="U65" s="1">
        <f>knicks_players_all_stats[[#This Row],[OREB22]]/10</f>
        <v>37</v>
      </c>
      <c r="V65" s="1">
        <f>knicks_players_all_stats[[#This Row],[DREB33]]/10</f>
        <v>153</v>
      </c>
      <c r="W65" s="1">
        <f>knicks_players_all_stats[[#This Row],[REB44]]/10</f>
        <v>190</v>
      </c>
      <c r="X65">
        <v>370</v>
      </c>
      <c r="Y65">
        <v>1530</v>
      </c>
      <c r="Z65">
        <v>1900</v>
      </c>
      <c r="AA65" s="14">
        <f>knicks_players_all_stats[[#This Row],[REB]]/knicks_players_all_stats[[#This Row],[GP]]</f>
        <v>4.2222222222222223</v>
      </c>
      <c r="AB65" s="1">
        <v>150</v>
      </c>
      <c r="AC65" s="4">
        <f>knicks_players_all_stats[[#This Row],[AST]]/knicks_players_all_stats[[#This Row],[GP]]</f>
        <v>3.3333333333333335</v>
      </c>
      <c r="AD65" s="1">
        <f>knicks_players_all_stats[[#This Row],[STL2]]/10</f>
        <v>52</v>
      </c>
      <c r="AE65" s="1">
        <v>520</v>
      </c>
      <c r="AF65" s="4">
        <f>knicks_players_all_stats[[#This Row],[STL]]/knicks_players_all_stats[[#This Row],[GP]]</f>
        <v>1.1555555555555554</v>
      </c>
      <c r="AG65">
        <v>120</v>
      </c>
      <c r="AH65" s="1">
        <f>knicks_players_all_stats[[#This Row],[BLK2]]/10</f>
        <v>12</v>
      </c>
      <c r="AI65" s="4">
        <f>knicks_players_all_stats[[#This Row],[BLK]]/knicks_players_all_stats[[#This Row],[GP]]</f>
        <v>0.26666666666666666</v>
      </c>
      <c r="AJ65">
        <v>610</v>
      </c>
      <c r="AK65" s="4">
        <f>knicks_players_all_stats[[#This Row],[BLKPG]]+knicks_players_all_stats[[#This Row],[STLPG]]+knicks_players_all_stats[[#This Row],[REBPG]]</f>
        <v>5.6444444444444439</v>
      </c>
      <c r="AL65" s="1">
        <f>knicks_players_all_stats[[#This Row],[TOV2]]/10</f>
        <v>61</v>
      </c>
      <c r="AM65" s="4">
        <f>knicks_players_all_stats[[#This Row],[TOV]]/knicks_players_all_stats[[#This Row],[GP]]</f>
        <v>1.3555555555555556</v>
      </c>
      <c r="AN65" s="1">
        <v>129</v>
      </c>
      <c r="AO65" s="1">
        <f>knicks_players_all_stats[[#This Row],[PF]]/knicks_players_all_stats[[#This Row],[GP]]</f>
        <v>2.8666666666666667</v>
      </c>
      <c r="AP65" s="1">
        <v>533</v>
      </c>
      <c r="AQ65" s="4">
        <f>knicks_players_all_stats[[#This Row],[PTS]]/knicks_players_all_stats[[#This Row],[GP]]</f>
        <v>11.844444444444445</v>
      </c>
    </row>
    <row r="66" spans="1:43" x14ac:dyDescent="0.3">
      <c r="A66" s="1" t="s">
        <v>1660</v>
      </c>
      <c r="B66" s="1" t="s">
        <v>1292</v>
      </c>
      <c r="C66" s="1" t="str">
        <f>knicks_players_all_stats[[#This Row],[NAME]]&amp;" ("&amp;knicks_players_all_stats[[#This Row],[SEASON]]&amp;")"</f>
        <v>Jason Kidd (2012-13)</v>
      </c>
      <c r="D66" s="1">
        <f>knicks_players_all_stats[[#This Row],[PLAYER_AGE]]/10</f>
        <v>40</v>
      </c>
      <c r="E66">
        <v>400</v>
      </c>
      <c r="F66" s="1">
        <v>76</v>
      </c>
      <c r="G66" s="1">
        <v>20430</v>
      </c>
      <c r="H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714</v>
      </c>
      <c r="I66" s="4">
        <f>knicks_players_all_stats[[#This Row],[VALORATION]]/knicks_players_all_stats[[#This Row],[GP]]</f>
        <v>9.3947368421052637</v>
      </c>
      <c r="J66" s="1">
        <v>152</v>
      </c>
      <c r="K66" s="1">
        <v>409</v>
      </c>
      <c r="L66" s="1">
        <v>372</v>
      </c>
      <c r="M66" s="4">
        <f>knicks_players_all_stats[[#This Row],[FG3M2]]/10</f>
        <v>114</v>
      </c>
      <c r="N66" s="1">
        <v>1140</v>
      </c>
      <c r="O66" s="1">
        <f>knicks_players_all_stats[[#This Row],[FG3A2]]/10</f>
        <v>325</v>
      </c>
      <c r="P66" s="1">
        <v>3250</v>
      </c>
      <c r="Q66" s="2">
        <f>knicks_players_all_stats[[#This Row],[FG3M2]]/knicks_players_all_stats[[#This Row],[FG3A2]]</f>
        <v>0.35076923076923078</v>
      </c>
      <c r="R66" s="1">
        <v>40</v>
      </c>
      <c r="S66" s="1">
        <v>48</v>
      </c>
      <c r="T66" s="3">
        <f>knicks_players_all_stats[[#This Row],[FTM]]/knicks_players_all_stats[[#This Row],[FTA]]</f>
        <v>0.83333333333333337</v>
      </c>
      <c r="U66" s="1">
        <f>knicks_players_all_stats[[#This Row],[OREB22]]/10</f>
        <v>50</v>
      </c>
      <c r="V66" s="1">
        <f>knicks_players_all_stats[[#This Row],[DREB33]]/10</f>
        <v>273</v>
      </c>
      <c r="W66" s="1">
        <f>knicks_players_all_stats[[#This Row],[REB44]]/10</f>
        <v>323</v>
      </c>
      <c r="X66">
        <v>500</v>
      </c>
      <c r="Y66">
        <v>2730</v>
      </c>
      <c r="Z66">
        <v>3230</v>
      </c>
      <c r="AA66" s="14">
        <f>knicks_players_all_stats[[#This Row],[REB]]/knicks_players_all_stats[[#This Row],[GP]]</f>
        <v>4.25</v>
      </c>
      <c r="AB66" s="1">
        <v>249</v>
      </c>
      <c r="AC66" s="4">
        <f>knicks_players_all_stats[[#This Row],[AST]]/knicks_players_all_stats[[#This Row],[GP]]</f>
        <v>3.2763157894736841</v>
      </c>
      <c r="AD66" s="1">
        <f>knicks_players_all_stats[[#This Row],[STL2]]/10</f>
        <v>125</v>
      </c>
      <c r="AE66" s="1">
        <v>1250</v>
      </c>
      <c r="AF66" s="4">
        <f>knicks_players_all_stats[[#This Row],[STL]]/knicks_players_all_stats[[#This Row],[GP]]</f>
        <v>1.6447368421052631</v>
      </c>
      <c r="AG66">
        <v>250</v>
      </c>
      <c r="AH66" s="1">
        <f>knicks_players_all_stats[[#This Row],[BLK2]]/10</f>
        <v>25</v>
      </c>
      <c r="AI66" s="4">
        <f>knicks_players_all_stats[[#This Row],[BLK]]/knicks_players_all_stats[[#This Row],[GP]]</f>
        <v>0.32894736842105265</v>
      </c>
      <c r="AJ66">
        <v>760</v>
      </c>
      <c r="AK66" s="4">
        <f>knicks_players_all_stats[[#This Row],[BLKPG]]+knicks_players_all_stats[[#This Row],[STLPG]]+knicks_players_all_stats[[#This Row],[REBPG]]</f>
        <v>6.2236842105263159</v>
      </c>
      <c r="AL66" s="1">
        <f>knicks_players_all_stats[[#This Row],[TOV2]]/10</f>
        <v>76</v>
      </c>
      <c r="AM66" s="4">
        <f>knicks_players_all_stats[[#This Row],[TOV]]/knicks_players_all_stats[[#This Row],[GP]]</f>
        <v>1</v>
      </c>
      <c r="AN66" s="1">
        <v>125</v>
      </c>
      <c r="AO66" s="1">
        <f>knicks_players_all_stats[[#This Row],[PF]]/knicks_players_all_stats[[#This Row],[GP]]</f>
        <v>1.6447368421052631</v>
      </c>
      <c r="AP66" s="1">
        <v>458</v>
      </c>
      <c r="AQ66" s="4">
        <f>knicks_players_all_stats[[#This Row],[PTS]]/knicks_players_all_stats[[#This Row],[GP]]</f>
        <v>6.0263157894736841</v>
      </c>
    </row>
    <row r="67" spans="1:43" customFormat="1" x14ac:dyDescent="0.3">
      <c r="A67" s="1" t="s">
        <v>1718</v>
      </c>
      <c r="B67" s="1" t="s">
        <v>1343</v>
      </c>
      <c r="C67" s="1" t="str">
        <f>knicks_players_all_stats[[#This Row],[NAME]]&amp;" ("&amp;knicks_players_all_stats[[#This Row],[SEASON]]&amp;")"</f>
        <v>Iman Shumpert (2014-15)</v>
      </c>
      <c r="D67" s="1">
        <f>knicks_players_all_stats[[#This Row],[PLAYER_AGE]]/10</f>
        <v>25</v>
      </c>
      <c r="E67">
        <v>250</v>
      </c>
      <c r="F67" s="1">
        <v>24</v>
      </c>
      <c r="G67" s="1">
        <v>6250</v>
      </c>
      <c r="H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168</v>
      </c>
      <c r="I67" s="4">
        <f>knicks_players_all_stats[[#This Row],[VALORATION]]/knicks_players_all_stats[[#This Row],[GP]]</f>
        <v>7</v>
      </c>
      <c r="J67" s="1">
        <v>88</v>
      </c>
      <c r="K67" s="1">
        <v>215</v>
      </c>
      <c r="L67" s="1">
        <v>409</v>
      </c>
      <c r="M67" s="4">
        <f>knicks_players_all_stats[[#This Row],[FG3M2]]/10</f>
        <v>23</v>
      </c>
      <c r="N67" s="1">
        <v>230</v>
      </c>
      <c r="O67" s="1">
        <f>knicks_players_all_stats[[#This Row],[FG3A2]]/10</f>
        <v>66</v>
      </c>
      <c r="P67" s="1">
        <v>660</v>
      </c>
      <c r="Q67" s="2">
        <f>knicks_players_all_stats[[#This Row],[FG3M2]]/knicks_players_all_stats[[#This Row],[FG3A2]]</f>
        <v>0.34848484848484851</v>
      </c>
      <c r="R67" s="1">
        <v>25</v>
      </c>
      <c r="S67" s="1">
        <v>37</v>
      </c>
      <c r="T67" s="3">
        <f>knicks_players_all_stats[[#This Row],[FTM]]/knicks_players_all_stats[[#This Row],[FTA]]</f>
        <v>0.67567567567567566</v>
      </c>
      <c r="U67" s="1">
        <f>knicks_players_all_stats[[#This Row],[OREB22]]/10</f>
        <v>22</v>
      </c>
      <c r="V67" s="1">
        <f>knicks_players_all_stats[[#This Row],[DREB33]]/10</f>
        <v>59</v>
      </c>
      <c r="W67" s="1">
        <f>knicks_players_all_stats[[#This Row],[REB44]]/10</f>
        <v>81</v>
      </c>
      <c r="X67">
        <v>220</v>
      </c>
      <c r="Y67">
        <v>590</v>
      </c>
      <c r="Z67">
        <v>810</v>
      </c>
      <c r="AA67" s="14">
        <f>knicks_players_all_stats[[#This Row],[REB]]/knicks_players_all_stats[[#This Row],[GP]]</f>
        <v>3.375</v>
      </c>
      <c r="AB67" s="1">
        <v>78</v>
      </c>
      <c r="AC67" s="4">
        <f>knicks_players_all_stats[[#This Row],[AST]]/knicks_players_all_stats[[#This Row],[GP]]</f>
        <v>3.25</v>
      </c>
      <c r="AD67" s="1">
        <f>knicks_players_all_stats[[#This Row],[STL2]]/10</f>
        <v>30</v>
      </c>
      <c r="AE67" s="1">
        <v>300</v>
      </c>
      <c r="AF67" s="4">
        <f>knicks_players_all_stats[[#This Row],[STL]]/knicks_players_all_stats[[#This Row],[GP]]</f>
        <v>1.25</v>
      </c>
      <c r="AG67">
        <v>30</v>
      </c>
      <c r="AH67" s="1">
        <f>knicks_players_all_stats[[#This Row],[BLK2]]/10</f>
        <v>3</v>
      </c>
      <c r="AI67" s="4">
        <f>knicks_players_all_stats[[#This Row],[BLK]]/knicks_players_all_stats[[#This Row],[GP]]</f>
        <v>0.125</v>
      </c>
      <c r="AJ67">
        <v>420</v>
      </c>
      <c r="AK67" s="4">
        <f>knicks_players_all_stats[[#This Row],[BLKPG]]+knicks_players_all_stats[[#This Row],[STLPG]]+knicks_players_all_stats[[#This Row],[REBPG]]</f>
        <v>4.75</v>
      </c>
      <c r="AL67" s="1">
        <f>knicks_players_all_stats[[#This Row],[TOV2]]/10</f>
        <v>42</v>
      </c>
      <c r="AM67" s="4">
        <f>knicks_players_all_stats[[#This Row],[TOV]]/knicks_players_all_stats[[#This Row],[GP]]</f>
        <v>1.75</v>
      </c>
      <c r="AN67" s="1">
        <v>67</v>
      </c>
      <c r="AO67" s="1">
        <f>knicks_players_all_stats[[#This Row],[PF]]/knicks_players_all_stats[[#This Row],[GP]]</f>
        <v>2.7916666666666665</v>
      </c>
      <c r="AP67" s="1">
        <v>224</v>
      </c>
      <c r="AQ67" s="4">
        <f>knicks_players_all_stats[[#This Row],[PTS]]/knicks_players_all_stats[[#This Row],[GP]]</f>
        <v>9.3333333333333339</v>
      </c>
    </row>
    <row r="68" spans="1:43" customFormat="1" x14ac:dyDescent="0.3">
      <c r="A68" s="1" t="s">
        <v>1440</v>
      </c>
      <c r="B68" s="1" t="s">
        <v>1289</v>
      </c>
      <c r="C68" s="1" t="str">
        <f>knicks_players_all_stats[[#This Row],[NAME]]&amp;" ("&amp;knicks_players_all_stats[[#This Row],[SEASON]]&amp;")"</f>
        <v>Elfrid Payton (2020-21)</v>
      </c>
      <c r="D68" s="1">
        <f>knicks_players_all_stats[[#This Row],[PLAYER_AGE]]/10</f>
        <v>27</v>
      </c>
      <c r="E68">
        <v>270</v>
      </c>
      <c r="F68" s="1">
        <v>63</v>
      </c>
      <c r="G68" s="1">
        <v>14840</v>
      </c>
      <c r="H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508</v>
      </c>
      <c r="I68" s="4">
        <f>knicks_players_all_stats[[#This Row],[VALORATION]]/knicks_players_all_stats[[#This Row],[GP]]</f>
        <v>8.0634920634920633</v>
      </c>
      <c r="J68" s="1">
        <v>269</v>
      </c>
      <c r="K68" s="1">
        <v>622</v>
      </c>
      <c r="L68" s="2">
        <f>knicks_players_all_stats[[#This Row],[FGM]]/knicks_players_all_stats[[#This Row],[FGA]]</f>
        <v>0.432475884244373</v>
      </c>
      <c r="M68" s="16">
        <f>knicks_players_all_stats[[#This Row],[FG3M2]]/10</f>
        <v>28</v>
      </c>
      <c r="N68" s="1">
        <v>280</v>
      </c>
      <c r="O68" s="1">
        <f>knicks_players_all_stats[[#This Row],[FG3A2]]/10</f>
        <v>98</v>
      </c>
      <c r="P68" s="1">
        <v>980</v>
      </c>
      <c r="Q68" s="2">
        <f>knicks_players_all_stats[[#This Row],[FG3M2]]/knicks_players_all_stats[[#This Row],[FG3A2]]</f>
        <v>0.2857142857142857</v>
      </c>
      <c r="R68" s="1">
        <v>73</v>
      </c>
      <c r="S68" s="1">
        <v>107</v>
      </c>
      <c r="T68" s="3">
        <f>knicks_players_all_stats[[#This Row],[FTM]]/knicks_players_all_stats[[#This Row],[FTA]]</f>
        <v>0.68224299065420557</v>
      </c>
      <c r="U68" s="1">
        <f>knicks_players_all_stats[[#This Row],[OREB22]]/10</f>
        <v>64</v>
      </c>
      <c r="V68" s="1">
        <f>knicks_players_all_stats[[#This Row],[DREB33]]/10</f>
        <v>152</v>
      </c>
      <c r="W68" s="1">
        <f>knicks_players_all_stats[[#This Row],[REB44]]/10</f>
        <v>216</v>
      </c>
      <c r="X68">
        <v>640</v>
      </c>
      <c r="Y68">
        <v>1520</v>
      </c>
      <c r="Z68">
        <v>2160</v>
      </c>
      <c r="AA68" s="14">
        <f>knicks_players_all_stats[[#This Row],[REB]]/knicks_players_all_stats[[#This Row],[GP]]</f>
        <v>3.4285714285714284</v>
      </c>
      <c r="AB68" s="1">
        <v>203</v>
      </c>
      <c r="AC68" s="4">
        <f>knicks_players_all_stats[[#This Row],[AST]]/knicks_players_all_stats[[#This Row],[GP]]</f>
        <v>3.2222222222222223</v>
      </c>
      <c r="AD68" s="1">
        <f>knicks_players_all_stats[[#This Row],[STL2]]/10</f>
        <v>47</v>
      </c>
      <c r="AE68" s="1">
        <v>470</v>
      </c>
      <c r="AF68" s="4">
        <f>knicks_players_all_stats[[#This Row],[STL]]/knicks_players_all_stats[[#This Row],[GP]]</f>
        <v>0.74603174603174605</v>
      </c>
      <c r="AG68">
        <v>90</v>
      </c>
      <c r="AH68" s="1">
        <f>knicks_players_all_stats[[#This Row],[BLK2]]/10</f>
        <v>9</v>
      </c>
      <c r="AI68" s="4">
        <f>knicks_players_all_stats[[#This Row],[BLK]]/knicks_players_all_stats[[#This Row],[GP]]</f>
        <v>0.14285714285714285</v>
      </c>
      <c r="AJ68">
        <v>1030</v>
      </c>
      <c r="AK68" s="4">
        <f>knicks_players_all_stats[[#This Row],[BLKPG]]+knicks_players_all_stats[[#This Row],[STLPG]]+knicks_players_all_stats[[#This Row],[REBPG]]</f>
        <v>4.3174603174603172</v>
      </c>
      <c r="AL68" s="1">
        <f>knicks_players_all_stats[[#This Row],[TOV2]]/10</f>
        <v>103</v>
      </c>
      <c r="AM68" s="4">
        <f>knicks_players_all_stats[[#This Row],[TOV]]/knicks_players_all_stats[[#This Row],[GP]]</f>
        <v>1.6349206349206349</v>
      </c>
      <c r="AN68" s="1">
        <v>116</v>
      </c>
      <c r="AO68" s="1">
        <f>knicks_players_all_stats[[#This Row],[PF]]/knicks_players_all_stats[[#This Row],[GP]]</f>
        <v>1.8412698412698412</v>
      </c>
      <c r="AP68" s="1">
        <v>639</v>
      </c>
      <c r="AQ68" s="4">
        <f>knicks_players_all_stats[[#This Row],[PTS]]/knicks_players_all_stats[[#This Row],[GP]]</f>
        <v>10.142857142857142</v>
      </c>
    </row>
    <row r="69" spans="1:43" customFormat="1" x14ac:dyDescent="0.3">
      <c r="A69" s="1" t="s">
        <v>1822</v>
      </c>
      <c r="B69" s="1" t="s">
        <v>1330</v>
      </c>
      <c r="C69" s="1" t="str">
        <f>knicks_players_all_stats[[#This Row],[NAME]]&amp;" ("&amp;knicks_players_all_stats[[#This Row],[SEASON]]&amp;")"</f>
        <v>Charlie Ward (2001-02)</v>
      </c>
      <c r="D69" s="1">
        <f>knicks_players_all_stats[[#This Row],[PLAYER_AGE]]/10</f>
        <v>31</v>
      </c>
      <c r="E69">
        <v>310</v>
      </c>
      <c r="F69" s="1">
        <v>63</v>
      </c>
      <c r="G69" s="1">
        <v>10580</v>
      </c>
      <c r="H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362</v>
      </c>
      <c r="I69" s="4">
        <f>knicks_players_all_stats[[#This Row],[VALORATION]]/knicks_players_all_stats[[#This Row],[GP]]</f>
        <v>5.746031746031746</v>
      </c>
      <c r="J69" s="1">
        <v>113</v>
      </c>
      <c r="K69" s="1">
        <v>303</v>
      </c>
      <c r="L69" s="1">
        <v>373</v>
      </c>
      <c r="M69" s="4">
        <f>knicks_players_all_stats[[#This Row],[FG3M2]]/10</f>
        <v>53</v>
      </c>
      <c r="N69" s="1">
        <v>530</v>
      </c>
      <c r="O69" s="1">
        <f>knicks_players_all_stats[[#This Row],[FG3A2]]/10</f>
        <v>164</v>
      </c>
      <c r="P69" s="1">
        <v>1640</v>
      </c>
      <c r="Q69" s="2">
        <f>knicks_players_all_stats[[#This Row],[FG3M2]]/knicks_players_all_stats[[#This Row],[FG3A2]]</f>
        <v>0.32317073170731708</v>
      </c>
      <c r="R69" s="1">
        <v>47</v>
      </c>
      <c r="S69" s="1">
        <v>58</v>
      </c>
      <c r="T69" s="3">
        <f>knicks_players_all_stats[[#This Row],[FTM]]/knicks_players_all_stats[[#This Row],[FTA]]</f>
        <v>0.81034482758620685</v>
      </c>
      <c r="U69" s="1">
        <f>knicks_players_all_stats[[#This Row],[OREB22]]/10</f>
        <v>15</v>
      </c>
      <c r="V69" s="1">
        <f>knicks_players_all_stats[[#This Row],[DREB33]]/10</f>
        <v>112</v>
      </c>
      <c r="W69" s="1">
        <f>knicks_players_all_stats[[#This Row],[REB44]]/10</f>
        <v>127</v>
      </c>
      <c r="X69">
        <v>150</v>
      </c>
      <c r="Y69">
        <v>1120</v>
      </c>
      <c r="Z69">
        <v>1270</v>
      </c>
      <c r="AA69" s="14">
        <f>knicks_players_all_stats[[#This Row],[REB]]/knicks_players_all_stats[[#This Row],[GP]]</f>
        <v>2.0158730158730158</v>
      </c>
      <c r="AB69" s="1">
        <v>203</v>
      </c>
      <c r="AC69" s="4">
        <f>knicks_players_all_stats[[#This Row],[AST]]/knicks_players_all_stats[[#This Row],[GP]]</f>
        <v>3.2222222222222223</v>
      </c>
      <c r="AD69" s="1">
        <f>knicks_players_all_stats[[#This Row],[STL2]]/10</f>
        <v>68</v>
      </c>
      <c r="AE69" s="1">
        <v>680</v>
      </c>
      <c r="AF69" s="4">
        <f>knicks_players_all_stats[[#This Row],[STL]]/knicks_players_all_stats[[#This Row],[GP]]</f>
        <v>1.0793650793650793</v>
      </c>
      <c r="AG69">
        <v>140</v>
      </c>
      <c r="AH69" s="1">
        <f>knicks_players_all_stats[[#This Row],[BLK2]]/10</f>
        <v>14</v>
      </c>
      <c r="AI69" s="4">
        <f>knicks_players_all_stats[[#This Row],[BLK]]/knicks_players_all_stats[[#This Row],[GP]]</f>
        <v>0.22222222222222221</v>
      </c>
      <c r="AJ69">
        <v>750</v>
      </c>
      <c r="AK69" s="4">
        <f>knicks_players_all_stats[[#This Row],[BLKPG]]+knicks_players_all_stats[[#This Row],[STLPG]]+knicks_players_all_stats[[#This Row],[REBPG]]</f>
        <v>3.3174603174603172</v>
      </c>
      <c r="AL69" s="1">
        <f>knicks_players_all_stats[[#This Row],[TOV2]]/10</f>
        <v>75</v>
      </c>
      <c r="AM69" s="4">
        <f>knicks_players_all_stats[[#This Row],[TOV]]/knicks_players_all_stats[[#This Row],[GP]]</f>
        <v>1.1904761904761905</v>
      </c>
      <c r="AN69" s="1">
        <v>100</v>
      </c>
      <c r="AO69" s="1">
        <f>knicks_players_all_stats[[#This Row],[PF]]/knicks_players_all_stats[[#This Row],[GP]]</f>
        <v>1.5873015873015872</v>
      </c>
      <c r="AP69" s="1">
        <v>326</v>
      </c>
      <c r="AQ69" s="4">
        <f>knicks_players_all_stats[[#This Row],[PTS]]/knicks_players_all_stats[[#This Row],[GP]]</f>
        <v>5.1746031746031749</v>
      </c>
    </row>
    <row r="70" spans="1:43" customFormat="1" x14ac:dyDescent="0.3">
      <c r="A70" s="1" t="s">
        <v>1286</v>
      </c>
      <c r="B70" s="1" t="s">
        <v>1259</v>
      </c>
      <c r="C70" s="1" t="str">
        <f>knicks_players_all_stats[[#This Row],[NAME]]&amp;" ("&amp;knicks_players_all_stats[[#This Row],[SEASON]]&amp;")"</f>
        <v>Frank Ntilikina (2017-18)</v>
      </c>
      <c r="D70" s="1">
        <f>knicks_players_all_stats[[#This Row],[PLAYER_AGE]]/10</f>
        <v>19</v>
      </c>
      <c r="E70">
        <v>190</v>
      </c>
      <c r="F70" s="1">
        <v>78</v>
      </c>
      <c r="G70" s="1">
        <v>17060</v>
      </c>
      <c r="H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324</v>
      </c>
      <c r="I70" s="4">
        <f>knicks_players_all_stats[[#This Row],[VALORATION]]/knicks_players_all_stats[[#This Row],[GP]]</f>
        <v>4.1538461538461542</v>
      </c>
      <c r="J70" s="1">
        <v>182</v>
      </c>
      <c r="K70" s="1">
        <v>500</v>
      </c>
      <c r="L70" s="2">
        <f>knicks_players_all_stats[[#This Row],[FGM]]/knicks_players_all_stats[[#This Row],[FGA]]</f>
        <v>0.36399999999999999</v>
      </c>
      <c r="M70" s="16">
        <f>knicks_players_all_stats[[#This Row],[FG3M2]]/10</f>
        <v>50</v>
      </c>
      <c r="N70" s="1">
        <v>500</v>
      </c>
      <c r="O70" s="1">
        <f>knicks_players_all_stats[[#This Row],[FG3A2]]/10</f>
        <v>157</v>
      </c>
      <c r="P70" s="1">
        <v>1570</v>
      </c>
      <c r="Q70" s="2">
        <f>knicks_players_all_stats[[#This Row],[FG3M2]]/knicks_players_all_stats[[#This Row],[FG3A2]]</f>
        <v>0.31847133757961782</v>
      </c>
      <c r="R70" s="1">
        <v>49</v>
      </c>
      <c r="S70" s="1">
        <v>68</v>
      </c>
      <c r="T70" s="3">
        <f>knicks_players_all_stats[[#This Row],[FTM]]/knicks_players_all_stats[[#This Row],[FTA]]</f>
        <v>0.72058823529411764</v>
      </c>
      <c r="U70" s="1">
        <f>knicks_players_all_stats[[#This Row],[OREB22]]/10</f>
        <v>37</v>
      </c>
      <c r="V70" s="1">
        <f>knicks_players_all_stats[[#This Row],[DREB33]]/10</f>
        <v>140</v>
      </c>
      <c r="W70" s="1">
        <f>knicks_players_all_stats[[#This Row],[REB44]]/10</f>
        <v>177</v>
      </c>
      <c r="X70">
        <v>370</v>
      </c>
      <c r="Y70">
        <v>1400</v>
      </c>
      <c r="Z70">
        <v>1770</v>
      </c>
      <c r="AA70" s="14">
        <f>knicks_players_all_stats[[#This Row],[REB]]/knicks_players_all_stats[[#This Row],[GP]]</f>
        <v>2.2692307692307692</v>
      </c>
      <c r="AB70" s="1">
        <v>250</v>
      </c>
      <c r="AC70" s="4">
        <f>knicks_players_all_stats[[#This Row],[AST]]/knicks_players_all_stats[[#This Row],[GP]]</f>
        <v>3.2051282051282053</v>
      </c>
      <c r="AD70" s="1">
        <f>knicks_players_all_stats[[#This Row],[STL2]]/10</f>
        <v>65</v>
      </c>
      <c r="AE70" s="1">
        <v>650</v>
      </c>
      <c r="AF70" s="4">
        <f>knicks_players_all_stats[[#This Row],[STL]]/knicks_players_all_stats[[#This Row],[GP]]</f>
        <v>0.83333333333333337</v>
      </c>
      <c r="AG70">
        <v>180</v>
      </c>
      <c r="AH70" s="1">
        <f>knicks_players_all_stats[[#This Row],[BLK2]]/10</f>
        <v>18</v>
      </c>
      <c r="AI70" s="4">
        <f>knicks_players_all_stats[[#This Row],[BLK]]/knicks_players_all_stats[[#This Row],[GP]]</f>
        <v>0.23076923076923078</v>
      </c>
      <c r="AJ70">
        <v>1310</v>
      </c>
      <c r="AK70" s="4">
        <f>knicks_players_all_stats[[#This Row],[BLKPG]]+knicks_players_all_stats[[#This Row],[STLPG]]+knicks_players_all_stats[[#This Row],[REBPG]]</f>
        <v>3.333333333333333</v>
      </c>
      <c r="AL70" s="1">
        <f>knicks_players_all_stats[[#This Row],[TOV2]]/10</f>
        <v>131</v>
      </c>
      <c r="AM70" s="4">
        <f>knicks_players_all_stats[[#This Row],[TOV]]/knicks_players_all_stats[[#This Row],[GP]]</f>
        <v>1.6794871794871795</v>
      </c>
      <c r="AN70" s="1">
        <v>181</v>
      </c>
      <c r="AO70" s="1">
        <f>knicks_players_all_stats[[#This Row],[PF]]/knicks_players_all_stats[[#This Row],[GP]]</f>
        <v>2.3205128205128207</v>
      </c>
      <c r="AP70" s="1">
        <v>463</v>
      </c>
      <c r="AQ70" s="4">
        <f>knicks_players_all_stats[[#This Row],[PTS]]/knicks_players_all_stats[[#This Row],[GP]]</f>
        <v>5.9358974358974361</v>
      </c>
    </row>
    <row r="71" spans="1:43" customFormat="1" x14ac:dyDescent="0.3">
      <c r="A71" s="1" t="s">
        <v>1419</v>
      </c>
      <c r="B71" s="1" t="s">
        <v>1337</v>
      </c>
      <c r="C71" s="1" t="str">
        <f>knicks_players_all_stats[[#This Row],[NAME]]&amp;" ("&amp;knicks_players_all_stats[[#This Row],[SEASON]]&amp;")"</f>
        <v>Carmelo Anthony (2013-14)</v>
      </c>
      <c r="D71" s="1">
        <f>knicks_players_all_stats[[#This Row],[PLAYER_AGE]]/10</f>
        <v>30</v>
      </c>
      <c r="E71">
        <v>300</v>
      </c>
      <c r="F71" s="1">
        <v>77</v>
      </c>
      <c r="G71" s="1">
        <v>29820</v>
      </c>
      <c r="H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1718</v>
      </c>
      <c r="I71" s="4">
        <f>knicks_players_all_stats[[#This Row],[VALORATION]]/knicks_players_all_stats[[#This Row],[GP]]</f>
        <v>22.311688311688311</v>
      </c>
      <c r="J71" s="1">
        <v>743</v>
      </c>
      <c r="K71" s="1">
        <v>1643</v>
      </c>
      <c r="L71" s="2">
        <f>knicks_players_all_stats[[#This Row],[FGM]]/knicks_players_all_stats[[#This Row],[FGA]]</f>
        <v>0.45222154595252589</v>
      </c>
      <c r="M71" s="16">
        <f>knicks_players_all_stats[[#This Row],[FG3M2]]/10</f>
        <v>167</v>
      </c>
      <c r="N71" s="1">
        <v>1670</v>
      </c>
      <c r="O71" s="1">
        <f>knicks_players_all_stats[[#This Row],[FG3A2]]/10</f>
        <v>415</v>
      </c>
      <c r="P71" s="1">
        <v>4150</v>
      </c>
      <c r="Q71" s="2">
        <f>knicks_players_all_stats[[#This Row],[FG3M2]]/knicks_players_all_stats[[#This Row],[FG3A2]]</f>
        <v>0.40240963855421685</v>
      </c>
      <c r="R71" s="1">
        <v>459</v>
      </c>
      <c r="S71" s="1">
        <v>541</v>
      </c>
      <c r="T71" s="3">
        <f>knicks_players_all_stats[[#This Row],[FTM]]/knicks_players_all_stats[[#This Row],[FTA]]</f>
        <v>0.84842883548983361</v>
      </c>
      <c r="U71" s="1">
        <f>knicks_players_all_stats[[#This Row],[OREB22]]/10</f>
        <v>145</v>
      </c>
      <c r="V71" s="1">
        <f>knicks_players_all_stats[[#This Row],[DREB33]]/10</f>
        <v>477</v>
      </c>
      <c r="W71" s="1">
        <f>knicks_players_all_stats[[#This Row],[REB44]]/10</f>
        <v>622</v>
      </c>
      <c r="X71">
        <v>1450</v>
      </c>
      <c r="Y71">
        <v>4770</v>
      </c>
      <c r="Z71">
        <v>6220</v>
      </c>
      <c r="AA71" s="14">
        <f>knicks_players_all_stats[[#This Row],[REB]]/knicks_players_all_stats[[#This Row],[GP]]</f>
        <v>8.0779220779220786</v>
      </c>
      <c r="AB71" s="1">
        <v>242</v>
      </c>
      <c r="AC71" s="4">
        <f>knicks_players_all_stats[[#This Row],[AST]]/knicks_players_all_stats[[#This Row],[GP]]</f>
        <v>3.1428571428571428</v>
      </c>
      <c r="AD71" s="1">
        <f>knicks_players_all_stats[[#This Row],[STL2]]/10</f>
        <v>95</v>
      </c>
      <c r="AE71" s="1">
        <v>950</v>
      </c>
      <c r="AF71" s="4">
        <f>knicks_players_all_stats[[#This Row],[STL]]/knicks_players_all_stats[[#This Row],[GP]]</f>
        <v>1.2337662337662338</v>
      </c>
      <c r="AG71">
        <v>510</v>
      </c>
      <c r="AH71" s="1">
        <f>knicks_players_all_stats[[#This Row],[BLK2]]/10</f>
        <v>51</v>
      </c>
      <c r="AI71" s="4">
        <f>knicks_players_all_stats[[#This Row],[BLK]]/knicks_players_all_stats[[#This Row],[GP]]</f>
        <v>0.66233766233766234</v>
      </c>
      <c r="AJ71">
        <v>1980</v>
      </c>
      <c r="AK71" s="4">
        <f>knicks_players_all_stats[[#This Row],[BLKPG]]+knicks_players_all_stats[[#This Row],[STLPG]]+knicks_players_all_stats[[#This Row],[REBPG]]</f>
        <v>9.9740259740259738</v>
      </c>
      <c r="AL71" s="1">
        <f>knicks_players_all_stats[[#This Row],[TOV2]]/10</f>
        <v>198</v>
      </c>
      <c r="AM71" s="4">
        <f>knicks_players_all_stats[[#This Row],[TOV]]/knicks_players_all_stats[[#This Row],[GP]]</f>
        <v>2.5714285714285716</v>
      </c>
      <c r="AN71" s="1">
        <v>224</v>
      </c>
      <c r="AO71" s="1">
        <f>knicks_players_all_stats[[#This Row],[PF]]/knicks_players_all_stats[[#This Row],[GP]]</f>
        <v>2.9090909090909092</v>
      </c>
      <c r="AP71" s="1">
        <v>2112</v>
      </c>
      <c r="AQ71" s="4">
        <f>knicks_players_all_stats[[#This Row],[PTS]]/knicks_players_all_stats[[#This Row],[GP]]</f>
        <v>27.428571428571427</v>
      </c>
    </row>
    <row r="72" spans="1:43" customFormat="1" x14ac:dyDescent="0.3">
      <c r="A72" s="1" t="s">
        <v>1419</v>
      </c>
      <c r="B72" s="1" t="s">
        <v>1343</v>
      </c>
      <c r="C72" s="1" t="str">
        <f>knicks_players_all_stats[[#This Row],[NAME]]&amp;" ("&amp;knicks_players_all_stats[[#This Row],[SEASON]]&amp;")"</f>
        <v>Carmelo Anthony (2014-15)</v>
      </c>
      <c r="D72" s="1">
        <f>knicks_players_all_stats[[#This Row],[PLAYER_AGE]]/10</f>
        <v>31</v>
      </c>
      <c r="E72">
        <v>310</v>
      </c>
      <c r="F72" s="1">
        <v>40</v>
      </c>
      <c r="G72" s="1">
        <v>14280</v>
      </c>
      <c r="H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737</v>
      </c>
      <c r="I72" s="4">
        <f>knicks_players_all_stats[[#This Row],[VALORATION]]/knicks_players_all_stats[[#This Row],[GP]]</f>
        <v>18.425000000000001</v>
      </c>
      <c r="J72" s="1">
        <v>358</v>
      </c>
      <c r="K72" s="1">
        <v>806</v>
      </c>
      <c r="L72" s="2">
        <f>knicks_players_all_stats[[#This Row],[FGM]]/knicks_players_all_stats[[#This Row],[FGA]]</f>
        <v>0.44416873449131511</v>
      </c>
      <c r="M72" s="16">
        <f>knicks_players_all_stats[[#This Row],[FG3M2]]/10</f>
        <v>61</v>
      </c>
      <c r="N72" s="1">
        <v>610</v>
      </c>
      <c r="O72" s="1">
        <f>knicks_players_all_stats[[#This Row],[FG3A2]]/10</f>
        <v>179</v>
      </c>
      <c r="P72" s="1">
        <v>1790</v>
      </c>
      <c r="Q72" s="2">
        <f>knicks_players_all_stats[[#This Row],[FG3M2]]/knicks_players_all_stats[[#This Row],[FG3A2]]</f>
        <v>0.34078212290502791</v>
      </c>
      <c r="R72" s="1">
        <v>189</v>
      </c>
      <c r="S72" s="1">
        <v>237</v>
      </c>
      <c r="T72" s="3">
        <f>knicks_players_all_stats[[#This Row],[FTM]]/knicks_players_all_stats[[#This Row],[FTA]]</f>
        <v>0.79746835443037978</v>
      </c>
      <c r="U72" s="1">
        <f>knicks_players_all_stats[[#This Row],[OREB22]]/10</f>
        <v>72</v>
      </c>
      <c r="V72" s="1">
        <f>knicks_players_all_stats[[#This Row],[DREB33]]/10</f>
        <v>192</v>
      </c>
      <c r="W72" s="1">
        <f>knicks_players_all_stats[[#This Row],[REB44]]/10</f>
        <v>264</v>
      </c>
      <c r="X72">
        <v>720</v>
      </c>
      <c r="Y72">
        <v>1920</v>
      </c>
      <c r="Z72">
        <v>2640</v>
      </c>
      <c r="AA72" s="14">
        <f>knicks_players_all_stats[[#This Row],[REB]]/knicks_players_all_stats[[#This Row],[GP]]</f>
        <v>6.6</v>
      </c>
      <c r="AB72" s="1">
        <v>122</v>
      </c>
      <c r="AC72" s="4">
        <f>knicks_players_all_stats[[#This Row],[AST]]/knicks_players_all_stats[[#This Row],[GP]]</f>
        <v>3.05</v>
      </c>
      <c r="AD72" s="1">
        <f>knicks_players_all_stats[[#This Row],[STL2]]/10</f>
        <v>40</v>
      </c>
      <c r="AE72" s="1">
        <v>400</v>
      </c>
      <c r="AF72" s="4">
        <f>knicks_players_all_stats[[#This Row],[STL]]/knicks_players_all_stats[[#This Row],[GP]]</f>
        <v>1</v>
      </c>
      <c r="AG72">
        <v>170</v>
      </c>
      <c r="AH72" s="1">
        <f>knicks_players_all_stats[[#This Row],[BLK2]]/10</f>
        <v>17</v>
      </c>
      <c r="AI72" s="4">
        <f>knicks_players_all_stats[[#This Row],[BLK]]/knicks_players_all_stats[[#This Row],[GP]]</f>
        <v>0.42499999999999999</v>
      </c>
      <c r="AJ72">
        <v>890</v>
      </c>
      <c r="AK72" s="4">
        <f>knicks_players_all_stats[[#This Row],[BLKPG]]+knicks_players_all_stats[[#This Row],[STLPG]]+knicks_players_all_stats[[#This Row],[REBPG]]</f>
        <v>8.0250000000000004</v>
      </c>
      <c r="AL72" s="1">
        <f>knicks_players_all_stats[[#This Row],[TOV2]]/10</f>
        <v>89</v>
      </c>
      <c r="AM72" s="4">
        <f>knicks_players_all_stats[[#This Row],[TOV]]/knicks_players_all_stats[[#This Row],[GP]]</f>
        <v>2.2250000000000001</v>
      </c>
      <c r="AN72" s="1">
        <v>87</v>
      </c>
      <c r="AO72" s="1">
        <f>knicks_players_all_stats[[#This Row],[PF]]/knicks_players_all_stats[[#This Row],[GP]]</f>
        <v>2.1749999999999998</v>
      </c>
      <c r="AP72" s="1">
        <v>966</v>
      </c>
      <c r="AQ72" s="4">
        <f>knicks_players_all_stats[[#This Row],[PTS]]/knicks_players_all_stats[[#This Row],[GP]]</f>
        <v>24.15</v>
      </c>
    </row>
    <row r="73" spans="1:43" x14ac:dyDescent="0.3">
      <c r="A73" s="1" t="s">
        <v>1404</v>
      </c>
      <c r="B73" s="1" t="s">
        <v>1292</v>
      </c>
      <c r="C73" s="1" t="str">
        <f>knicks_players_all_stats[[#This Row],[NAME]]&amp;" ("&amp;knicks_players_all_stats[[#This Row],[SEASON]]&amp;")"</f>
        <v>Pablo Prigioni (2012-13)</v>
      </c>
      <c r="D73" s="1">
        <f>knicks_players_all_stats[[#This Row],[PLAYER_AGE]]/10</f>
        <v>36</v>
      </c>
      <c r="E73">
        <v>360</v>
      </c>
      <c r="F73" s="1">
        <v>78</v>
      </c>
      <c r="G73" s="1">
        <v>12630</v>
      </c>
      <c r="H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389</v>
      </c>
      <c r="I73" s="4">
        <f>knicks_players_all_stats[[#This Row],[VALORATION]]/knicks_players_all_stats[[#This Row],[GP]]</f>
        <v>4.9871794871794872</v>
      </c>
      <c r="J73" s="1">
        <v>100</v>
      </c>
      <c r="K73" s="1">
        <v>220</v>
      </c>
      <c r="L73" s="2">
        <f>knicks_players_all_stats[[#This Row],[FGM]]/knicks_players_all_stats[[#This Row],[FGA]]</f>
        <v>0.45454545454545453</v>
      </c>
      <c r="M73" s="16">
        <f>knicks_players_all_stats[[#This Row],[FG3M2]]/10</f>
        <v>53</v>
      </c>
      <c r="N73" s="1">
        <v>530</v>
      </c>
      <c r="O73" s="1">
        <f>knicks_players_all_stats[[#This Row],[FG3A2]]/10</f>
        <v>134</v>
      </c>
      <c r="P73" s="1">
        <v>1340</v>
      </c>
      <c r="Q73" s="2">
        <f>knicks_players_all_stats[[#This Row],[FG3M2]]/knicks_players_all_stats[[#This Row],[FG3A2]]</f>
        <v>0.39552238805970147</v>
      </c>
      <c r="R73" s="1">
        <v>22</v>
      </c>
      <c r="S73" s="1">
        <v>25</v>
      </c>
      <c r="T73" s="3">
        <f>knicks_players_all_stats[[#This Row],[FTM]]/knicks_players_all_stats[[#This Row],[FTA]]</f>
        <v>0.88</v>
      </c>
      <c r="U73" s="1">
        <f>knicks_players_all_stats[[#This Row],[OREB22]]/10</f>
        <v>41</v>
      </c>
      <c r="V73" s="1">
        <f>knicks_players_all_stats[[#This Row],[DREB33]]/10</f>
        <v>102</v>
      </c>
      <c r="W73" s="1">
        <f>knicks_players_all_stats[[#This Row],[REB44]]/10</f>
        <v>143</v>
      </c>
      <c r="X73">
        <v>410</v>
      </c>
      <c r="Y73">
        <v>1020</v>
      </c>
      <c r="Z73">
        <v>1430</v>
      </c>
      <c r="AA73" s="14">
        <f>knicks_players_all_stats[[#This Row],[REB]]/knicks_players_all_stats[[#This Row],[GP]]</f>
        <v>1.8333333333333333</v>
      </c>
      <c r="AB73" s="1">
        <v>236</v>
      </c>
      <c r="AC73" s="4">
        <f>knicks_players_all_stats[[#This Row],[AST]]/knicks_players_all_stats[[#This Row],[GP]]</f>
        <v>3.0256410256410255</v>
      </c>
      <c r="AD73" s="1">
        <f>knicks_players_all_stats[[#This Row],[STL2]]/10</f>
        <v>69</v>
      </c>
      <c r="AE73" s="1">
        <v>690</v>
      </c>
      <c r="AF73" s="4">
        <f>knicks_players_all_stats[[#This Row],[STL]]/knicks_players_all_stats[[#This Row],[GP]]</f>
        <v>0.88461538461538458</v>
      </c>
      <c r="AG73">
        <v>20</v>
      </c>
      <c r="AH73" s="1">
        <f>knicks_players_all_stats[[#This Row],[BLK2]]/10</f>
        <v>2</v>
      </c>
      <c r="AI73" s="4">
        <f>knicks_players_all_stats[[#This Row],[BLK]]/knicks_players_all_stats[[#This Row],[GP]]</f>
        <v>2.564102564102564E-2</v>
      </c>
      <c r="AJ73">
        <v>860</v>
      </c>
      <c r="AK73" s="4">
        <f>knicks_players_all_stats[[#This Row],[BLKPG]]+knicks_players_all_stats[[#This Row],[STLPG]]+knicks_players_all_stats[[#This Row],[REBPG]]</f>
        <v>2.7435897435897436</v>
      </c>
      <c r="AL73" s="1">
        <f>knicks_players_all_stats[[#This Row],[TOV2]]/10</f>
        <v>86</v>
      </c>
      <c r="AM73" s="4">
        <f>knicks_players_all_stats[[#This Row],[TOV]]/knicks_players_all_stats[[#This Row],[GP]]</f>
        <v>1.1025641025641026</v>
      </c>
      <c r="AN73" s="1">
        <v>127</v>
      </c>
      <c r="AO73" s="1">
        <f>knicks_players_all_stats[[#This Row],[PF]]/knicks_players_all_stats[[#This Row],[GP]]</f>
        <v>1.6282051282051282</v>
      </c>
      <c r="AP73" s="1">
        <v>275</v>
      </c>
      <c r="AQ73" s="4">
        <f>knicks_players_all_stats[[#This Row],[PTS]]/knicks_players_all_stats[[#This Row],[GP]]</f>
        <v>3.5256410256410255</v>
      </c>
    </row>
    <row r="74" spans="1:43" x14ac:dyDescent="0.3">
      <c r="A74" s="1" t="s">
        <v>1395</v>
      </c>
      <c r="B74" s="1" t="s">
        <v>1289</v>
      </c>
      <c r="C74" s="1" t="str">
        <f>knicks_players_all_stats[[#This Row],[NAME]]&amp;" ("&amp;knicks_players_all_stats[[#This Row],[SEASON]]&amp;")"</f>
        <v>RJ Barrett (2020-21)</v>
      </c>
      <c r="D74" s="1">
        <f>knicks_players_all_stats[[#This Row],[PLAYER_AGE]]/10</f>
        <v>21</v>
      </c>
      <c r="E74">
        <v>210</v>
      </c>
      <c r="F74" s="1">
        <v>72</v>
      </c>
      <c r="G74" s="1">
        <v>25110</v>
      </c>
      <c r="H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978</v>
      </c>
      <c r="I74" s="4">
        <f>knicks_players_all_stats[[#This Row],[VALORATION]]/knicks_players_all_stats[[#This Row],[GP]]</f>
        <v>13.583333333333334</v>
      </c>
      <c r="J74" s="1">
        <v>467</v>
      </c>
      <c r="K74" s="1">
        <v>1060</v>
      </c>
      <c r="L74" s="2">
        <f>knicks_players_all_stats[[#This Row],[FGM]]/knicks_players_all_stats[[#This Row],[FGA]]</f>
        <v>0.44056603773584907</v>
      </c>
      <c r="M74" s="16">
        <f>knicks_players_all_stats[[#This Row],[FG3M2]]/10</f>
        <v>124</v>
      </c>
      <c r="N74" s="1">
        <v>1240</v>
      </c>
      <c r="O74" s="1">
        <f>knicks_players_all_stats[[#This Row],[FG3A2]]/10</f>
        <v>309</v>
      </c>
      <c r="P74" s="1">
        <v>3090</v>
      </c>
      <c r="Q74" s="2">
        <f>knicks_players_all_stats[[#This Row],[FG3M2]]/knicks_players_all_stats[[#This Row],[FG3A2]]</f>
        <v>0.40129449838187703</v>
      </c>
      <c r="R74" s="1">
        <v>206</v>
      </c>
      <c r="S74" s="1">
        <v>276</v>
      </c>
      <c r="T74" s="3">
        <f>knicks_players_all_stats[[#This Row],[FTM]]/knicks_players_all_stats[[#This Row],[FTA]]</f>
        <v>0.74637681159420288</v>
      </c>
      <c r="U74" s="1">
        <f>knicks_players_all_stats[[#This Row],[OREB22]]/10</f>
        <v>68</v>
      </c>
      <c r="V74" s="1">
        <f>knicks_players_all_stats[[#This Row],[DREB33]]/10</f>
        <v>346</v>
      </c>
      <c r="W74" s="1">
        <f>knicks_players_all_stats[[#This Row],[REB44]]/10</f>
        <v>414</v>
      </c>
      <c r="X74">
        <v>680</v>
      </c>
      <c r="Y74">
        <v>3460</v>
      </c>
      <c r="Z74">
        <v>4140</v>
      </c>
      <c r="AA74" s="14">
        <f>knicks_players_all_stats[[#This Row],[REB]]/knicks_players_all_stats[[#This Row],[GP]]</f>
        <v>5.75</v>
      </c>
      <c r="AB74" s="1">
        <v>217</v>
      </c>
      <c r="AC74" s="4">
        <f>knicks_players_all_stats[[#This Row],[AST]]/knicks_players_all_stats[[#This Row],[GP]]</f>
        <v>3.0138888888888888</v>
      </c>
      <c r="AD74" s="1">
        <f>knicks_players_all_stats[[#This Row],[STL2]]/10</f>
        <v>53</v>
      </c>
      <c r="AE74" s="1">
        <v>530</v>
      </c>
      <c r="AF74" s="4">
        <f>knicks_players_all_stats[[#This Row],[STL]]/knicks_players_all_stats[[#This Row],[GP]]</f>
        <v>0.73611111111111116</v>
      </c>
      <c r="AG74">
        <v>200</v>
      </c>
      <c r="AH74" s="1">
        <f>knicks_players_all_stats[[#This Row],[BLK2]]/10</f>
        <v>20</v>
      </c>
      <c r="AI74" s="4">
        <f>knicks_players_all_stats[[#This Row],[BLK]]/knicks_players_all_stats[[#This Row],[GP]]</f>
        <v>0.27777777777777779</v>
      </c>
      <c r="AJ74">
        <v>1390</v>
      </c>
      <c r="AK74" s="4">
        <f>knicks_players_all_stats[[#This Row],[BLKPG]]+knicks_players_all_stats[[#This Row],[STLPG]]+knicks_players_all_stats[[#This Row],[REBPG]]</f>
        <v>6.7638888888888893</v>
      </c>
      <c r="AL74" s="1">
        <f>knicks_players_all_stats[[#This Row],[TOV2]]/10</f>
        <v>139</v>
      </c>
      <c r="AM74" s="4">
        <f>knicks_players_all_stats[[#This Row],[TOV]]/knicks_players_all_stats[[#This Row],[GP]]</f>
        <v>1.9305555555555556</v>
      </c>
      <c r="AN74" s="1">
        <v>188</v>
      </c>
      <c r="AO74" s="1">
        <f>knicks_players_all_stats[[#This Row],[PF]]/knicks_players_all_stats[[#This Row],[GP]]</f>
        <v>2.6111111111111112</v>
      </c>
      <c r="AP74" s="1">
        <v>1264</v>
      </c>
      <c r="AQ74" s="4">
        <f>knicks_players_all_stats[[#This Row],[PTS]]/knicks_players_all_stats[[#This Row],[GP]]</f>
        <v>17.555555555555557</v>
      </c>
    </row>
    <row r="75" spans="1:43" x14ac:dyDescent="0.3">
      <c r="A75" s="1" t="s">
        <v>1577</v>
      </c>
      <c r="B75" s="1" t="s">
        <v>1312</v>
      </c>
      <c r="C75" s="1" t="str">
        <f>knicks_players_all_stats[[#This Row],[NAME]]&amp;" ("&amp;knicks_players_all_stats[[#This Row],[SEASON]]&amp;")"</f>
        <v>Toney Douglas (2010-11)</v>
      </c>
      <c r="D75" s="1">
        <f>knicks_players_all_stats[[#This Row],[PLAYER_AGE]]/10</f>
        <v>25</v>
      </c>
      <c r="E75">
        <v>250</v>
      </c>
      <c r="F75" s="1">
        <v>81</v>
      </c>
      <c r="G75" s="1">
        <v>19710</v>
      </c>
      <c r="H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708</v>
      </c>
      <c r="I75" s="4">
        <f>knicks_players_all_stats[[#This Row],[VALORATION]]/knicks_players_all_stats[[#This Row],[GP]]</f>
        <v>8.7407407407407405</v>
      </c>
      <c r="J75" s="1">
        <v>314</v>
      </c>
      <c r="K75" s="1">
        <v>755</v>
      </c>
      <c r="L75" s="2">
        <f>knicks_players_all_stats[[#This Row],[FGM]]/knicks_players_all_stats[[#This Row],[FGA]]</f>
        <v>0.41589403973509936</v>
      </c>
      <c r="M75" s="16">
        <f>knicks_players_all_stats[[#This Row],[FG3M2]]/10</f>
        <v>143</v>
      </c>
      <c r="N75" s="1">
        <v>1430</v>
      </c>
      <c r="O75" s="1">
        <f>knicks_players_all_stats[[#This Row],[FG3A2]]/10</f>
        <v>383</v>
      </c>
      <c r="P75" s="1">
        <v>3830</v>
      </c>
      <c r="Q75" s="2">
        <f>knicks_players_all_stats[[#This Row],[FG3M2]]/knicks_players_all_stats[[#This Row],[FG3A2]]</f>
        <v>0.37336814621409919</v>
      </c>
      <c r="R75" s="1">
        <v>85</v>
      </c>
      <c r="S75" s="1">
        <v>107</v>
      </c>
      <c r="T75" s="3">
        <f>knicks_players_all_stats[[#This Row],[FTM]]/knicks_players_all_stats[[#This Row],[FTA]]</f>
        <v>0.79439252336448596</v>
      </c>
      <c r="U75" s="1">
        <f>knicks_players_all_stats[[#This Row],[OREB22]]/10</f>
        <v>65</v>
      </c>
      <c r="V75" s="1">
        <f>knicks_players_all_stats[[#This Row],[DREB33]]/10</f>
        <v>179</v>
      </c>
      <c r="W75" s="1">
        <f>knicks_players_all_stats[[#This Row],[REB44]]/10</f>
        <v>244</v>
      </c>
      <c r="X75">
        <v>650</v>
      </c>
      <c r="Y75">
        <v>1790</v>
      </c>
      <c r="Z75">
        <v>2440</v>
      </c>
      <c r="AA75" s="14">
        <f>knicks_players_all_stats[[#This Row],[REB]]/knicks_players_all_stats[[#This Row],[GP]]</f>
        <v>3.0123456790123457</v>
      </c>
      <c r="AB75" s="1">
        <v>244</v>
      </c>
      <c r="AC75" s="4">
        <f>knicks_players_all_stats[[#This Row],[AST]]/knicks_players_all_stats[[#This Row],[GP]]</f>
        <v>3.0123456790123457</v>
      </c>
      <c r="AD75" s="1">
        <f>knicks_players_all_stats[[#This Row],[STL2]]/10</f>
        <v>89</v>
      </c>
      <c r="AE75" s="1">
        <v>890</v>
      </c>
      <c r="AF75" s="4">
        <f>knicks_players_all_stats[[#This Row],[STL]]/knicks_players_all_stats[[#This Row],[GP]]</f>
        <v>1.0987654320987654</v>
      </c>
      <c r="AG75">
        <v>40</v>
      </c>
      <c r="AH75" s="1">
        <f>knicks_players_all_stats[[#This Row],[BLK2]]/10</f>
        <v>4</v>
      </c>
      <c r="AI75" s="4">
        <f>knicks_players_all_stats[[#This Row],[BLK]]/knicks_players_all_stats[[#This Row],[GP]]</f>
        <v>4.9382716049382713E-2</v>
      </c>
      <c r="AJ75">
        <v>890</v>
      </c>
      <c r="AK75" s="4">
        <f>knicks_players_all_stats[[#This Row],[BLKPG]]+knicks_players_all_stats[[#This Row],[STLPG]]+knicks_players_all_stats[[#This Row],[REBPG]]</f>
        <v>4.1604938271604937</v>
      </c>
      <c r="AL75" s="1">
        <f>knicks_players_all_stats[[#This Row],[TOV2]]/10</f>
        <v>89</v>
      </c>
      <c r="AM75" s="4">
        <f>knicks_players_all_stats[[#This Row],[TOV]]/knicks_players_all_stats[[#This Row],[GP]]</f>
        <v>1.0987654320987654</v>
      </c>
      <c r="AN75" s="1">
        <v>177</v>
      </c>
      <c r="AO75" s="1">
        <f>knicks_players_all_stats[[#This Row],[PF]]/knicks_players_all_stats[[#This Row],[GP]]</f>
        <v>2.1851851851851851</v>
      </c>
      <c r="AP75" s="1">
        <v>856</v>
      </c>
      <c r="AQ75" s="4">
        <f>knicks_players_all_stats[[#This Row],[PTS]]/knicks_players_all_stats[[#This Row],[GP]]</f>
        <v>10.567901234567902</v>
      </c>
    </row>
    <row r="76" spans="1:43" x14ac:dyDescent="0.3">
      <c r="A76" s="1" t="s">
        <v>1419</v>
      </c>
      <c r="B76" s="1" t="s">
        <v>1312</v>
      </c>
      <c r="C76" s="1" t="str">
        <f>knicks_players_all_stats[[#This Row],[NAME]]&amp;" ("&amp;knicks_players_all_stats[[#This Row],[SEASON]]&amp;")"</f>
        <v>Carmelo Anthony (2010-11)</v>
      </c>
      <c r="D76" s="1">
        <f>knicks_players_all_stats[[#This Row],[PLAYER_AGE]]/10</f>
        <v>27</v>
      </c>
      <c r="E76">
        <v>270</v>
      </c>
      <c r="F76" s="1">
        <v>27</v>
      </c>
      <c r="G76" s="1">
        <v>9770</v>
      </c>
      <c r="H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546</v>
      </c>
      <c r="I76" s="4">
        <f>knicks_players_all_stats[[#This Row],[VALORATION]]/knicks_players_all_stats[[#This Row],[GP]]</f>
        <v>20.222222222222221</v>
      </c>
      <c r="J76" s="1">
        <v>247</v>
      </c>
      <c r="K76" s="1">
        <v>536</v>
      </c>
      <c r="L76" s="2">
        <f>knicks_players_all_stats[[#This Row],[FGM]]/knicks_players_all_stats[[#This Row],[FGA]]</f>
        <v>0.46082089552238809</v>
      </c>
      <c r="M76" s="16">
        <f>knicks_players_all_stats[[#This Row],[FG3M2]]/10</f>
        <v>53</v>
      </c>
      <c r="N76" s="1">
        <v>530</v>
      </c>
      <c r="O76" s="1">
        <f>knicks_players_all_stats[[#This Row],[FG3A2]]/10</f>
        <v>125</v>
      </c>
      <c r="P76" s="1">
        <v>1250</v>
      </c>
      <c r="Q76" s="2">
        <f>knicks_players_all_stats[[#This Row],[FG3M2]]/knicks_players_all_stats[[#This Row],[FG3A2]]</f>
        <v>0.42399999999999999</v>
      </c>
      <c r="R76" s="1">
        <v>164</v>
      </c>
      <c r="S76" s="1">
        <v>188</v>
      </c>
      <c r="T76" s="3">
        <f>knicks_players_all_stats[[#This Row],[FTM]]/knicks_players_all_stats[[#This Row],[FTA]]</f>
        <v>0.87234042553191493</v>
      </c>
      <c r="U76" s="1">
        <f>knicks_players_all_stats[[#This Row],[OREB22]]/10</f>
        <v>41</v>
      </c>
      <c r="V76" s="1">
        <f>knicks_players_all_stats[[#This Row],[DREB33]]/10</f>
        <v>140</v>
      </c>
      <c r="W76" s="1">
        <f>knicks_players_all_stats[[#This Row],[REB44]]/10</f>
        <v>181</v>
      </c>
      <c r="X76">
        <v>410</v>
      </c>
      <c r="Y76">
        <v>1400</v>
      </c>
      <c r="Z76">
        <v>1810</v>
      </c>
      <c r="AA76" s="14">
        <f>knicks_players_all_stats[[#This Row],[REB]]/knicks_players_all_stats[[#This Row],[GP]]</f>
        <v>6.7037037037037033</v>
      </c>
      <c r="AB76" s="1">
        <v>81</v>
      </c>
      <c r="AC76" s="4">
        <f>knicks_players_all_stats[[#This Row],[AST]]/knicks_players_all_stats[[#This Row],[GP]]</f>
        <v>3</v>
      </c>
      <c r="AD76" s="1">
        <f>knicks_players_all_stats[[#This Row],[STL2]]/10</f>
        <v>25</v>
      </c>
      <c r="AE76" s="1">
        <v>250</v>
      </c>
      <c r="AF76" s="4">
        <f>knicks_players_all_stats[[#This Row],[STL]]/knicks_players_all_stats[[#This Row],[GP]]</f>
        <v>0.92592592592592593</v>
      </c>
      <c r="AG76">
        <v>150</v>
      </c>
      <c r="AH76" s="1">
        <f>knicks_players_all_stats[[#This Row],[BLK2]]/10</f>
        <v>15</v>
      </c>
      <c r="AI76" s="4">
        <f>knicks_players_all_stats[[#This Row],[BLK]]/knicks_players_all_stats[[#This Row],[GP]]</f>
        <v>0.55555555555555558</v>
      </c>
      <c r="AJ76">
        <v>640</v>
      </c>
      <c r="AK76" s="4">
        <f>knicks_players_all_stats[[#This Row],[BLKPG]]+knicks_players_all_stats[[#This Row],[STLPG]]+knicks_players_all_stats[[#This Row],[REBPG]]</f>
        <v>8.1851851851851851</v>
      </c>
      <c r="AL76" s="1">
        <f>knicks_players_all_stats[[#This Row],[TOV2]]/10</f>
        <v>64</v>
      </c>
      <c r="AM76" s="4">
        <f>knicks_players_all_stats[[#This Row],[TOV]]/knicks_players_all_stats[[#This Row],[GP]]</f>
        <v>2.3703703703703702</v>
      </c>
      <c r="AN76" s="1">
        <v>90</v>
      </c>
      <c r="AO76" s="1">
        <f>knicks_players_all_stats[[#This Row],[PF]]/knicks_players_all_stats[[#This Row],[GP]]</f>
        <v>3.3333333333333335</v>
      </c>
      <c r="AP76" s="1">
        <v>711</v>
      </c>
      <c r="AQ76" s="4">
        <f>knicks_players_all_stats[[#This Row],[PTS]]/knicks_players_all_stats[[#This Row],[GP]]</f>
        <v>26.333333333333332</v>
      </c>
    </row>
    <row r="77" spans="1:43" x14ac:dyDescent="0.3">
      <c r="A77" s="1" t="s">
        <v>1570</v>
      </c>
      <c r="B77" s="1" t="s">
        <v>1343</v>
      </c>
      <c r="C77" s="1" t="str">
        <f>knicks_players_all_stats[[#This Row],[NAME]]&amp;" ("&amp;knicks_players_all_stats[[#This Row],[SEASON]]&amp;")"</f>
        <v>Shane Larkin (2014-15)</v>
      </c>
      <c r="D77" s="1">
        <f>knicks_players_all_stats[[#This Row],[PLAYER_AGE]]/10</f>
        <v>22</v>
      </c>
      <c r="E77">
        <v>220</v>
      </c>
      <c r="F77" s="1">
        <v>76</v>
      </c>
      <c r="G77" s="1">
        <v>18650</v>
      </c>
      <c r="H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479</v>
      </c>
      <c r="I77" s="4">
        <f>knicks_players_all_stats[[#This Row],[VALORATION]]/knicks_players_all_stats[[#This Row],[GP]]</f>
        <v>6.3026315789473681</v>
      </c>
      <c r="J77" s="1">
        <v>187</v>
      </c>
      <c r="K77" s="1">
        <v>432</v>
      </c>
      <c r="L77" s="2">
        <f>knicks_players_all_stats[[#This Row],[FGM]]/knicks_players_all_stats[[#This Row],[FGA]]</f>
        <v>0.43287037037037035</v>
      </c>
      <c r="M77" s="16">
        <f>knicks_players_all_stats[[#This Row],[FG3M2]]/10</f>
        <v>35</v>
      </c>
      <c r="N77" s="1">
        <v>350</v>
      </c>
      <c r="O77" s="1">
        <f>knicks_players_all_stats[[#This Row],[FG3A2]]/10</f>
        <v>116</v>
      </c>
      <c r="P77" s="1">
        <v>1160</v>
      </c>
      <c r="Q77" s="2">
        <f>knicks_players_all_stats[[#This Row],[FG3M2]]/knicks_players_all_stats[[#This Row],[FG3A2]]</f>
        <v>0.30172413793103448</v>
      </c>
      <c r="R77" s="1">
        <v>61</v>
      </c>
      <c r="S77" s="1">
        <v>78</v>
      </c>
      <c r="T77" s="3">
        <f>knicks_players_all_stats[[#This Row],[FTM]]/knicks_players_all_stats[[#This Row],[FTA]]</f>
        <v>0.78205128205128205</v>
      </c>
      <c r="U77" s="1">
        <f>knicks_players_all_stats[[#This Row],[OREB22]]/10</f>
        <v>29</v>
      </c>
      <c r="V77" s="1">
        <f>knicks_players_all_stats[[#This Row],[DREB33]]/10</f>
        <v>147</v>
      </c>
      <c r="W77" s="1">
        <f>knicks_players_all_stats[[#This Row],[REB44]]/10</f>
        <v>176</v>
      </c>
      <c r="X77">
        <v>290</v>
      </c>
      <c r="Y77">
        <v>1470</v>
      </c>
      <c r="Z77">
        <v>1760</v>
      </c>
      <c r="AA77" s="14">
        <f>knicks_players_all_stats[[#This Row],[REB]]/knicks_players_all_stats[[#This Row],[GP]]</f>
        <v>2.3157894736842106</v>
      </c>
      <c r="AB77" s="1">
        <v>226</v>
      </c>
      <c r="AC77" s="4">
        <f>knicks_players_all_stats[[#This Row],[AST]]/knicks_players_all_stats[[#This Row],[GP]]</f>
        <v>2.9736842105263159</v>
      </c>
      <c r="AD77" s="1">
        <f>knicks_players_all_stats[[#This Row],[STL2]]/10</f>
        <v>93</v>
      </c>
      <c r="AE77" s="1">
        <v>930</v>
      </c>
      <c r="AF77" s="4">
        <f>knicks_players_all_stats[[#This Row],[STL]]/knicks_players_all_stats[[#This Row],[GP]]</f>
        <v>1.2236842105263157</v>
      </c>
      <c r="AG77">
        <v>90</v>
      </c>
      <c r="AH77" s="1">
        <f>knicks_players_all_stats[[#This Row],[BLK2]]/10</f>
        <v>9</v>
      </c>
      <c r="AI77" s="4">
        <f>knicks_players_all_stats[[#This Row],[BLK]]/knicks_players_all_stats[[#This Row],[GP]]</f>
        <v>0.11842105263157894</v>
      </c>
      <c r="AJ77">
        <v>830</v>
      </c>
      <c r="AK77" s="4">
        <f>knicks_players_all_stats[[#This Row],[BLKPG]]+knicks_players_all_stats[[#This Row],[STLPG]]+knicks_players_all_stats[[#This Row],[REBPG]]</f>
        <v>3.6578947368421053</v>
      </c>
      <c r="AL77" s="1">
        <f>knicks_players_all_stats[[#This Row],[TOV2]]/10</f>
        <v>83</v>
      </c>
      <c r="AM77" s="4">
        <f>knicks_players_all_stats[[#This Row],[TOV]]/knicks_players_all_stats[[#This Row],[GP]]</f>
        <v>1.0921052631578947</v>
      </c>
      <c r="AN77" s="1">
        <v>150</v>
      </c>
      <c r="AO77" s="1">
        <f>knicks_players_all_stats[[#This Row],[PF]]/knicks_players_all_stats[[#This Row],[GP]]</f>
        <v>1.9736842105263157</v>
      </c>
      <c r="AP77" s="1">
        <v>470</v>
      </c>
      <c r="AQ77" s="4">
        <f>knicks_players_all_stats[[#This Row],[PTS]]/knicks_players_all_stats[[#This Row],[GP]]</f>
        <v>6.1842105263157894</v>
      </c>
    </row>
    <row r="78" spans="1:43" x14ac:dyDescent="0.3">
      <c r="A78" s="1" t="s">
        <v>1395</v>
      </c>
      <c r="B78" s="1" t="s">
        <v>1308</v>
      </c>
      <c r="C78" s="1" t="str">
        <f>knicks_players_all_stats[[#This Row],[NAME]]&amp;" ("&amp;knicks_players_all_stats[[#This Row],[SEASON]]&amp;")"</f>
        <v>RJ Barrett (2021-22)</v>
      </c>
      <c r="D78" s="1">
        <f>knicks_players_all_stats[[#This Row],[PLAYER_AGE]]/10</f>
        <v>22</v>
      </c>
      <c r="E78">
        <v>220</v>
      </c>
      <c r="F78" s="1">
        <v>70</v>
      </c>
      <c r="G78" s="1">
        <v>24170</v>
      </c>
      <c r="H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961</v>
      </c>
      <c r="I78" s="4">
        <f>knicks_players_all_stats[[#This Row],[VALORATION]]/knicks_players_all_stats[[#This Row],[GP]]</f>
        <v>13.728571428571428</v>
      </c>
      <c r="J78" s="1">
        <v>487</v>
      </c>
      <c r="K78" s="1">
        <v>1194</v>
      </c>
      <c r="L78" s="2">
        <f>knicks_players_all_stats[[#This Row],[FGM]]/knicks_players_all_stats[[#This Row],[FGA]]</f>
        <v>0.40787269681742044</v>
      </c>
      <c r="M78" s="16">
        <f>knicks_players_all_stats[[#This Row],[FG3M2]]/10</f>
        <v>138</v>
      </c>
      <c r="N78" s="1">
        <v>1380</v>
      </c>
      <c r="O78" s="1">
        <f>knicks_players_all_stats[[#This Row],[FG3A2]]/10</f>
        <v>404</v>
      </c>
      <c r="P78" s="1">
        <v>4040</v>
      </c>
      <c r="Q78" s="2">
        <f>knicks_players_all_stats[[#This Row],[FG3M2]]/knicks_players_all_stats[[#This Row],[FG3A2]]</f>
        <v>0.34158415841584161</v>
      </c>
      <c r="R78" s="1">
        <v>290</v>
      </c>
      <c r="S78" s="1">
        <v>406</v>
      </c>
      <c r="T78" s="3">
        <f>knicks_players_all_stats[[#This Row],[FTM]]/knicks_players_all_stats[[#This Row],[FTA]]</f>
        <v>0.7142857142857143</v>
      </c>
      <c r="U78" s="1">
        <f>knicks_players_all_stats[[#This Row],[OREB22]]/10</f>
        <v>66</v>
      </c>
      <c r="V78" s="1">
        <f>knicks_players_all_stats[[#This Row],[DREB33]]/10</f>
        <v>342</v>
      </c>
      <c r="W78" s="1">
        <f>knicks_players_all_stats[[#This Row],[REB44]]/10</f>
        <v>408</v>
      </c>
      <c r="X78">
        <v>660</v>
      </c>
      <c r="Y78">
        <v>3420</v>
      </c>
      <c r="Z78">
        <v>4080</v>
      </c>
      <c r="AA78" s="14">
        <f>knicks_players_all_stats[[#This Row],[REB]]/knicks_players_all_stats[[#This Row],[GP]]</f>
        <v>5.8285714285714283</v>
      </c>
      <c r="AB78" s="1">
        <v>208</v>
      </c>
      <c r="AC78" s="4">
        <f>knicks_players_all_stats[[#This Row],[AST]]/knicks_players_all_stats[[#This Row],[GP]]</f>
        <v>2.9714285714285715</v>
      </c>
      <c r="AD78" s="1">
        <f>knicks_players_all_stats[[#This Row],[STL2]]/10</f>
        <v>43</v>
      </c>
      <c r="AE78" s="1">
        <v>430</v>
      </c>
      <c r="AF78" s="4">
        <f>knicks_players_all_stats[[#This Row],[STL]]/knicks_players_all_stats[[#This Row],[GP]]</f>
        <v>0.61428571428571432</v>
      </c>
      <c r="AG78">
        <v>160</v>
      </c>
      <c r="AH78" s="1">
        <f>knicks_players_all_stats[[#This Row],[BLK2]]/10</f>
        <v>16</v>
      </c>
      <c r="AI78" s="4">
        <f>knicks_players_all_stats[[#This Row],[BLK]]/knicks_players_all_stats[[#This Row],[GP]]</f>
        <v>0.22857142857142856</v>
      </c>
      <c r="AJ78">
        <v>1510</v>
      </c>
      <c r="AK78" s="4">
        <f>knicks_players_all_stats[[#This Row],[BLKPG]]+knicks_players_all_stats[[#This Row],[STLPG]]+knicks_players_all_stats[[#This Row],[REBPG]]</f>
        <v>6.6714285714285708</v>
      </c>
      <c r="AL78" s="1">
        <f>knicks_players_all_stats[[#This Row],[TOV2]]/10</f>
        <v>151</v>
      </c>
      <c r="AM78" s="4">
        <f>knicks_players_all_stats[[#This Row],[TOV]]/knicks_players_all_stats[[#This Row],[GP]]</f>
        <v>2.157142857142857</v>
      </c>
      <c r="AN78" s="1">
        <v>142</v>
      </c>
      <c r="AO78" s="1">
        <f>knicks_players_all_stats[[#This Row],[PF]]/knicks_players_all_stats[[#This Row],[GP]]</f>
        <v>2.0285714285714285</v>
      </c>
      <c r="AP78" s="1">
        <v>1402</v>
      </c>
      <c r="AQ78" s="4">
        <f>knicks_players_all_stats[[#This Row],[PTS]]/knicks_players_all_stats[[#This Row],[GP]]</f>
        <v>20.028571428571428</v>
      </c>
    </row>
    <row r="79" spans="1:43" customFormat="1" x14ac:dyDescent="0.3">
      <c r="A79" s="1" t="s">
        <v>1451</v>
      </c>
      <c r="B79" s="1" t="s">
        <v>1337</v>
      </c>
      <c r="C79" s="1" t="str">
        <f>knicks_players_all_stats[[#This Row],[NAME]]&amp;" ("&amp;knicks_players_all_stats[[#This Row],[SEASON]]&amp;")"</f>
        <v>JR Smith (2013-14)</v>
      </c>
      <c r="D79" s="1">
        <f>knicks_players_all_stats[[#This Row],[PLAYER_AGE]]/10</f>
        <v>28</v>
      </c>
      <c r="E79">
        <v>280</v>
      </c>
      <c r="F79" s="1">
        <v>74</v>
      </c>
      <c r="G79" s="1">
        <v>24210</v>
      </c>
      <c r="H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760</v>
      </c>
      <c r="I79" s="4">
        <f>knicks_players_all_stats[[#This Row],[VALORATION]]/knicks_players_all_stats[[#This Row],[GP]]</f>
        <v>10.27027027027027</v>
      </c>
      <c r="J79" s="1">
        <v>396</v>
      </c>
      <c r="K79" s="1">
        <v>955</v>
      </c>
      <c r="L79" s="2">
        <f>knicks_players_all_stats[[#This Row],[FGM]]/knicks_players_all_stats[[#This Row],[FGA]]</f>
        <v>0.41465968586387436</v>
      </c>
      <c r="M79" s="16">
        <f>knicks_players_all_stats[[#This Row],[FG3M2]]/10</f>
        <v>189</v>
      </c>
      <c r="N79" s="1">
        <v>1890</v>
      </c>
      <c r="O79" s="1">
        <f>knicks_players_all_stats[[#This Row],[FG3A2]]/10</f>
        <v>480</v>
      </c>
      <c r="P79" s="1">
        <v>4800</v>
      </c>
      <c r="Q79" s="2">
        <f>knicks_players_all_stats[[#This Row],[FG3M2]]/knicks_players_all_stats[[#This Row],[FG3A2]]</f>
        <v>0.39374999999999999</v>
      </c>
      <c r="R79" s="1">
        <v>90</v>
      </c>
      <c r="S79" s="1">
        <v>138</v>
      </c>
      <c r="T79" s="3">
        <f>knicks_players_all_stats[[#This Row],[FTM]]/knicks_players_all_stats[[#This Row],[FTA]]</f>
        <v>0.65217391304347827</v>
      </c>
      <c r="U79" s="1">
        <f>knicks_players_all_stats[[#This Row],[OREB22]]/10</f>
        <v>35</v>
      </c>
      <c r="V79" s="1">
        <f>knicks_players_all_stats[[#This Row],[DREB33]]/10</f>
        <v>261</v>
      </c>
      <c r="W79" s="1">
        <f>knicks_players_all_stats[[#This Row],[REB44]]/10</f>
        <v>296</v>
      </c>
      <c r="X79">
        <v>350</v>
      </c>
      <c r="Y79">
        <v>2610</v>
      </c>
      <c r="Z79">
        <v>2960</v>
      </c>
      <c r="AA79" s="14">
        <f>knicks_players_all_stats[[#This Row],[REB]]/knicks_players_all_stats[[#This Row],[GP]]</f>
        <v>4</v>
      </c>
      <c r="AB79" s="1">
        <v>219</v>
      </c>
      <c r="AC79" s="4">
        <f>knicks_players_all_stats[[#This Row],[AST]]/knicks_players_all_stats[[#This Row],[GP]]</f>
        <v>2.9594594594594597</v>
      </c>
      <c r="AD79" s="1">
        <f>knicks_players_all_stats[[#This Row],[STL2]]/10</f>
        <v>65</v>
      </c>
      <c r="AE79" s="1">
        <v>650</v>
      </c>
      <c r="AF79" s="4">
        <f>knicks_players_all_stats[[#This Row],[STL]]/knicks_players_all_stats[[#This Row],[GP]]</f>
        <v>0.8783783783783784</v>
      </c>
      <c r="AG79">
        <v>200</v>
      </c>
      <c r="AH79" s="1">
        <f>knicks_players_all_stats[[#This Row],[BLK2]]/10</f>
        <v>20</v>
      </c>
      <c r="AI79" s="4">
        <f>knicks_players_all_stats[[#This Row],[BLK]]/knicks_players_all_stats[[#This Row],[GP]]</f>
        <v>0.27027027027027029</v>
      </c>
      <c r="AJ79">
        <v>1080</v>
      </c>
      <c r="AK79" s="4">
        <f>knicks_players_all_stats[[#This Row],[BLKPG]]+knicks_players_all_stats[[#This Row],[STLPG]]+knicks_players_all_stats[[#This Row],[REBPG]]</f>
        <v>5.1486486486486491</v>
      </c>
      <c r="AL79" s="1">
        <f>knicks_players_all_stats[[#This Row],[TOV2]]/10</f>
        <v>108</v>
      </c>
      <c r="AM79" s="4">
        <f>knicks_players_all_stats[[#This Row],[TOV]]/knicks_players_all_stats[[#This Row],[GP]]</f>
        <v>1.4594594594594594</v>
      </c>
      <c r="AN79" s="1">
        <v>196</v>
      </c>
      <c r="AO79" s="1">
        <f>knicks_players_all_stats[[#This Row],[PF]]/knicks_players_all_stats[[#This Row],[GP]]</f>
        <v>2.6486486486486487</v>
      </c>
      <c r="AP79" s="1">
        <v>1071</v>
      </c>
      <c r="AQ79" s="4">
        <f>knicks_players_all_stats[[#This Row],[PTS]]/knicks_players_all_stats[[#This Row],[GP]]</f>
        <v>14.472972972972974</v>
      </c>
    </row>
    <row r="80" spans="1:43" customFormat="1" x14ac:dyDescent="0.3">
      <c r="A80" s="1" t="s">
        <v>1545</v>
      </c>
      <c r="B80" s="1" t="s">
        <v>1308</v>
      </c>
      <c r="C80" s="1" t="str">
        <f>knicks_players_all_stats[[#This Row],[NAME]]&amp;" ("&amp;knicks_players_all_stats[[#This Row],[SEASON]]&amp;")"</f>
        <v>Alec Burks (2021-22)</v>
      </c>
      <c r="D80" s="1">
        <f>knicks_players_all_stats[[#This Row],[PLAYER_AGE]]/10</f>
        <v>30</v>
      </c>
      <c r="E80">
        <v>300</v>
      </c>
      <c r="F80" s="1">
        <v>81</v>
      </c>
      <c r="G80" s="1">
        <v>23180</v>
      </c>
      <c r="H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895</v>
      </c>
      <c r="I80" s="4">
        <f>knicks_players_all_stats[[#This Row],[VALORATION]]/knicks_players_all_stats[[#This Row],[GP]]</f>
        <v>11.049382716049383</v>
      </c>
      <c r="J80" s="1">
        <v>285</v>
      </c>
      <c r="K80" s="1">
        <v>728</v>
      </c>
      <c r="L80" s="2">
        <f>knicks_players_all_stats[[#This Row],[FGM]]/knicks_players_all_stats[[#This Row],[FGA]]</f>
        <v>0.39148351648351648</v>
      </c>
      <c r="M80" s="16">
        <f>knicks_players_all_stats[[#This Row],[FG3M2]]/10</f>
        <v>157</v>
      </c>
      <c r="N80" s="1">
        <v>1570</v>
      </c>
      <c r="O80" s="1">
        <f>knicks_players_all_stats[[#This Row],[FG3A2]]/10</f>
        <v>389</v>
      </c>
      <c r="P80" s="1">
        <v>3890</v>
      </c>
      <c r="Q80" s="2">
        <f>knicks_players_all_stats[[#This Row],[FG3M2]]/knicks_players_all_stats[[#This Row],[FG3A2]]</f>
        <v>0.40359897172236503</v>
      </c>
      <c r="R80" s="1">
        <v>217</v>
      </c>
      <c r="S80" s="1">
        <v>264</v>
      </c>
      <c r="T80" s="3">
        <f>knicks_players_all_stats[[#This Row],[FTM]]/knicks_players_all_stats[[#This Row],[FTA]]</f>
        <v>0.82196969696969702</v>
      </c>
      <c r="U80" s="1">
        <f>knicks_players_all_stats[[#This Row],[OREB22]]/10</f>
        <v>47</v>
      </c>
      <c r="V80" s="1">
        <f>knicks_players_all_stats[[#This Row],[DREB33]]/10</f>
        <v>350</v>
      </c>
      <c r="W80" s="1">
        <f>knicks_players_all_stats[[#This Row],[REB44]]/10</f>
        <v>397</v>
      </c>
      <c r="X80">
        <v>470</v>
      </c>
      <c r="Y80">
        <v>3500</v>
      </c>
      <c r="Z80">
        <v>3970</v>
      </c>
      <c r="AA80" s="14">
        <f>knicks_players_all_stats[[#This Row],[REB]]/knicks_players_all_stats[[#This Row],[GP]]</f>
        <v>4.9012345679012341</v>
      </c>
      <c r="AB80" s="1">
        <v>239</v>
      </c>
      <c r="AC80" s="4">
        <f>knicks_players_all_stats[[#This Row],[AST]]/knicks_players_all_stats[[#This Row],[GP]]</f>
        <v>2.9506172839506171</v>
      </c>
      <c r="AD80" s="1">
        <f>knicks_players_all_stats[[#This Row],[STL2]]/10</f>
        <v>85</v>
      </c>
      <c r="AE80" s="1">
        <v>850</v>
      </c>
      <c r="AF80" s="4">
        <f>knicks_players_all_stats[[#This Row],[STL]]/knicks_players_all_stats[[#This Row],[GP]]</f>
        <v>1.0493827160493827</v>
      </c>
      <c r="AG80">
        <v>260</v>
      </c>
      <c r="AH80" s="1">
        <f>knicks_players_all_stats[[#This Row],[BLK2]]/10</f>
        <v>26</v>
      </c>
      <c r="AI80" s="4">
        <f>knicks_players_all_stats[[#This Row],[BLK]]/knicks_players_all_stats[[#This Row],[GP]]</f>
        <v>0.32098765432098764</v>
      </c>
      <c r="AJ80">
        <v>910</v>
      </c>
      <c r="AK80" s="4">
        <f>knicks_players_all_stats[[#This Row],[BLKPG]]+knicks_players_all_stats[[#This Row],[STLPG]]+knicks_players_all_stats[[#This Row],[REBPG]]</f>
        <v>6.2716049382716044</v>
      </c>
      <c r="AL80" s="1">
        <f>knicks_players_all_stats[[#This Row],[TOV2]]/10</f>
        <v>91</v>
      </c>
      <c r="AM80" s="4">
        <f>knicks_players_all_stats[[#This Row],[TOV]]/knicks_players_all_stats[[#This Row],[GP]]</f>
        <v>1.1234567901234569</v>
      </c>
      <c r="AN80" s="1">
        <v>215</v>
      </c>
      <c r="AO80" s="1">
        <f>knicks_players_all_stats[[#This Row],[PF]]/knicks_players_all_stats[[#This Row],[GP]]</f>
        <v>2.6543209876543208</v>
      </c>
      <c r="AP80" s="1">
        <v>944</v>
      </c>
      <c r="AQ80" s="4">
        <f>knicks_players_all_stats[[#This Row],[PTS]]/knicks_players_all_stats[[#This Row],[GP]]</f>
        <v>11.654320987654321</v>
      </c>
    </row>
    <row r="81" spans="1:43" customFormat="1" x14ac:dyDescent="0.3">
      <c r="A81" s="1" t="s">
        <v>1301</v>
      </c>
      <c r="B81" s="1" t="s">
        <v>1303</v>
      </c>
      <c r="C81" s="1" t="str">
        <f>knicks_players_all_stats[[#This Row],[NAME]]&amp;" ("&amp;knicks_players_all_stats[[#This Row],[SEASON]]&amp;")"</f>
        <v>Nate Robinson (2007-08)</v>
      </c>
      <c r="D81" s="1">
        <f>knicks_players_all_stats[[#This Row],[PLAYER_AGE]]/10</f>
        <v>24</v>
      </c>
      <c r="E81">
        <v>240</v>
      </c>
      <c r="F81" s="1">
        <v>72</v>
      </c>
      <c r="G81" s="1">
        <v>18830</v>
      </c>
      <c r="H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626</v>
      </c>
      <c r="I81" s="4">
        <f>knicks_players_all_stats[[#This Row],[VALORATION]]/knicks_players_all_stats[[#This Row],[GP]]</f>
        <v>8.6944444444444446</v>
      </c>
      <c r="J81" s="1">
        <v>331</v>
      </c>
      <c r="K81" s="1">
        <v>782</v>
      </c>
      <c r="L81" s="2">
        <f>knicks_players_all_stats[[#This Row],[FGM]]/knicks_players_all_stats[[#This Row],[FGA]]</f>
        <v>0.42327365728900257</v>
      </c>
      <c r="M81" s="16">
        <f>knicks_players_all_stats[[#This Row],[FG3M2]]/10</f>
        <v>97</v>
      </c>
      <c r="N81" s="1">
        <v>970</v>
      </c>
      <c r="O81" s="1">
        <f>knicks_players_all_stats[[#This Row],[FG3A2]]/10</f>
        <v>292</v>
      </c>
      <c r="P81" s="1">
        <v>2920</v>
      </c>
      <c r="Q81" s="2">
        <f>knicks_players_all_stats[[#This Row],[FG3M2]]/knicks_players_all_stats[[#This Row],[FG3A2]]</f>
        <v>0.3321917808219178</v>
      </c>
      <c r="R81" s="1">
        <v>154</v>
      </c>
      <c r="S81" s="1">
        <v>196</v>
      </c>
      <c r="T81" s="3">
        <f>knicks_players_all_stats[[#This Row],[FTM]]/knicks_players_all_stats[[#This Row],[FTA]]</f>
        <v>0.7857142857142857</v>
      </c>
      <c r="U81" s="1">
        <f>knicks_players_all_stats[[#This Row],[OREB22]]/10</f>
        <v>51</v>
      </c>
      <c r="V81" s="1">
        <f>knicks_players_all_stats[[#This Row],[DREB33]]/10</f>
        <v>171</v>
      </c>
      <c r="W81" s="1">
        <f>knicks_players_all_stats[[#This Row],[REB44]]/10</f>
        <v>222</v>
      </c>
      <c r="X81">
        <v>510</v>
      </c>
      <c r="Y81">
        <v>1710</v>
      </c>
      <c r="Z81">
        <v>2220</v>
      </c>
      <c r="AA81" s="14">
        <f>knicks_players_all_stats[[#This Row],[REB]]/knicks_players_all_stats[[#This Row],[GP]]</f>
        <v>3.0833333333333335</v>
      </c>
      <c r="AB81" s="1">
        <v>212</v>
      </c>
      <c r="AC81" s="4">
        <f>knicks_players_all_stats[[#This Row],[AST]]/knicks_players_all_stats[[#This Row],[GP]]</f>
        <v>2.9444444444444446</v>
      </c>
      <c r="AD81" s="1">
        <f>knicks_players_all_stats[[#This Row],[STL2]]/10</f>
        <v>60</v>
      </c>
      <c r="AE81" s="1">
        <v>600</v>
      </c>
      <c r="AF81" s="4">
        <f>knicks_players_all_stats[[#This Row],[STL]]/knicks_players_all_stats[[#This Row],[GP]]</f>
        <v>0.83333333333333337</v>
      </c>
      <c r="AG81">
        <v>10</v>
      </c>
      <c r="AH81" s="1">
        <f>knicks_players_all_stats[[#This Row],[BLK2]]/10</f>
        <v>1</v>
      </c>
      <c r="AI81" s="4">
        <f>knicks_players_all_stats[[#This Row],[BLK]]/knicks_players_all_stats[[#This Row],[GP]]</f>
        <v>1.3888888888888888E-2</v>
      </c>
      <c r="AJ81">
        <v>1030</v>
      </c>
      <c r="AK81" s="4">
        <f>knicks_players_all_stats[[#This Row],[BLKPG]]+knicks_players_all_stats[[#This Row],[STLPG]]+knicks_players_all_stats[[#This Row],[REBPG]]</f>
        <v>3.9305555555555558</v>
      </c>
      <c r="AL81" s="1">
        <f>knicks_players_all_stats[[#This Row],[TOV2]]/10</f>
        <v>103</v>
      </c>
      <c r="AM81" s="4">
        <f>knicks_players_all_stats[[#This Row],[TOV]]/knicks_players_all_stats[[#This Row],[GP]]</f>
        <v>1.4305555555555556</v>
      </c>
      <c r="AN81" s="1">
        <v>186</v>
      </c>
      <c r="AO81" s="1">
        <f>knicks_players_all_stats[[#This Row],[PF]]/knicks_players_all_stats[[#This Row],[GP]]</f>
        <v>2.5833333333333335</v>
      </c>
      <c r="AP81" s="1">
        <v>913</v>
      </c>
      <c r="AQ81" s="4">
        <f>knicks_players_all_stats[[#This Row],[PTS]]/knicks_players_all_stats[[#This Row],[GP]]</f>
        <v>12.680555555555555</v>
      </c>
    </row>
    <row r="82" spans="1:43" customFormat="1" x14ac:dyDescent="0.3">
      <c r="A82" s="1" t="s">
        <v>1419</v>
      </c>
      <c r="B82" s="1" t="s">
        <v>1281</v>
      </c>
      <c r="C82" s="1" t="str">
        <f>knicks_players_all_stats[[#This Row],[NAME]]&amp;" ("&amp;knicks_players_all_stats[[#This Row],[SEASON]]&amp;")"</f>
        <v>Carmelo Anthony (2016-17)</v>
      </c>
      <c r="D82" s="1">
        <f>knicks_players_all_stats[[#This Row],[PLAYER_AGE]]/10</f>
        <v>33</v>
      </c>
      <c r="E82">
        <v>330</v>
      </c>
      <c r="F82" s="1">
        <v>74</v>
      </c>
      <c r="G82" s="1">
        <v>25380</v>
      </c>
      <c r="H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1205</v>
      </c>
      <c r="I82" s="4">
        <f>knicks_players_all_stats[[#This Row],[VALORATION]]/knicks_players_all_stats[[#This Row],[GP]]</f>
        <v>16.283783783783782</v>
      </c>
      <c r="J82" s="1">
        <v>602</v>
      </c>
      <c r="K82" s="1">
        <v>1389</v>
      </c>
      <c r="L82" s="2">
        <f>knicks_players_all_stats[[#This Row],[FGM]]/knicks_players_all_stats[[#This Row],[FGA]]</f>
        <v>0.43340532757379407</v>
      </c>
      <c r="M82" s="16">
        <f>knicks_players_all_stats[[#This Row],[FG3M2]]/10</f>
        <v>151</v>
      </c>
      <c r="N82" s="1">
        <v>1510</v>
      </c>
      <c r="O82" s="1">
        <f>knicks_players_all_stats[[#This Row],[FG3A2]]/10</f>
        <v>421</v>
      </c>
      <c r="P82" s="1">
        <v>4210</v>
      </c>
      <c r="Q82" s="2">
        <f>knicks_players_all_stats[[#This Row],[FG3M2]]/knicks_players_all_stats[[#This Row],[FG3A2]]</f>
        <v>0.35866983372921613</v>
      </c>
      <c r="R82" s="1">
        <v>304</v>
      </c>
      <c r="S82" s="1">
        <v>365</v>
      </c>
      <c r="T82" s="3">
        <f>knicks_players_all_stats[[#This Row],[FTM]]/knicks_players_all_stats[[#This Row],[FTA]]</f>
        <v>0.83287671232876714</v>
      </c>
      <c r="U82" s="1">
        <f>knicks_players_all_stats[[#This Row],[OREB22]]/10</f>
        <v>62</v>
      </c>
      <c r="V82" s="1">
        <f>knicks_players_all_stats[[#This Row],[DREB33]]/10</f>
        <v>376</v>
      </c>
      <c r="W82" s="1">
        <f>knicks_players_all_stats[[#This Row],[REB44]]/10</f>
        <v>438</v>
      </c>
      <c r="X82">
        <v>620</v>
      </c>
      <c r="Y82">
        <v>3760</v>
      </c>
      <c r="Z82">
        <v>4380</v>
      </c>
      <c r="AA82" s="14">
        <f>knicks_players_all_stats[[#This Row],[REB]]/knicks_players_all_stats[[#This Row],[GP]]</f>
        <v>5.9189189189189193</v>
      </c>
      <c r="AB82" s="1">
        <v>213</v>
      </c>
      <c r="AC82" s="4">
        <f>knicks_players_all_stats[[#This Row],[AST]]/knicks_players_all_stats[[#This Row],[GP]]</f>
        <v>2.8783783783783785</v>
      </c>
      <c r="AD82" s="1">
        <f>knicks_players_all_stats[[#This Row],[STL2]]/10</f>
        <v>60</v>
      </c>
      <c r="AE82" s="1">
        <v>600</v>
      </c>
      <c r="AF82" s="4">
        <f>knicks_players_all_stats[[#This Row],[STL]]/knicks_players_all_stats[[#This Row],[GP]]</f>
        <v>0.81081081081081086</v>
      </c>
      <c r="AG82">
        <v>340</v>
      </c>
      <c r="AH82" s="1">
        <f>knicks_players_all_stats[[#This Row],[BLK2]]/10</f>
        <v>34</v>
      </c>
      <c r="AI82" s="4">
        <f>knicks_players_all_stats[[#This Row],[BLK]]/knicks_players_all_stats[[#This Row],[GP]]</f>
        <v>0.45945945945945948</v>
      </c>
      <c r="AJ82">
        <v>1530</v>
      </c>
      <c r="AK82" s="4">
        <f>knicks_players_all_stats[[#This Row],[BLKPG]]+knicks_players_all_stats[[#This Row],[STLPG]]+knicks_players_all_stats[[#This Row],[REBPG]]</f>
        <v>7.1891891891891895</v>
      </c>
      <c r="AL82" s="1">
        <f>knicks_players_all_stats[[#This Row],[TOV2]]/10</f>
        <v>153</v>
      </c>
      <c r="AM82" s="4">
        <f>knicks_players_all_stats[[#This Row],[TOV]]/knicks_players_all_stats[[#This Row],[GP]]</f>
        <v>2.0675675675675675</v>
      </c>
      <c r="AN82" s="1">
        <v>198</v>
      </c>
      <c r="AO82" s="1">
        <f>knicks_players_all_stats[[#This Row],[PF]]/knicks_players_all_stats[[#This Row],[GP]]</f>
        <v>2.6756756756756759</v>
      </c>
      <c r="AP82" s="1">
        <v>1659</v>
      </c>
      <c r="AQ82" s="4">
        <f>knicks_players_all_stats[[#This Row],[PTS]]/knicks_players_all_stats[[#This Row],[GP]]</f>
        <v>22.418918918918919</v>
      </c>
    </row>
    <row r="83" spans="1:43" x14ac:dyDescent="0.3">
      <c r="A83" s="1" t="s">
        <v>1718</v>
      </c>
      <c r="B83" s="1" t="s">
        <v>1290</v>
      </c>
      <c r="C83" s="1" t="str">
        <f>knicks_players_all_stats[[#This Row],[NAME]]&amp;" ("&amp;knicks_players_all_stats[[#This Row],[SEASON]]&amp;")"</f>
        <v>Iman Shumpert (2011-12)</v>
      </c>
      <c r="D83" s="1">
        <f>knicks_players_all_stats[[#This Row],[PLAYER_AGE]]/10</f>
        <v>22</v>
      </c>
      <c r="E83">
        <v>220</v>
      </c>
      <c r="F83" s="1">
        <v>59</v>
      </c>
      <c r="G83" s="1">
        <v>17050</v>
      </c>
      <c r="H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396</v>
      </c>
      <c r="I83" s="4">
        <f>knicks_players_all_stats[[#This Row],[VALORATION]]/knicks_players_all_stats[[#This Row],[GP]]</f>
        <v>6.7118644067796609</v>
      </c>
      <c r="J83" s="1">
        <v>214</v>
      </c>
      <c r="K83" s="1">
        <v>534</v>
      </c>
      <c r="L83" s="1">
        <v>401</v>
      </c>
      <c r="M83" s="4">
        <f>knicks_players_all_stats[[#This Row],[FG3M2]]/10</f>
        <v>48</v>
      </c>
      <c r="N83" s="1">
        <v>480</v>
      </c>
      <c r="O83" s="1">
        <f>knicks_players_all_stats[[#This Row],[FG3A2]]/10</f>
        <v>157</v>
      </c>
      <c r="P83" s="1">
        <v>1570</v>
      </c>
      <c r="Q83" s="2">
        <f>knicks_players_all_stats[[#This Row],[FG3M2]]/knicks_players_all_stats[[#This Row],[FG3A2]]</f>
        <v>0.30573248407643311</v>
      </c>
      <c r="R83" s="1">
        <v>87</v>
      </c>
      <c r="S83" s="1">
        <v>109</v>
      </c>
      <c r="T83" s="3">
        <f>knicks_players_all_stats[[#This Row],[FTM]]/knicks_players_all_stats[[#This Row],[FTA]]</f>
        <v>0.79816513761467889</v>
      </c>
      <c r="U83" s="1">
        <f>knicks_players_all_stats[[#This Row],[OREB22]]/10</f>
        <v>42</v>
      </c>
      <c r="V83" s="1">
        <f>knicks_players_all_stats[[#This Row],[DREB33]]/10</f>
        <v>144</v>
      </c>
      <c r="W83" s="1">
        <f>knicks_players_all_stats[[#This Row],[REB44]]/10</f>
        <v>186</v>
      </c>
      <c r="X83">
        <v>420</v>
      </c>
      <c r="Y83">
        <v>1440</v>
      </c>
      <c r="Z83">
        <v>1860</v>
      </c>
      <c r="AA83" s="14">
        <f>knicks_players_all_stats[[#This Row],[REB]]/knicks_players_all_stats[[#This Row],[GP]]</f>
        <v>3.152542372881356</v>
      </c>
      <c r="AB83" s="1">
        <v>164</v>
      </c>
      <c r="AC83" s="4">
        <f>knicks_players_all_stats[[#This Row],[AST]]/knicks_players_all_stats[[#This Row],[GP]]</f>
        <v>2.7796610169491527</v>
      </c>
      <c r="AD83" s="1">
        <f>knicks_players_all_stats[[#This Row],[STL2]]/10</f>
        <v>101</v>
      </c>
      <c r="AE83" s="1">
        <v>1010</v>
      </c>
      <c r="AF83" s="4">
        <f>knicks_players_all_stats[[#This Row],[STL]]/knicks_players_all_stats[[#This Row],[GP]]</f>
        <v>1.7118644067796611</v>
      </c>
      <c r="AG83">
        <v>80</v>
      </c>
      <c r="AH83" s="1">
        <f>knicks_players_all_stats[[#This Row],[BLK2]]/10</f>
        <v>8</v>
      </c>
      <c r="AI83" s="4">
        <f>knicks_players_all_stats[[#This Row],[BLK]]/knicks_players_all_stats[[#This Row],[GP]]</f>
        <v>0.13559322033898305</v>
      </c>
      <c r="AJ83">
        <v>1110</v>
      </c>
      <c r="AK83" s="4">
        <f>knicks_players_all_stats[[#This Row],[BLKPG]]+knicks_players_all_stats[[#This Row],[STLPG]]+knicks_players_all_stats[[#This Row],[REBPG]]</f>
        <v>5</v>
      </c>
      <c r="AL83" s="1">
        <f>knicks_players_all_stats[[#This Row],[TOV2]]/10</f>
        <v>111</v>
      </c>
      <c r="AM83" s="4">
        <f>knicks_players_all_stats[[#This Row],[TOV]]/knicks_players_all_stats[[#This Row],[GP]]</f>
        <v>1.8813559322033899</v>
      </c>
      <c r="AN83" s="1">
        <v>173</v>
      </c>
      <c r="AO83" s="1">
        <f>knicks_players_all_stats[[#This Row],[PF]]/knicks_players_all_stats[[#This Row],[GP]]</f>
        <v>2.9322033898305087</v>
      </c>
      <c r="AP83" s="1">
        <v>563</v>
      </c>
      <c r="AQ83" s="4">
        <f>knicks_players_all_stats[[#This Row],[PTS]]/knicks_players_all_stats[[#This Row],[GP]]</f>
        <v>9.5423728813559325</v>
      </c>
    </row>
    <row r="84" spans="1:43" x14ac:dyDescent="0.3">
      <c r="A84" s="1" t="s">
        <v>1395</v>
      </c>
      <c r="B84" s="1" t="s">
        <v>1327</v>
      </c>
      <c r="C84" s="1" t="str">
        <f>knicks_players_all_stats[[#This Row],[NAME]]&amp;" ("&amp;knicks_players_all_stats[[#This Row],[SEASON]]&amp;")"</f>
        <v>RJ Barrett (2022-23)</v>
      </c>
      <c r="D84" s="1">
        <f>knicks_players_all_stats[[#This Row],[PLAYER_AGE]]/10</f>
        <v>23</v>
      </c>
      <c r="E84">
        <v>230</v>
      </c>
      <c r="F84" s="1">
        <v>73</v>
      </c>
      <c r="G84" s="1">
        <v>24760</v>
      </c>
      <c r="H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935</v>
      </c>
      <c r="I84" s="4">
        <f>knicks_players_all_stats[[#This Row],[VALORATION]]/knicks_players_all_stats[[#This Row],[GP]]</f>
        <v>12.808219178082192</v>
      </c>
      <c r="J84" s="1">
        <v>510</v>
      </c>
      <c r="K84" s="1">
        <v>1176</v>
      </c>
      <c r="L84" s="2">
        <f>knicks_players_all_stats[[#This Row],[FGM]]/knicks_players_all_stats[[#This Row],[FGA]]</f>
        <v>0.43367346938775508</v>
      </c>
      <c r="M84" s="16">
        <f>knicks_players_all_stats[[#This Row],[FG3M2]]/10</f>
        <v>121</v>
      </c>
      <c r="N84" s="1">
        <v>1210</v>
      </c>
      <c r="O84" s="1">
        <f>knicks_players_all_stats[[#This Row],[FG3A2]]/10</f>
        <v>390</v>
      </c>
      <c r="P84" s="1">
        <v>3900</v>
      </c>
      <c r="Q84" s="2">
        <f>knicks_players_all_stats[[#This Row],[FG3M2]]/knicks_players_all_stats[[#This Row],[FG3A2]]</f>
        <v>0.31025641025641026</v>
      </c>
      <c r="R84" s="1">
        <v>290</v>
      </c>
      <c r="S84" s="1">
        <v>392</v>
      </c>
      <c r="T84" s="3">
        <f>knicks_players_all_stats[[#This Row],[FTM]]/knicks_players_all_stats[[#This Row],[FTA]]</f>
        <v>0.73979591836734693</v>
      </c>
      <c r="U84" s="1">
        <f>knicks_players_all_stats[[#This Row],[OREB22]]/10</f>
        <v>60</v>
      </c>
      <c r="V84" s="1">
        <f>knicks_players_all_stats[[#This Row],[DREB33]]/10</f>
        <v>308</v>
      </c>
      <c r="W84" s="1">
        <f>knicks_players_all_stats[[#This Row],[REB44]]/10</f>
        <v>368</v>
      </c>
      <c r="X84">
        <v>600</v>
      </c>
      <c r="Y84">
        <v>3080</v>
      </c>
      <c r="Z84">
        <v>3680</v>
      </c>
      <c r="AA84" s="14">
        <f>knicks_players_all_stats[[#This Row],[REB]]/knicks_players_all_stats[[#This Row],[GP]]</f>
        <v>5.0410958904109586</v>
      </c>
      <c r="AB84" s="1">
        <v>201</v>
      </c>
      <c r="AC84" s="4">
        <f>knicks_players_all_stats[[#This Row],[AST]]/knicks_players_all_stats[[#This Row],[GP]]</f>
        <v>2.7534246575342465</v>
      </c>
      <c r="AD84" s="1">
        <f>knicks_players_all_stats[[#This Row],[STL2]]/10</f>
        <v>31</v>
      </c>
      <c r="AE84" s="1">
        <v>310</v>
      </c>
      <c r="AF84" s="4">
        <f>knicks_players_all_stats[[#This Row],[STL]]/knicks_players_all_stats[[#This Row],[GP]]</f>
        <v>0.42465753424657532</v>
      </c>
      <c r="AG84">
        <v>150</v>
      </c>
      <c r="AH84" s="1">
        <f>knicks_players_all_stats[[#This Row],[BLK2]]/10</f>
        <v>15</v>
      </c>
      <c r="AI84" s="4">
        <f>knicks_players_all_stats[[#This Row],[BLK]]/knicks_players_all_stats[[#This Row],[GP]]</f>
        <v>0.20547945205479451</v>
      </c>
      <c r="AJ84">
        <v>1640</v>
      </c>
      <c r="AK84" s="4">
        <f>knicks_players_all_stats[[#This Row],[BLKPG]]+knicks_players_all_stats[[#This Row],[STLPG]]+knicks_players_all_stats[[#This Row],[REBPG]]</f>
        <v>5.6712328767123283</v>
      </c>
      <c r="AL84" s="1">
        <f>knicks_players_all_stats[[#This Row],[TOV2]]/10</f>
        <v>164</v>
      </c>
      <c r="AM84" s="4">
        <f>knicks_players_all_stats[[#This Row],[TOV]]/knicks_players_all_stats[[#This Row],[GP]]</f>
        <v>2.2465753424657535</v>
      </c>
      <c r="AN84" s="1">
        <v>179</v>
      </c>
      <c r="AO84" s="1">
        <f>knicks_players_all_stats[[#This Row],[PF]]/knicks_players_all_stats[[#This Row],[GP]]</f>
        <v>2.452054794520548</v>
      </c>
      <c r="AP84" s="1">
        <v>1431</v>
      </c>
      <c r="AQ84" s="4">
        <f>knicks_players_all_stats[[#This Row],[PTS]]/knicks_players_all_stats[[#This Row],[GP]]</f>
        <v>19.602739726027398</v>
      </c>
    </row>
    <row r="85" spans="1:43" customFormat="1" x14ac:dyDescent="0.3">
      <c r="A85" s="1" t="s">
        <v>1451</v>
      </c>
      <c r="B85" s="1" t="s">
        <v>1292</v>
      </c>
      <c r="C85" s="1" t="str">
        <f>knicks_players_all_stats[[#This Row],[NAME]]&amp;" ("&amp;knicks_players_all_stats[[#This Row],[SEASON]]&amp;")"</f>
        <v>JR Smith (2012-13)</v>
      </c>
      <c r="D85" s="1">
        <f>knicks_players_all_stats[[#This Row],[PLAYER_AGE]]/10</f>
        <v>27</v>
      </c>
      <c r="E85">
        <v>270</v>
      </c>
      <c r="F85" s="1">
        <v>80</v>
      </c>
      <c r="G85" s="1">
        <v>26780</v>
      </c>
      <c r="H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1057</v>
      </c>
      <c r="I85" s="4">
        <f>knicks_players_all_stats[[#This Row],[VALORATION]]/knicks_players_all_stats[[#This Row],[GP]]</f>
        <v>13.2125</v>
      </c>
      <c r="J85" s="1">
        <v>527</v>
      </c>
      <c r="K85" s="1">
        <v>1249</v>
      </c>
      <c r="L85" s="2">
        <f>knicks_players_all_stats[[#This Row],[FGM]]/knicks_players_all_stats[[#This Row],[FGA]]</f>
        <v>0.42193755004003203</v>
      </c>
      <c r="M85" s="16">
        <f>knicks_players_all_stats[[#This Row],[FG3M2]]/10</f>
        <v>155</v>
      </c>
      <c r="N85" s="1">
        <v>1550</v>
      </c>
      <c r="O85" s="1">
        <f>knicks_players_all_stats[[#This Row],[FG3A2]]/10</f>
        <v>436</v>
      </c>
      <c r="P85" s="1">
        <v>4360</v>
      </c>
      <c r="Q85" s="2">
        <f>knicks_players_all_stats[[#This Row],[FG3M2]]/knicks_players_all_stats[[#This Row],[FG3A2]]</f>
        <v>0.35550458715596328</v>
      </c>
      <c r="R85" s="1">
        <v>237</v>
      </c>
      <c r="S85" s="1">
        <v>311</v>
      </c>
      <c r="T85" s="3">
        <f>knicks_players_all_stats[[#This Row],[FTM]]/knicks_players_all_stats[[#This Row],[FTA]]</f>
        <v>0.76205787781350487</v>
      </c>
      <c r="U85" s="1">
        <f>knicks_players_all_stats[[#This Row],[OREB22]]/10</f>
        <v>64</v>
      </c>
      <c r="V85" s="1">
        <f>knicks_players_all_stats[[#This Row],[DREB33]]/10</f>
        <v>361</v>
      </c>
      <c r="W85" s="1">
        <f>knicks_players_all_stats[[#This Row],[REB44]]/10</f>
        <v>425</v>
      </c>
      <c r="X85">
        <v>640</v>
      </c>
      <c r="Y85">
        <v>3610</v>
      </c>
      <c r="Z85">
        <v>4250</v>
      </c>
      <c r="AA85" s="14">
        <f>knicks_players_all_stats[[#This Row],[REB]]/knicks_players_all_stats[[#This Row],[GP]]</f>
        <v>5.3125</v>
      </c>
      <c r="AB85" s="1">
        <v>218</v>
      </c>
      <c r="AC85" s="4">
        <f>knicks_players_all_stats[[#This Row],[AST]]/knicks_players_all_stats[[#This Row],[GP]]</f>
        <v>2.7250000000000001</v>
      </c>
      <c r="AD85" s="1">
        <f>knicks_players_all_stats[[#This Row],[STL2]]/10</f>
        <v>100</v>
      </c>
      <c r="AE85" s="1">
        <v>1000</v>
      </c>
      <c r="AF85" s="4">
        <f>knicks_players_all_stats[[#This Row],[STL]]/knicks_players_all_stats[[#This Row],[GP]]</f>
        <v>1.25</v>
      </c>
      <c r="AG85">
        <v>240</v>
      </c>
      <c r="AH85" s="1">
        <f>knicks_players_all_stats[[#This Row],[BLK2]]/10</f>
        <v>24</v>
      </c>
      <c r="AI85" s="4">
        <f>knicks_players_all_stats[[#This Row],[BLK]]/knicks_players_all_stats[[#This Row],[GP]]</f>
        <v>0.3</v>
      </c>
      <c r="AJ85">
        <v>1340</v>
      </c>
      <c r="AK85" s="4">
        <f>knicks_players_all_stats[[#This Row],[BLKPG]]+knicks_players_all_stats[[#This Row],[STLPG]]+knicks_players_all_stats[[#This Row],[REBPG]]</f>
        <v>6.8624999999999998</v>
      </c>
      <c r="AL85" s="1">
        <f>knicks_players_all_stats[[#This Row],[TOV2]]/10</f>
        <v>134</v>
      </c>
      <c r="AM85" s="4">
        <f>knicks_players_all_stats[[#This Row],[TOV]]/knicks_players_all_stats[[#This Row],[GP]]</f>
        <v>1.675</v>
      </c>
      <c r="AN85" s="1">
        <v>226</v>
      </c>
      <c r="AO85" s="1">
        <f>knicks_players_all_stats[[#This Row],[PF]]/knicks_players_all_stats[[#This Row],[GP]]</f>
        <v>2.8250000000000002</v>
      </c>
      <c r="AP85" s="1">
        <v>1446</v>
      </c>
      <c r="AQ85" s="4">
        <f>knicks_players_all_stats[[#This Row],[PTS]]/knicks_players_all_stats[[#This Row],[GP]]</f>
        <v>18.074999999999999</v>
      </c>
    </row>
    <row r="86" spans="1:43" x14ac:dyDescent="0.3">
      <c r="A86" s="1" t="s">
        <v>1607</v>
      </c>
      <c r="B86" s="1" t="s">
        <v>1259</v>
      </c>
      <c r="C86" s="1" t="str">
        <f>knicks_players_all_stats[[#This Row],[NAME]]&amp;" ("&amp;knicks_players_all_stats[[#This Row],[SEASON]]&amp;")"</f>
        <v>Tim Hardaway Jr. (2017-18)</v>
      </c>
      <c r="D86" s="1">
        <f>knicks_players_all_stats[[#This Row],[PLAYER_AGE]]/10</f>
        <v>26</v>
      </c>
      <c r="E86">
        <v>260</v>
      </c>
      <c r="F86" s="1">
        <v>57</v>
      </c>
      <c r="G86" s="1">
        <v>18850</v>
      </c>
      <c r="H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703</v>
      </c>
      <c r="I86" s="4">
        <f>knicks_players_all_stats[[#This Row],[VALORATION]]/knicks_players_all_stats[[#This Row],[GP]]</f>
        <v>12.333333333333334</v>
      </c>
      <c r="J86" s="1">
        <v>360</v>
      </c>
      <c r="K86" s="1">
        <v>856</v>
      </c>
      <c r="L86" s="2">
        <f>knicks_players_all_stats[[#This Row],[FGM]]/knicks_players_all_stats[[#This Row],[FGA]]</f>
        <v>0.42056074766355139</v>
      </c>
      <c r="M86" s="16">
        <f>knicks_players_all_stats[[#This Row],[FG3M2]]/10</f>
        <v>130</v>
      </c>
      <c r="N86" s="1">
        <v>1300</v>
      </c>
      <c r="O86" s="1">
        <f>knicks_players_all_stats[[#This Row],[FG3A2]]/10</f>
        <v>410</v>
      </c>
      <c r="P86" s="1">
        <v>4100</v>
      </c>
      <c r="Q86" s="2">
        <f>knicks_players_all_stats[[#This Row],[FG3M2]]/knicks_players_all_stats[[#This Row],[FG3A2]]</f>
        <v>0.31707317073170732</v>
      </c>
      <c r="R86" s="1">
        <v>146</v>
      </c>
      <c r="S86" s="1">
        <v>179</v>
      </c>
      <c r="T86" s="3">
        <f>knicks_players_all_stats[[#This Row],[FTM]]/knicks_players_all_stats[[#This Row],[FTA]]</f>
        <v>0.81564245810055869</v>
      </c>
      <c r="U86" s="1">
        <f>knicks_players_all_stats[[#This Row],[OREB22]]/10</f>
        <v>32</v>
      </c>
      <c r="V86" s="1">
        <f>knicks_players_all_stats[[#This Row],[DREB33]]/10</f>
        <v>192</v>
      </c>
      <c r="W86" s="1">
        <f>knicks_players_all_stats[[#This Row],[REB44]]/10</f>
        <v>224</v>
      </c>
      <c r="X86">
        <v>320</v>
      </c>
      <c r="Y86">
        <v>1920</v>
      </c>
      <c r="Z86">
        <v>2240</v>
      </c>
      <c r="AA86" s="14">
        <f>knicks_players_all_stats[[#This Row],[REB]]/knicks_players_all_stats[[#This Row],[GP]]</f>
        <v>3.9298245614035086</v>
      </c>
      <c r="AB86" s="1">
        <v>155</v>
      </c>
      <c r="AC86" s="4">
        <f>knicks_players_all_stats[[#This Row],[AST]]/knicks_players_all_stats[[#This Row],[GP]]</f>
        <v>2.7192982456140351</v>
      </c>
      <c r="AD86" s="1">
        <f>knicks_players_all_stats[[#This Row],[STL2]]/10</f>
        <v>62</v>
      </c>
      <c r="AE86" s="1">
        <v>620</v>
      </c>
      <c r="AF86" s="4">
        <f>knicks_players_all_stats[[#This Row],[STL]]/knicks_players_all_stats[[#This Row],[GP]]</f>
        <v>1.0877192982456141</v>
      </c>
      <c r="AG86">
        <v>100</v>
      </c>
      <c r="AH86" s="1">
        <f>knicks_players_all_stats[[#This Row],[BLK2]]/10</f>
        <v>10</v>
      </c>
      <c r="AI86" s="4">
        <f>knicks_players_all_stats[[#This Row],[BLK]]/knicks_players_all_stats[[#This Row],[GP]]</f>
        <v>0.17543859649122806</v>
      </c>
      <c r="AJ86">
        <v>920</v>
      </c>
      <c r="AK86" s="4">
        <f>knicks_players_all_stats[[#This Row],[BLKPG]]+knicks_players_all_stats[[#This Row],[STLPG]]+knicks_players_all_stats[[#This Row],[REBPG]]</f>
        <v>5.192982456140351</v>
      </c>
      <c r="AL86" s="1">
        <f>knicks_players_all_stats[[#This Row],[TOV2]]/10</f>
        <v>92</v>
      </c>
      <c r="AM86" s="4">
        <f>knicks_players_all_stats[[#This Row],[TOV]]/knicks_players_all_stats[[#This Row],[GP]]</f>
        <v>1.6140350877192982</v>
      </c>
      <c r="AN86" s="1">
        <v>123</v>
      </c>
      <c r="AO86" s="1">
        <f>knicks_players_all_stats[[#This Row],[PF]]/knicks_players_all_stats[[#This Row],[GP]]</f>
        <v>2.1578947368421053</v>
      </c>
      <c r="AP86" s="1">
        <v>996</v>
      </c>
      <c r="AQ86" s="4">
        <f>knicks_players_all_stats[[#This Row],[PTS]]/knicks_players_all_stats[[#This Row],[GP]]</f>
        <v>17.473684210526315</v>
      </c>
    </row>
    <row r="87" spans="1:43" customFormat="1" x14ac:dyDescent="0.3">
      <c r="A87" s="1" t="s">
        <v>1463</v>
      </c>
      <c r="B87" s="1" t="s">
        <v>1325</v>
      </c>
      <c r="C87" s="1" t="str">
        <f>knicks_players_all_stats[[#This Row],[NAME]]&amp;" ("&amp;knicks_players_all_stats[[#This Row],[SEASON]]&amp;")"</f>
        <v>Allan Houston (2002-03)</v>
      </c>
      <c r="D87" s="1">
        <f>knicks_players_all_stats[[#This Row],[PLAYER_AGE]]/10</f>
        <v>32</v>
      </c>
      <c r="E87">
        <v>320</v>
      </c>
      <c r="F87" s="1">
        <v>82</v>
      </c>
      <c r="G87" s="1">
        <v>31100</v>
      </c>
      <c r="H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1143</v>
      </c>
      <c r="I87" s="4">
        <f>knicks_players_all_stats[[#This Row],[VALORATION]]/knicks_players_all_stats[[#This Row],[GP]]</f>
        <v>13.939024390243903</v>
      </c>
      <c r="J87" s="1">
        <v>652</v>
      </c>
      <c r="K87" s="1">
        <v>1465</v>
      </c>
      <c r="L87" s="2">
        <f>knicks_players_all_stats[[#This Row],[FGM]]/knicks_players_all_stats[[#This Row],[FGA]]</f>
        <v>0.44505119453924913</v>
      </c>
      <c r="M87" s="16">
        <f>knicks_players_all_stats[[#This Row],[FG3M2]]/10</f>
        <v>178</v>
      </c>
      <c r="N87" s="1">
        <v>1780</v>
      </c>
      <c r="O87" s="1">
        <f>knicks_players_all_stats[[#This Row],[FG3A2]]/10</f>
        <v>450</v>
      </c>
      <c r="P87" s="1">
        <v>4500</v>
      </c>
      <c r="Q87" s="2">
        <f>knicks_players_all_stats[[#This Row],[FG3M2]]/knicks_players_all_stats[[#This Row],[FG3A2]]</f>
        <v>0.39555555555555555</v>
      </c>
      <c r="R87" s="1">
        <v>363</v>
      </c>
      <c r="S87" s="1">
        <v>395</v>
      </c>
      <c r="T87" s="3">
        <f>knicks_players_all_stats[[#This Row],[FTM]]/knicks_players_all_stats[[#This Row],[FTA]]</f>
        <v>0.91898734177215191</v>
      </c>
      <c r="U87" s="1">
        <f>knicks_players_all_stats[[#This Row],[OREB22]]/10</f>
        <v>26</v>
      </c>
      <c r="V87" s="1">
        <f>knicks_players_all_stats[[#This Row],[DREB33]]/10</f>
        <v>205</v>
      </c>
      <c r="W87" s="1">
        <f>knicks_players_all_stats[[#This Row],[REB44]]/10</f>
        <v>231</v>
      </c>
      <c r="X87">
        <v>260</v>
      </c>
      <c r="Y87">
        <v>2050</v>
      </c>
      <c r="Z87">
        <v>2310</v>
      </c>
      <c r="AA87" s="14">
        <f>knicks_players_all_stats[[#This Row],[REB]]/knicks_players_all_stats[[#This Row],[GP]]</f>
        <v>2.8170731707317072</v>
      </c>
      <c r="AB87" s="1">
        <v>220</v>
      </c>
      <c r="AC87" s="4">
        <f>knicks_players_all_stats[[#This Row],[AST]]/knicks_players_all_stats[[#This Row],[GP]]</f>
        <v>2.6829268292682928</v>
      </c>
      <c r="AD87" s="1">
        <f>knicks_players_all_stats[[#This Row],[STL2]]/10</f>
        <v>54</v>
      </c>
      <c r="AE87" s="1">
        <v>540</v>
      </c>
      <c r="AF87" s="4">
        <f>knicks_players_all_stats[[#This Row],[STL]]/knicks_players_all_stats[[#This Row],[GP]]</f>
        <v>0.65853658536585369</v>
      </c>
      <c r="AG87">
        <v>70</v>
      </c>
      <c r="AH87" s="1">
        <f>knicks_players_all_stats[[#This Row],[BLK2]]/10</f>
        <v>7</v>
      </c>
      <c r="AI87" s="4">
        <f>knicks_players_all_stats[[#This Row],[BLK]]/knicks_players_all_stats[[#This Row],[GP]]</f>
        <v>8.5365853658536592E-2</v>
      </c>
      <c r="AJ87">
        <v>1780</v>
      </c>
      <c r="AK87" s="4">
        <f>knicks_players_all_stats[[#This Row],[BLKPG]]+knicks_players_all_stats[[#This Row],[STLPG]]+knicks_players_all_stats[[#This Row],[REBPG]]</f>
        <v>3.5609756097560972</v>
      </c>
      <c r="AL87" s="1">
        <f>knicks_players_all_stats[[#This Row],[TOV2]]/10</f>
        <v>178</v>
      </c>
      <c r="AM87" s="4">
        <f>knicks_players_all_stats[[#This Row],[TOV]]/knicks_players_all_stats[[#This Row],[GP]]</f>
        <v>2.1707317073170733</v>
      </c>
      <c r="AN87" s="1">
        <v>191</v>
      </c>
      <c r="AO87" s="1">
        <f>knicks_players_all_stats[[#This Row],[PF]]/knicks_players_all_stats[[#This Row],[GP]]</f>
        <v>2.3292682926829267</v>
      </c>
      <c r="AP87" s="1">
        <v>1845</v>
      </c>
      <c r="AQ87" s="4">
        <f>knicks_players_all_stats[[#This Row],[PTS]]/knicks_players_all_stats[[#This Row],[GP]]</f>
        <v>22.5</v>
      </c>
    </row>
    <row r="88" spans="1:43" customFormat="1" x14ac:dyDescent="0.3">
      <c r="A88" s="1" t="s">
        <v>1618</v>
      </c>
      <c r="B88" s="1" t="s">
        <v>1369</v>
      </c>
      <c r="C88" s="1" t="str">
        <f>knicks_players_all_stats[[#This Row],[NAME]]&amp;" ("&amp;knicks_players_all_stats[[#This Row],[SEASON]]&amp;")"</f>
        <v>Donte DiVincenzo (2023-24)</v>
      </c>
      <c r="D88" s="1">
        <f>knicks_players_all_stats[[#This Row],[PLAYER_AGE]]/10</f>
        <v>27</v>
      </c>
      <c r="E88">
        <v>270</v>
      </c>
      <c r="F88" s="1">
        <v>81</v>
      </c>
      <c r="G88" s="1">
        <v>23600</v>
      </c>
      <c r="H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1049</v>
      </c>
      <c r="I88" s="4">
        <f>knicks_players_all_stats[[#This Row],[VALORATION]]/knicks_players_all_stats[[#This Row],[GP]]</f>
        <v>12.950617283950617</v>
      </c>
      <c r="J88" s="1">
        <v>445</v>
      </c>
      <c r="K88" s="1">
        <v>1004</v>
      </c>
      <c r="L88" s="2">
        <f>knicks_players_all_stats[[#This Row],[FGM]]/knicks_players_all_stats[[#This Row],[FGA]]</f>
        <v>0.44322709163346613</v>
      </c>
      <c r="M88" s="16">
        <f>knicks_players_all_stats[[#This Row],[FG3M2]]/10</f>
        <v>283</v>
      </c>
      <c r="N88" s="1">
        <v>2830</v>
      </c>
      <c r="O88" s="1">
        <f>knicks_players_all_stats[[#This Row],[FG3A2]]/10</f>
        <v>705</v>
      </c>
      <c r="P88" s="1">
        <v>7050</v>
      </c>
      <c r="Q88" s="2">
        <f>knicks_players_all_stats[[#This Row],[FG3M2]]/knicks_players_all_stats[[#This Row],[FG3A2]]</f>
        <v>0.40141843971631208</v>
      </c>
      <c r="R88" s="1">
        <v>86</v>
      </c>
      <c r="S88" s="1">
        <v>114</v>
      </c>
      <c r="T88" s="3">
        <f>knicks_players_all_stats[[#This Row],[FTM]]/knicks_players_all_stats[[#This Row],[FTA]]</f>
        <v>0.75438596491228072</v>
      </c>
      <c r="U88" s="1">
        <f>knicks_players_all_stats[[#This Row],[OREB22]]/10</f>
        <v>63</v>
      </c>
      <c r="V88" s="1">
        <f>knicks_players_all_stats[[#This Row],[DREB33]]/10</f>
        <v>234</v>
      </c>
      <c r="W88" s="1">
        <f>knicks_players_all_stats[[#This Row],[REB44]]/10</f>
        <v>297</v>
      </c>
      <c r="X88">
        <v>630</v>
      </c>
      <c r="Y88">
        <v>2340</v>
      </c>
      <c r="Z88">
        <v>2970</v>
      </c>
      <c r="AA88" s="14">
        <f>knicks_players_all_stats[[#This Row],[REB]]/knicks_players_all_stats[[#This Row],[GP]]</f>
        <v>3.6666666666666665</v>
      </c>
      <c r="AB88" s="1">
        <v>216</v>
      </c>
      <c r="AC88" s="4">
        <f>knicks_players_all_stats[[#This Row],[AST]]/knicks_players_all_stats[[#This Row],[GP]]</f>
        <v>2.6666666666666665</v>
      </c>
      <c r="AD88" s="1">
        <f>knicks_players_all_stats[[#This Row],[STL2]]/10</f>
        <v>107</v>
      </c>
      <c r="AE88" s="1">
        <v>1070</v>
      </c>
      <c r="AF88" s="4">
        <f>knicks_players_all_stats[[#This Row],[STL]]/knicks_players_all_stats[[#This Row],[GP]]</f>
        <v>1.3209876543209877</v>
      </c>
      <c r="AG88">
        <v>360</v>
      </c>
      <c r="AH88" s="1">
        <f>knicks_players_all_stats[[#This Row],[BLK2]]/10</f>
        <v>36</v>
      </c>
      <c r="AI88" s="4">
        <f>knicks_players_all_stats[[#This Row],[BLK]]/knicks_players_all_stats[[#This Row],[GP]]</f>
        <v>0.44444444444444442</v>
      </c>
      <c r="AJ88">
        <v>1130</v>
      </c>
      <c r="AK88" s="4">
        <f>knicks_players_all_stats[[#This Row],[BLKPG]]+knicks_players_all_stats[[#This Row],[STLPG]]+knicks_players_all_stats[[#This Row],[REBPG]]</f>
        <v>5.4320987654320989</v>
      </c>
      <c r="AL88" s="1">
        <f>knicks_players_all_stats[[#This Row],[TOV2]]/10</f>
        <v>113</v>
      </c>
      <c r="AM88" s="4">
        <f>knicks_players_all_stats[[#This Row],[TOV]]/knicks_players_all_stats[[#This Row],[GP]]</f>
        <v>1.3950617283950617</v>
      </c>
      <c r="AN88" s="1">
        <v>166</v>
      </c>
      <c r="AO88" s="1">
        <f>knicks_players_all_stats[[#This Row],[PF]]/knicks_players_all_stats[[#This Row],[GP]]</f>
        <v>2.0493827160493829</v>
      </c>
      <c r="AP88" s="1">
        <v>1259</v>
      </c>
      <c r="AQ88" s="4">
        <f>knicks_players_all_stats[[#This Row],[PTS]]/knicks_players_all_stats[[#This Row],[GP]]</f>
        <v>15.543209876543211</v>
      </c>
    </row>
    <row r="89" spans="1:43" x14ac:dyDescent="0.3">
      <c r="A89" s="1" t="s">
        <v>1329</v>
      </c>
      <c r="B89" s="1" t="s">
        <v>1300</v>
      </c>
      <c r="C89" s="1" t="str">
        <f>knicks_players_all_stats[[#This Row],[NAME]]&amp;" ("&amp;knicks_players_all_stats[[#This Row],[SEASON]]&amp;")"</f>
        <v>Jalen Rose (2005-06)</v>
      </c>
      <c r="D89" s="1">
        <f>knicks_players_all_stats[[#This Row],[PLAYER_AGE]]/10</f>
        <v>33</v>
      </c>
      <c r="E89">
        <v>330</v>
      </c>
      <c r="F89" s="1">
        <v>26</v>
      </c>
      <c r="G89" s="1">
        <v>7460</v>
      </c>
      <c r="H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240</v>
      </c>
      <c r="I89" s="4">
        <f>knicks_players_all_stats[[#This Row],[VALORATION]]/knicks_players_all_stats[[#This Row],[GP]]</f>
        <v>9.2307692307692299</v>
      </c>
      <c r="J89" s="1">
        <v>110</v>
      </c>
      <c r="K89" s="1">
        <v>239</v>
      </c>
      <c r="L89" s="2">
        <f>knicks_players_all_stats[[#This Row],[FGM]]/knicks_players_all_stats[[#This Row],[FGA]]</f>
        <v>0.46025104602510458</v>
      </c>
      <c r="M89" s="16">
        <f>knicks_players_all_stats[[#This Row],[FG3M2]]/10</f>
        <v>28</v>
      </c>
      <c r="N89" s="1">
        <v>280</v>
      </c>
      <c r="O89" s="1">
        <f>knicks_players_all_stats[[#This Row],[FG3A2]]/10</f>
        <v>57</v>
      </c>
      <c r="P89" s="1">
        <v>570</v>
      </c>
      <c r="Q89" s="2">
        <f>knicks_players_all_stats[[#This Row],[FG3M2]]/knicks_players_all_stats[[#This Row],[FG3A2]]</f>
        <v>0.49122807017543857</v>
      </c>
      <c r="R89" s="1">
        <v>82</v>
      </c>
      <c r="S89" s="1">
        <v>101</v>
      </c>
      <c r="T89" s="3">
        <f>knicks_players_all_stats[[#This Row],[FTM]]/knicks_players_all_stats[[#This Row],[FTA]]</f>
        <v>0.81188118811881194</v>
      </c>
      <c r="U89" s="1">
        <f>knicks_players_all_stats[[#This Row],[OREB22]]/10</f>
        <v>13</v>
      </c>
      <c r="V89" s="1">
        <f>knicks_players_all_stats[[#This Row],[DREB33]]/10</f>
        <v>69</v>
      </c>
      <c r="W89" s="1">
        <f>knicks_players_all_stats[[#This Row],[REB44]]/10</f>
        <v>82</v>
      </c>
      <c r="X89">
        <v>130</v>
      </c>
      <c r="Y89">
        <v>690</v>
      </c>
      <c r="Z89">
        <v>820</v>
      </c>
      <c r="AA89" s="14">
        <f>knicks_players_all_stats[[#This Row],[REB]]/knicks_players_all_stats[[#This Row],[GP]]</f>
        <v>3.1538461538461537</v>
      </c>
      <c r="AB89" s="1">
        <v>68</v>
      </c>
      <c r="AC89" s="4">
        <f>knicks_players_all_stats[[#This Row],[AST]]/knicks_players_all_stats[[#This Row],[GP]]</f>
        <v>2.6153846153846154</v>
      </c>
      <c r="AD89" s="1">
        <f>knicks_players_all_stats[[#This Row],[STL2]]/10</f>
        <v>10</v>
      </c>
      <c r="AE89" s="1">
        <v>100</v>
      </c>
      <c r="AF89" s="4">
        <f>knicks_players_all_stats[[#This Row],[STL]]/knicks_players_all_stats[[#This Row],[GP]]</f>
        <v>0.38461538461538464</v>
      </c>
      <c r="AG89">
        <v>30</v>
      </c>
      <c r="AH89" s="1">
        <f>knicks_players_all_stats[[#This Row],[BLK2]]/10</f>
        <v>3</v>
      </c>
      <c r="AI89" s="4">
        <f>knicks_players_all_stats[[#This Row],[BLK]]/knicks_players_all_stats[[#This Row],[GP]]</f>
        <v>0.11538461538461539</v>
      </c>
      <c r="AJ89">
        <v>500</v>
      </c>
      <c r="AK89" s="4">
        <f>knicks_players_all_stats[[#This Row],[BLKPG]]+knicks_players_all_stats[[#This Row],[STLPG]]+knicks_players_all_stats[[#This Row],[REBPG]]</f>
        <v>3.6538461538461537</v>
      </c>
      <c r="AL89" s="1">
        <f>knicks_players_all_stats[[#This Row],[TOV2]]/10</f>
        <v>50</v>
      </c>
      <c r="AM89" s="4">
        <f>knicks_players_all_stats[[#This Row],[TOV]]/knicks_players_all_stats[[#This Row],[GP]]</f>
        <v>1.9230769230769231</v>
      </c>
      <c r="AN89" s="1">
        <v>55</v>
      </c>
      <c r="AO89" s="1">
        <f>knicks_players_all_stats[[#This Row],[PF]]/knicks_players_all_stats[[#This Row],[GP]]</f>
        <v>2.1153846153846154</v>
      </c>
      <c r="AP89" s="1">
        <v>330</v>
      </c>
      <c r="AQ89" s="4">
        <f>knicks_players_all_stats[[#This Row],[PTS]]/knicks_players_all_stats[[#This Row],[GP]]</f>
        <v>12.692307692307692</v>
      </c>
    </row>
    <row r="90" spans="1:43" x14ac:dyDescent="0.3">
      <c r="A90" s="1" t="s">
        <v>1738</v>
      </c>
      <c r="B90" s="1" t="s">
        <v>1312</v>
      </c>
      <c r="C90" s="1" t="str">
        <f>knicks_players_all_stats[[#This Row],[NAME]]&amp;" ("&amp;knicks_players_all_stats[[#This Row],[SEASON]]&amp;")"</f>
        <v>Amar'e Stoudemire (2010-11)</v>
      </c>
      <c r="D90" s="1">
        <f>knicks_players_all_stats[[#This Row],[PLAYER_AGE]]/10</f>
        <v>28</v>
      </c>
      <c r="E90">
        <v>280</v>
      </c>
      <c r="F90" s="1">
        <v>78</v>
      </c>
      <c r="G90" s="1">
        <v>28700</v>
      </c>
      <c r="H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1644</v>
      </c>
      <c r="I90" s="4">
        <f>knicks_players_all_stats[[#This Row],[VALORATION]]/knicks_players_all_stats[[#This Row],[GP]]</f>
        <v>21.076923076923077</v>
      </c>
      <c r="J90" s="1">
        <v>744</v>
      </c>
      <c r="K90" s="1">
        <v>1482</v>
      </c>
      <c r="L90" s="1">
        <v>502</v>
      </c>
      <c r="M90" s="4">
        <f>knicks_players_all_stats[[#This Row],[FG3M2]]/10</f>
        <v>10</v>
      </c>
      <c r="N90" s="1">
        <v>100</v>
      </c>
      <c r="O90" s="1">
        <f>knicks_players_all_stats[[#This Row],[FG3A2]]/10</f>
        <v>23</v>
      </c>
      <c r="P90" s="1">
        <v>230</v>
      </c>
      <c r="Q90" s="2">
        <f>knicks_players_all_stats[[#This Row],[FG3M2]]/knicks_players_all_stats[[#This Row],[FG3A2]]</f>
        <v>0.43478260869565216</v>
      </c>
      <c r="R90" s="1">
        <v>473</v>
      </c>
      <c r="S90" s="1">
        <v>597</v>
      </c>
      <c r="T90" s="3">
        <f>knicks_players_all_stats[[#This Row],[FTM]]/knicks_players_all_stats[[#This Row],[FTA]]</f>
        <v>0.79229480737018421</v>
      </c>
      <c r="U90" s="1">
        <f>knicks_players_all_stats[[#This Row],[OREB22]]/10</f>
        <v>198</v>
      </c>
      <c r="V90" s="1">
        <f>knicks_players_all_stats[[#This Row],[DREB33]]/10</f>
        <v>438</v>
      </c>
      <c r="W90" s="1">
        <f>knicks_players_all_stats[[#This Row],[REB44]]/10</f>
        <v>636</v>
      </c>
      <c r="X90">
        <v>1980</v>
      </c>
      <c r="Y90">
        <v>4380</v>
      </c>
      <c r="Z90">
        <v>6360</v>
      </c>
      <c r="AA90" s="14">
        <f>knicks_players_all_stats[[#This Row],[REB]]/knicks_players_all_stats[[#This Row],[GP]]</f>
        <v>8.1538461538461533</v>
      </c>
      <c r="AB90" s="1">
        <v>202</v>
      </c>
      <c r="AC90" s="4">
        <f>knicks_players_all_stats[[#This Row],[AST]]/knicks_players_all_stats[[#This Row],[GP]]</f>
        <v>2.5897435897435899</v>
      </c>
      <c r="AD90" s="1">
        <f>knicks_players_all_stats[[#This Row],[STL2]]/10</f>
        <v>71</v>
      </c>
      <c r="AE90" s="1">
        <v>710</v>
      </c>
      <c r="AF90" s="4">
        <f>knicks_players_all_stats[[#This Row],[STL]]/knicks_players_all_stats[[#This Row],[GP]]</f>
        <v>0.91025641025641024</v>
      </c>
      <c r="AG90">
        <v>1500</v>
      </c>
      <c r="AH90" s="1">
        <f>knicks_players_all_stats[[#This Row],[BLK2]]/10</f>
        <v>150</v>
      </c>
      <c r="AI90" s="4">
        <f>knicks_players_all_stats[[#This Row],[BLK]]/knicks_players_all_stats[[#This Row],[GP]]</f>
        <v>1.9230769230769231</v>
      </c>
      <c r="AJ90">
        <v>2500</v>
      </c>
      <c r="AK90" s="4">
        <f>knicks_players_all_stats[[#This Row],[BLKPG]]+knicks_players_all_stats[[#This Row],[STLPG]]+knicks_players_all_stats[[#This Row],[REBPG]]</f>
        <v>10.987179487179487</v>
      </c>
      <c r="AL90" s="1">
        <f>knicks_players_all_stats[[#This Row],[TOV2]]/10</f>
        <v>250</v>
      </c>
      <c r="AM90" s="4">
        <f>knicks_players_all_stats[[#This Row],[TOV]]/knicks_players_all_stats[[#This Row],[GP]]</f>
        <v>3.2051282051282053</v>
      </c>
      <c r="AN90" s="1">
        <v>274</v>
      </c>
      <c r="AO90" s="1">
        <f>knicks_players_all_stats[[#This Row],[PF]]/knicks_players_all_stats[[#This Row],[GP]]</f>
        <v>3.5128205128205128</v>
      </c>
      <c r="AP90" s="1">
        <v>1971</v>
      </c>
      <c r="AQ90" s="4">
        <f>knicks_players_all_stats[[#This Row],[PTS]]/knicks_players_all_stats[[#This Row],[GP]]</f>
        <v>25.26923076923077</v>
      </c>
    </row>
    <row r="91" spans="1:43" customFormat="1" x14ac:dyDescent="0.3">
      <c r="A91" s="1" t="s">
        <v>1544</v>
      </c>
      <c r="B91" s="1" t="s">
        <v>1330</v>
      </c>
      <c r="C91" s="1" t="str">
        <f>knicks_players_all_stats[[#This Row],[NAME]]&amp;" ("&amp;knicks_players_all_stats[[#This Row],[SEASON]]&amp;")"</f>
        <v>Howard Eisley (2001-02)</v>
      </c>
      <c r="D91" s="1">
        <f>knicks_players_all_stats[[#This Row],[PLAYER_AGE]]/10</f>
        <v>29</v>
      </c>
      <c r="E91">
        <v>290</v>
      </c>
      <c r="F91" s="1">
        <v>39</v>
      </c>
      <c r="G91" s="1">
        <v>6100</v>
      </c>
      <c r="H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113</v>
      </c>
      <c r="I91" s="4">
        <f>knicks_players_all_stats[[#This Row],[VALORATION]]/knicks_players_all_stats[[#This Row],[GP]]</f>
        <v>2.8974358974358974</v>
      </c>
      <c r="J91" s="1">
        <v>59</v>
      </c>
      <c r="K91" s="1">
        <v>175</v>
      </c>
      <c r="L91" s="2">
        <f>knicks_players_all_stats[[#This Row],[FGM]]/knicks_players_all_stats[[#This Row],[FGA]]</f>
        <v>0.33714285714285713</v>
      </c>
      <c r="M91" s="16">
        <f>knicks_players_all_stats[[#This Row],[FG3M2]]/10</f>
        <v>14</v>
      </c>
      <c r="N91" s="1">
        <v>140</v>
      </c>
      <c r="O91" s="1">
        <f>knicks_players_all_stats[[#This Row],[FG3A2]]/10</f>
        <v>58</v>
      </c>
      <c r="P91" s="1">
        <v>580</v>
      </c>
      <c r="Q91" s="2">
        <f>knicks_players_all_stats[[#This Row],[FG3M2]]/knicks_players_all_stats[[#This Row],[FG3A2]]</f>
        <v>0.2413793103448276</v>
      </c>
      <c r="R91" s="1">
        <v>39</v>
      </c>
      <c r="S91" s="1">
        <v>49</v>
      </c>
      <c r="T91" s="3">
        <f>knicks_players_all_stats[[#This Row],[FTM]]/knicks_players_all_stats[[#This Row],[FTA]]</f>
        <v>0.79591836734693877</v>
      </c>
      <c r="U91" s="1">
        <f>knicks_players_all_stats[[#This Row],[OREB22]]/10</f>
        <v>9</v>
      </c>
      <c r="V91" s="1">
        <f>knicks_players_all_stats[[#This Row],[DREB33]]/10</f>
        <v>40</v>
      </c>
      <c r="W91" s="1">
        <f>knicks_players_all_stats[[#This Row],[REB44]]/10</f>
        <v>49</v>
      </c>
      <c r="X91">
        <v>90</v>
      </c>
      <c r="Y91">
        <v>400</v>
      </c>
      <c r="Z91">
        <v>490</v>
      </c>
      <c r="AA91" s="14">
        <f>knicks_players_all_stats[[#This Row],[REB]]/knicks_players_all_stats[[#This Row],[GP]]</f>
        <v>1.2564102564102564</v>
      </c>
      <c r="AB91" s="1">
        <v>100</v>
      </c>
      <c r="AC91" s="4">
        <f>knicks_players_all_stats[[#This Row],[AST]]/knicks_players_all_stats[[#This Row],[GP]]</f>
        <v>2.5641025641025643</v>
      </c>
      <c r="AD91" s="1">
        <f>knicks_players_all_stats[[#This Row],[STL2]]/10</f>
        <v>24</v>
      </c>
      <c r="AE91" s="1">
        <v>240</v>
      </c>
      <c r="AF91" s="4">
        <f>knicks_players_all_stats[[#This Row],[STL]]/knicks_players_all_stats[[#This Row],[GP]]</f>
        <v>0.61538461538461542</v>
      </c>
      <c r="AG91">
        <v>30</v>
      </c>
      <c r="AH91" s="1">
        <f>knicks_players_all_stats[[#This Row],[BLK2]]/10</f>
        <v>3</v>
      </c>
      <c r="AI91" s="4">
        <f>knicks_players_all_stats[[#This Row],[BLK]]/knicks_players_all_stats[[#This Row],[GP]]</f>
        <v>7.6923076923076927E-2</v>
      </c>
      <c r="AJ91">
        <v>530</v>
      </c>
      <c r="AK91" s="4">
        <f>knicks_players_all_stats[[#This Row],[BLKPG]]+knicks_players_all_stats[[#This Row],[STLPG]]+knicks_players_all_stats[[#This Row],[REBPG]]</f>
        <v>1.9487179487179487</v>
      </c>
      <c r="AL91" s="1">
        <f>knicks_players_all_stats[[#This Row],[TOV2]]/10</f>
        <v>53</v>
      </c>
      <c r="AM91" s="4">
        <f>knicks_players_all_stats[[#This Row],[TOV]]/knicks_players_all_stats[[#This Row],[GP]]</f>
        <v>1.358974358974359</v>
      </c>
      <c r="AN91" s="1">
        <v>55</v>
      </c>
      <c r="AO91" s="1">
        <f>knicks_players_all_stats[[#This Row],[PF]]/knicks_players_all_stats[[#This Row],[GP]]</f>
        <v>1.4102564102564104</v>
      </c>
      <c r="AP91" s="1">
        <v>171</v>
      </c>
      <c r="AQ91" s="4">
        <f>knicks_players_all_stats[[#This Row],[PTS]]/knicks_players_all_stats[[#This Row],[GP]]</f>
        <v>4.384615384615385</v>
      </c>
    </row>
    <row r="92" spans="1:43" x14ac:dyDescent="0.3">
      <c r="A92" s="1" t="s">
        <v>1494</v>
      </c>
      <c r="B92" s="1" t="s">
        <v>1290</v>
      </c>
      <c r="C92" s="1" t="str">
        <f>knicks_players_all_stats[[#This Row],[NAME]]&amp;" ("&amp;knicks_players_all_stats[[#This Row],[SEASON]]&amp;")"</f>
        <v>Landry Fields (2011-12)</v>
      </c>
      <c r="D92" s="1">
        <f>knicks_players_all_stats[[#This Row],[PLAYER_AGE]]/10</f>
        <v>24</v>
      </c>
      <c r="E92">
        <v>240</v>
      </c>
      <c r="F92" s="1">
        <v>66</v>
      </c>
      <c r="G92" s="1">
        <v>18940</v>
      </c>
      <c r="H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585</v>
      </c>
      <c r="I92" s="4">
        <f>knicks_players_all_stats[[#This Row],[VALORATION]]/knicks_players_all_stats[[#This Row],[GP]]</f>
        <v>8.8636363636363633</v>
      </c>
      <c r="J92" s="1">
        <v>236</v>
      </c>
      <c r="K92" s="1">
        <v>513</v>
      </c>
      <c r="L92" s="2">
        <f>knicks_players_all_stats[[#This Row],[FGM]]/knicks_players_all_stats[[#This Row],[FGA]]</f>
        <v>0.4600389863547758</v>
      </c>
      <c r="M92" s="16">
        <f>knicks_players_all_stats[[#This Row],[FG3M2]]/10</f>
        <v>31</v>
      </c>
      <c r="N92" s="1">
        <v>310</v>
      </c>
      <c r="O92" s="1">
        <f>knicks_players_all_stats[[#This Row],[FG3A2]]/10</f>
        <v>121</v>
      </c>
      <c r="P92" s="1">
        <v>1210</v>
      </c>
      <c r="Q92" s="2">
        <f>knicks_players_all_stats[[#This Row],[FG3M2]]/knicks_players_all_stats[[#This Row],[FG3A2]]</f>
        <v>0.256198347107438</v>
      </c>
      <c r="R92" s="1">
        <v>77</v>
      </c>
      <c r="S92" s="1">
        <v>137</v>
      </c>
      <c r="T92" s="3">
        <f>knicks_players_all_stats[[#This Row],[FTM]]/knicks_players_all_stats[[#This Row],[FTA]]</f>
        <v>0.56204379562043794</v>
      </c>
      <c r="U92" s="1">
        <f>knicks_players_all_stats[[#This Row],[OREB22]]/10</f>
        <v>59</v>
      </c>
      <c r="V92" s="1">
        <f>knicks_players_all_stats[[#This Row],[DREB33]]/10</f>
        <v>219</v>
      </c>
      <c r="W92" s="1">
        <f>knicks_players_all_stats[[#This Row],[REB44]]/10</f>
        <v>278</v>
      </c>
      <c r="X92">
        <v>590</v>
      </c>
      <c r="Y92">
        <v>2190</v>
      </c>
      <c r="Z92">
        <v>2780</v>
      </c>
      <c r="AA92" s="14">
        <f>knicks_players_all_stats[[#This Row],[REB]]/knicks_players_all_stats[[#This Row],[GP]]</f>
        <v>4.2121212121212119</v>
      </c>
      <c r="AB92" s="1">
        <v>169</v>
      </c>
      <c r="AC92" s="4">
        <f>knicks_players_all_stats[[#This Row],[AST]]/knicks_players_all_stats[[#This Row],[GP]]</f>
        <v>2.5606060606060606</v>
      </c>
      <c r="AD92" s="1">
        <f>knicks_players_all_stats[[#This Row],[STL2]]/10</f>
        <v>79</v>
      </c>
      <c r="AE92" s="1">
        <v>790</v>
      </c>
      <c r="AF92" s="4">
        <f>knicks_players_all_stats[[#This Row],[STL]]/knicks_players_all_stats[[#This Row],[GP]]</f>
        <v>1.196969696969697</v>
      </c>
      <c r="AG92">
        <v>170</v>
      </c>
      <c r="AH92" s="1">
        <f>knicks_players_all_stats[[#This Row],[BLK2]]/10</f>
        <v>17</v>
      </c>
      <c r="AI92" s="4">
        <f>knicks_players_all_stats[[#This Row],[BLK]]/knicks_players_all_stats[[#This Row],[GP]]</f>
        <v>0.25757575757575757</v>
      </c>
      <c r="AJ92">
        <v>1020</v>
      </c>
      <c r="AK92" s="4">
        <f>knicks_players_all_stats[[#This Row],[BLKPG]]+knicks_players_all_stats[[#This Row],[STLPG]]+knicks_players_all_stats[[#This Row],[REBPG]]</f>
        <v>5.6666666666666661</v>
      </c>
      <c r="AL92" s="1">
        <f>knicks_players_all_stats[[#This Row],[TOV2]]/10</f>
        <v>102</v>
      </c>
      <c r="AM92" s="4">
        <f>knicks_players_all_stats[[#This Row],[TOV]]/knicks_players_all_stats[[#This Row],[GP]]</f>
        <v>1.5454545454545454</v>
      </c>
      <c r="AN92" s="1">
        <v>99</v>
      </c>
      <c r="AO92" s="1">
        <f>knicks_players_all_stats[[#This Row],[PF]]/knicks_players_all_stats[[#This Row],[GP]]</f>
        <v>1.5</v>
      </c>
      <c r="AP92" s="1">
        <v>580</v>
      </c>
      <c r="AQ92" s="4">
        <f>knicks_players_all_stats[[#This Row],[PTS]]/knicks_players_all_stats[[#This Row],[GP]]</f>
        <v>8.7878787878787872</v>
      </c>
    </row>
    <row r="93" spans="1:43" x14ac:dyDescent="0.3">
      <c r="A93" s="1" t="s">
        <v>1419</v>
      </c>
      <c r="B93" s="1" t="s">
        <v>1292</v>
      </c>
      <c r="C93" s="1" t="str">
        <f>knicks_players_all_stats[[#This Row],[NAME]]&amp;" ("&amp;knicks_players_all_stats[[#This Row],[SEASON]]&amp;")"</f>
        <v>Carmelo Anthony (2012-13)</v>
      </c>
      <c r="D93" s="1">
        <f>knicks_players_all_stats[[#This Row],[PLAYER_AGE]]/10</f>
        <v>29</v>
      </c>
      <c r="E93">
        <v>290</v>
      </c>
      <c r="F93" s="1">
        <v>67</v>
      </c>
      <c r="G93" s="1">
        <v>24820</v>
      </c>
      <c r="H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1348</v>
      </c>
      <c r="I93" s="4">
        <f>knicks_players_all_stats[[#This Row],[VALORATION]]/knicks_players_all_stats[[#This Row],[GP]]</f>
        <v>20.119402985074625</v>
      </c>
      <c r="J93" s="1">
        <v>669</v>
      </c>
      <c r="K93" s="1">
        <v>1489</v>
      </c>
      <c r="L93" s="2">
        <f>knicks_players_all_stats[[#This Row],[FGM]]/knicks_players_all_stats[[#This Row],[FGA]]</f>
        <v>0.44929482874412358</v>
      </c>
      <c r="M93" s="16">
        <f>knicks_players_all_stats[[#This Row],[FG3M2]]/10</f>
        <v>157</v>
      </c>
      <c r="N93" s="1">
        <v>1570</v>
      </c>
      <c r="O93" s="1">
        <f>knicks_players_all_stats[[#This Row],[FG3A2]]/10</f>
        <v>414</v>
      </c>
      <c r="P93" s="1">
        <v>4140</v>
      </c>
      <c r="Q93" s="2">
        <f>knicks_players_all_stats[[#This Row],[FG3M2]]/knicks_players_all_stats[[#This Row],[FG3A2]]</f>
        <v>0.37922705314009664</v>
      </c>
      <c r="R93" s="1">
        <v>425</v>
      </c>
      <c r="S93" s="1">
        <v>512</v>
      </c>
      <c r="T93" s="3">
        <f>knicks_players_all_stats[[#This Row],[FTM]]/knicks_players_all_stats[[#This Row],[FTA]]</f>
        <v>0.830078125</v>
      </c>
      <c r="U93" s="1">
        <f>knicks_players_all_stats[[#This Row],[OREB22]]/10</f>
        <v>134</v>
      </c>
      <c r="V93" s="1">
        <f>knicks_players_all_stats[[#This Row],[DREB33]]/10</f>
        <v>326</v>
      </c>
      <c r="W93" s="1">
        <f>knicks_players_all_stats[[#This Row],[REB44]]/10</f>
        <v>460</v>
      </c>
      <c r="X93">
        <v>1340</v>
      </c>
      <c r="Y93">
        <v>3260</v>
      </c>
      <c r="Z93">
        <v>4600</v>
      </c>
      <c r="AA93" s="14">
        <f>knicks_players_all_stats[[#This Row],[REB]]/knicks_players_all_stats[[#This Row],[GP]]</f>
        <v>6.8656716417910451</v>
      </c>
      <c r="AB93" s="1">
        <v>171</v>
      </c>
      <c r="AC93" s="4">
        <f>knicks_players_all_stats[[#This Row],[AST]]/knicks_players_all_stats[[#This Row],[GP]]</f>
        <v>2.5522388059701493</v>
      </c>
      <c r="AD93" s="1">
        <f>knicks_players_all_stats[[#This Row],[STL2]]/10</f>
        <v>52</v>
      </c>
      <c r="AE93" s="1">
        <v>520</v>
      </c>
      <c r="AF93" s="4">
        <f>knicks_players_all_stats[[#This Row],[STL]]/knicks_players_all_stats[[#This Row],[GP]]</f>
        <v>0.77611940298507465</v>
      </c>
      <c r="AG93">
        <v>320</v>
      </c>
      <c r="AH93" s="1">
        <f>knicks_players_all_stats[[#This Row],[BLK2]]/10</f>
        <v>32</v>
      </c>
      <c r="AI93" s="4">
        <f>knicks_players_all_stats[[#This Row],[BLK]]/knicks_players_all_stats[[#This Row],[GP]]</f>
        <v>0.47761194029850745</v>
      </c>
      <c r="AJ93">
        <v>1750</v>
      </c>
      <c r="AK93" s="4">
        <f>knicks_players_all_stats[[#This Row],[BLKPG]]+knicks_players_all_stats[[#This Row],[STLPG]]+knicks_players_all_stats[[#This Row],[REBPG]]</f>
        <v>8.1194029850746272</v>
      </c>
      <c r="AL93" s="1">
        <f>knicks_players_all_stats[[#This Row],[TOV2]]/10</f>
        <v>175</v>
      </c>
      <c r="AM93" s="4">
        <f>knicks_players_all_stats[[#This Row],[TOV]]/knicks_players_all_stats[[#This Row],[GP]]</f>
        <v>2.6119402985074629</v>
      </c>
      <c r="AN93" s="1">
        <v>205</v>
      </c>
      <c r="AO93" s="1">
        <f>knicks_players_all_stats[[#This Row],[PF]]/knicks_players_all_stats[[#This Row],[GP]]</f>
        <v>3.0597014925373136</v>
      </c>
      <c r="AP93" s="1">
        <v>1920</v>
      </c>
      <c r="AQ93" s="4">
        <f>knicks_players_all_stats[[#This Row],[PTS]]/knicks_players_all_stats[[#This Row],[GP]]</f>
        <v>28.656716417910449</v>
      </c>
    </row>
    <row r="94" spans="1:43" x14ac:dyDescent="0.3">
      <c r="A94" s="1" t="s">
        <v>1735</v>
      </c>
      <c r="B94" s="1" t="s">
        <v>1279</v>
      </c>
      <c r="C94" s="1" t="str">
        <f>knicks_players_all_stats[[#This Row],[NAME]]&amp;" ("&amp;knicks_players_all_stats[[#This Row],[SEASON]]&amp;")"</f>
        <v>Langston Galloway (2015-16)</v>
      </c>
      <c r="D94" s="1">
        <f>knicks_players_all_stats[[#This Row],[PLAYER_AGE]]/10</f>
        <v>24</v>
      </c>
      <c r="E94">
        <v>240</v>
      </c>
      <c r="F94" s="1">
        <v>82</v>
      </c>
      <c r="G94" s="1">
        <v>20330</v>
      </c>
      <c r="H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596</v>
      </c>
      <c r="I94" s="4">
        <f>knicks_players_all_stats[[#This Row],[VALORATION]]/knicks_players_all_stats[[#This Row],[GP]]</f>
        <v>7.2682926829268295</v>
      </c>
      <c r="J94" s="1">
        <v>231</v>
      </c>
      <c r="K94" s="1">
        <v>588</v>
      </c>
      <c r="L94" s="1">
        <v>393</v>
      </c>
      <c r="M94" s="4">
        <f>knicks_players_all_stats[[#This Row],[FG3M2]]/10</f>
        <v>77</v>
      </c>
      <c r="N94" s="1">
        <v>770</v>
      </c>
      <c r="O94" s="1">
        <f>knicks_players_all_stats[[#This Row],[FG3A2]]/10</f>
        <v>224</v>
      </c>
      <c r="P94" s="1">
        <v>2240</v>
      </c>
      <c r="Q94" s="2">
        <f>knicks_players_all_stats[[#This Row],[FG3M2]]/knicks_players_all_stats[[#This Row],[FG3A2]]</f>
        <v>0.34375</v>
      </c>
      <c r="R94" s="1">
        <v>86</v>
      </c>
      <c r="S94" s="1">
        <v>114</v>
      </c>
      <c r="T94" s="3">
        <f>knicks_players_all_stats[[#This Row],[FTM]]/knicks_players_all_stats[[#This Row],[FTA]]</f>
        <v>0.75438596491228072</v>
      </c>
      <c r="U94" s="1">
        <f>knicks_players_all_stats[[#This Row],[OREB22]]/10</f>
        <v>43</v>
      </c>
      <c r="V94" s="1">
        <f>knicks_players_all_stats[[#This Row],[DREB33]]/10</f>
        <v>245</v>
      </c>
      <c r="W94" s="1">
        <f>knicks_players_all_stats[[#This Row],[REB44]]/10</f>
        <v>288</v>
      </c>
      <c r="X94">
        <v>430</v>
      </c>
      <c r="Y94">
        <v>2450</v>
      </c>
      <c r="Z94">
        <v>2880</v>
      </c>
      <c r="AA94" s="14">
        <f>knicks_players_all_stats[[#This Row],[REB]]/knicks_players_all_stats[[#This Row],[GP]]</f>
        <v>3.5121951219512195</v>
      </c>
      <c r="AB94" s="1">
        <v>207</v>
      </c>
      <c r="AC94" s="4">
        <f>knicks_players_all_stats[[#This Row],[AST]]/knicks_players_all_stats[[#This Row],[GP]]</f>
        <v>2.524390243902439</v>
      </c>
      <c r="AD94" s="1">
        <f>knicks_players_all_stats[[#This Row],[STL2]]/10</f>
        <v>77</v>
      </c>
      <c r="AE94" s="1">
        <v>770</v>
      </c>
      <c r="AF94" s="4">
        <f>knicks_players_all_stats[[#This Row],[STL]]/knicks_players_all_stats[[#This Row],[GP]]</f>
        <v>0.93902439024390238</v>
      </c>
      <c r="AG94">
        <v>220</v>
      </c>
      <c r="AH94" s="1">
        <f>knicks_players_all_stats[[#This Row],[BLK2]]/10</f>
        <v>22</v>
      </c>
      <c r="AI94" s="4">
        <f>knicks_players_all_stats[[#This Row],[BLK]]/knicks_players_all_stats[[#This Row],[GP]]</f>
        <v>0.26829268292682928</v>
      </c>
      <c r="AJ94">
        <v>610</v>
      </c>
      <c r="AK94" s="4">
        <f>knicks_players_all_stats[[#This Row],[BLKPG]]+knicks_players_all_stats[[#This Row],[STLPG]]+knicks_players_all_stats[[#This Row],[REBPG]]</f>
        <v>4.7195121951219514</v>
      </c>
      <c r="AL94" s="1">
        <f>knicks_players_all_stats[[#This Row],[TOV2]]/10</f>
        <v>61</v>
      </c>
      <c r="AM94" s="4">
        <f>knicks_players_all_stats[[#This Row],[TOV]]/knicks_players_all_stats[[#This Row],[GP]]</f>
        <v>0.74390243902439024</v>
      </c>
      <c r="AN94" s="1">
        <v>177</v>
      </c>
      <c r="AO94" s="1">
        <f>knicks_players_all_stats[[#This Row],[PF]]/knicks_players_all_stats[[#This Row],[GP]]</f>
        <v>2.1585365853658538</v>
      </c>
      <c r="AP94" s="1">
        <v>625</v>
      </c>
      <c r="AQ94" s="4">
        <f>knicks_players_all_stats[[#This Row],[PTS]]/knicks_players_all_stats[[#This Row],[GP]]</f>
        <v>7.6219512195121952</v>
      </c>
    </row>
    <row r="95" spans="1:43" x14ac:dyDescent="0.3">
      <c r="A95" s="1" t="s">
        <v>1558</v>
      </c>
      <c r="B95" s="1" t="s">
        <v>1369</v>
      </c>
      <c r="C95" s="1" t="str">
        <f>knicks_players_all_stats[[#This Row],[NAME]]&amp;" ("&amp;knicks_players_all_stats[[#This Row],[SEASON]]&amp;")"</f>
        <v>Isaiah Hartenstein (2023-24)</v>
      </c>
      <c r="D95" s="1">
        <f>knicks_players_all_stats[[#This Row],[PLAYER_AGE]]/10</f>
        <v>26</v>
      </c>
      <c r="E95">
        <v>260</v>
      </c>
      <c r="F95" s="1">
        <v>75</v>
      </c>
      <c r="G95" s="1">
        <v>18960</v>
      </c>
      <c r="H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1089</v>
      </c>
      <c r="I95" s="4">
        <f>knicks_players_all_stats[[#This Row],[VALORATION]]/knicks_players_all_stats[[#This Row],[GP]]</f>
        <v>14.52</v>
      </c>
      <c r="J95" s="1">
        <v>235</v>
      </c>
      <c r="K95" s="1">
        <v>365</v>
      </c>
      <c r="L95" s="2">
        <f>knicks_players_all_stats[[#This Row],[FGM]]/knicks_players_all_stats[[#This Row],[FGA]]</f>
        <v>0.64383561643835618</v>
      </c>
      <c r="M95" s="16">
        <f>knicks_players_all_stats[[#This Row],[FG3M2]]/10</f>
        <v>1</v>
      </c>
      <c r="N95" s="1">
        <v>10</v>
      </c>
      <c r="O95" s="1">
        <f>knicks_players_all_stats[[#This Row],[FG3A2]]/10</f>
        <v>3</v>
      </c>
      <c r="P95" s="1">
        <v>30</v>
      </c>
      <c r="Q95" s="2">
        <f>knicks_players_all_stats[[#This Row],[FG3M2]]/knicks_players_all_stats[[#This Row],[FG3A2]]</f>
        <v>0.33333333333333331</v>
      </c>
      <c r="R95" s="1">
        <v>111</v>
      </c>
      <c r="S95" s="1">
        <v>157</v>
      </c>
      <c r="T95" s="3">
        <f>knicks_players_all_stats[[#This Row],[FTM]]/knicks_players_all_stats[[#This Row],[FTA]]</f>
        <v>0.70700636942675155</v>
      </c>
      <c r="U95" s="1">
        <f>knicks_players_all_stats[[#This Row],[OREB22]]/10</f>
        <v>244</v>
      </c>
      <c r="V95" s="1">
        <f>knicks_players_all_stats[[#This Row],[DREB33]]/10</f>
        <v>382</v>
      </c>
      <c r="W95" s="1">
        <f>knicks_players_all_stats[[#This Row],[REB44]]/10</f>
        <v>626</v>
      </c>
      <c r="X95">
        <v>2440</v>
      </c>
      <c r="Y95">
        <v>3820</v>
      </c>
      <c r="Z95">
        <v>6260</v>
      </c>
      <c r="AA95" s="14">
        <f>knicks_players_all_stats[[#This Row],[REB]]/knicks_players_all_stats[[#This Row],[GP]]</f>
        <v>8.3466666666666658</v>
      </c>
      <c r="AB95" s="1">
        <v>188</v>
      </c>
      <c r="AC95" s="4">
        <f>knicks_players_all_stats[[#This Row],[AST]]/knicks_players_all_stats[[#This Row],[GP]]</f>
        <v>2.5066666666666668</v>
      </c>
      <c r="AD95" s="1">
        <f>knicks_players_all_stats[[#This Row],[STL2]]/10</f>
        <v>87</v>
      </c>
      <c r="AE95" s="1">
        <v>870</v>
      </c>
      <c r="AF95" s="4">
        <f>knicks_players_all_stats[[#This Row],[STL]]/knicks_players_all_stats[[#This Row],[GP]]</f>
        <v>1.1599999999999999</v>
      </c>
      <c r="AG95">
        <v>850</v>
      </c>
      <c r="AH95" s="1">
        <f>knicks_players_all_stats[[#This Row],[BLK2]]/10</f>
        <v>85</v>
      </c>
      <c r="AI95" s="4">
        <f>knicks_players_all_stats[[#This Row],[BLK]]/knicks_players_all_stats[[#This Row],[GP]]</f>
        <v>1.1333333333333333</v>
      </c>
      <c r="AJ95">
        <v>930</v>
      </c>
      <c r="AK95" s="4">
        <f>knicks_players_all_stats[[#This Row],[BLKPG]]+knicks_players_all_stats[[#This Row],[STLPG]]+knicks_players_all_stats[[#This Row],[REBPG]]</f>
        <v>10.639999999999999</v>
      </c>
      <c r="AL95" s="1">
        <f>knicks_players_all_stats[[#This Row],[TOV2]]/10</f>
        <v>93</v>
      </c>
      <c r="AM95" s="4">
        <f>knicks_players_all_stats[[#This Row],[TOV]]/knicks_players_all_stats[[#This Row],[GP]]</f>
        <v>1.24</v>
      </c>
      <c r="AN95" s="1">
        <v>210</v>
      </c>
      <c r="AO95" s="1">
        <f>knicks_players_all_stats[[#This Row],[PF]]/knicks_players_all_stats[[#This Row],[GP]]</f>
        <v>2.8</v>
      </c>
      <c r="AP95" s="1">
        <v>582</v>
      </c>
      <c r="AQ95" s="4">
        <f>knicks_players_all_stats[[#This Row],[PTS]]/knicks_players_all_stats[[#This Row],[GP]]</f>
        <v>7.76</v>
      </c>
    </row>
    <row r="96" spans="1:43" x14ac:dyDescent="0.3">
      <c r="A96" s="1" t="s">
        <v>1463</v>
      </c>
      <c r="B96" s="1" t="s">
        <v>1330</v>
      </c>
      <c r="C96" s="1" t="str">
        <f>knicks_players_all_stats[[#This Row],[NAME]]&amp;" ("&amp;knicks_players_all_stats[[#This Row],[SEASON]]&amp;")"</f>
        <v>Allan Houston (2001-02)</v>
      </c>
      <c r="D96" s="1">
        <f>knicks_players_all_stats[[#This Row],[PLAYER_AGE]]/10</f>
        <v>31</v>
      </c>
      <c r="E96">
        <v>310</v>
      </c>
      <c r="F96" s="1">
        <v>77</v>
      </c>
      <c r="G96" s="1">
        <v>29150</v>
      </c>
      <c r="H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944</v>
      </c>
      <c r="I96" s="4">
        <f>knicks_players_all_stats[[#This Row],[VALORATION]]/knicks_players_all_stats[[#This Row],[GP]]</f>
        <v>12.25974025974026</v>
      </c>
      <c r="J96" s="1">
        <v>568</v>
      </c>
      <c r="K96" s="1">
        <v>1301</v>
      </c>
      <c r="L96" s="2">
        <f>knicks_players_all_stats[[#This Row],[FGM]]/knicks_players_all_stats[[#This Row],[FGA]]</f>
        <v>0.43658724058416604</v>
      </c>
      <c r="M96" s="16">
        <f>knicks_players_all_stats[[#This Row],[FG3M2]]/10</f>
        <v>136</v>
      </c>
      <c r="N96" s="1">
        <v>1360</v>
      </c>
      <c r="O96" s="1">
        <f>knicks_players_all_stats[[#This Row],[FG3A2]]/10</f>
        <v>346</v>
      </c>
      <c r="P96" s="1">
        <v>3460</v>
      </c>
      <c r="Q96" s="2">
        <f>knicks_players_all_stats[[#This Row],[FG3M2]]/knicks_players_all_stats[[#This Row],[FG3A2]]</f>
        <v>0.39306358381502893</v>
      </c>
      <c r="R96" s="1">
        <v>295</v>
      </c>
      <c r="S96" s="1">
        <v>339</v>
      </c>
      <c r="T96" s="3">
        <f>knicks_players_all_stats[[#This Row],[FTM]]/knicks_players_all_stats[[#This Row],[FTA]]</f>
        <v>0.87020648967551617</v>
      </c>
      <c r="U96" s="1">
        <f>knicks_players_all_stats[[#This Row],[OREB22]]/10</f>
        <v>37</v>
      </c>
      <c r="V96" s="1">
        <f>knicks_players_all_stats[[#This Row],[DREB33]]/10</f>
        <v>215</v>
      </c>
      <c r="W96" s="1">
        <f>knicks_players_all_stats[[#This Row],[REB44]]/10</f>
        <v>252</v>
      </c>
      <c r="X96">
        <v>370</v>
      </c>
      <c r="Y96">
        <v>2150</v>
      </c>
      <c r="Z96">
        <v>2520</v>
      </c>
      <c r="AA96" s="14">
        <f>knicks_players_all_stats[[#This Row],[REB]]/knicks_players_all_stats[[#This Row],[GP]]</f>
        <v>3.2727272727272729</v>
      </c>
      <c r="AB96" s="1">
        <v>190</v>
      </c>
      <c r="AC96" s="4">
        <f>knicks_players_all_stats[[#This Row],[AST]]/knicks_players_all_stats[[#This Row],[GP]]</f>
        <v>2.4675324675324677</v>
      </c>
      <c r="AD96" s="1">
        <f>knicks_players_all_stats[[#This Row],[STL2]]/10</f>
        <v>54</v>
      </c>
      <c r="AE96" s="1">
        <v>540</v>
      </c>
      <c r="AF96" s="4">
        <f>knicks_players_all_stats[[#This Row],[STL]]/knicks_players_all_stats[[#This Row],[GP]]</f>
        <v>0.70129870129870131</v>
      </c>
      <c r="AG96">
        <v>100</v>
      </c>
      <c r="AH96" s="1">
        <f>knicks_players_all_stats[[#This Row],[BLK2]]/10</f>
        <v>10</v>
      </c>
      <c r="AI96" s="4">
        <f>knicks_players_all_stats[[#This Row],[BLK]]/knicks_players_all_stats[[#This Row],[GP]]</f>
        <v>0.12987012987012986</v>
      </c>
      <c r="AJ96">
        <v>1700</v>
      </c>
      <c r="AK96" s="4">
        <f>knicks_players_all_stats[[#This Row],[BLKPG]]+knicks_players_all_stats[[#This Row],[STLPG]]+knicks_players_all_stats[[#This Row],[REBPG]]</f>
        <v>4.1038961038961039</v>
      </c>
      <c r="AL96" s="1">
        <f>knicks_players_all_stats[[#This Row],[TOV2]]/10</f>
        <v>170</v>
      </c>
      <c r="AM96" s="4">
        <f>knicks_players_all_stats[[#This Row],[TOV]]/knicks_players_all_stats[[#This Row],[GP]]</f>
        <v>2.2077922077922079</v>
      </c>
      <c r="AN96" s="1">
        <v>182</v>
      </c>
      <c r="AO96" s="1">
        <f>knicks_players_all_stats[[#This Row],[PF]]/knicks_players_all_stats[[#This Row],[GP]]</f>
        <v>2.3636363636363638</v>
      </c>
      <c r="AP96" s="1">
        <v>1567</v>
      </c>
      <c r="AQ96" s="4">
        <f>knicks_players_all_stats[[#This Row],[PTS]]/knicks_players_all_stats[[#This Row],[GP]]</f>
        <v>20.350649350649352</v>
      </c>
    </row>
    <row r="97" spans="1:43" customFormat="1" x14ac:dyDescent="0.3">
      <c r="A97" s="1" t="s">
        <v>1496</v>
      </c>
      <c r="B97" s="1" t="s">
        <v>1369</v>
      </c>
      <c r="C97" s="1" t="str">
        <f>knicks_players_all_stats[[#This Row],[NAME]]&amp;" ("&amp;knicks_players_all_stats[[#This Row],[SEASON]]&amp;")"</f>
        <v>Immanuel Quickley (2023-24)</v>
      </c>
      <c r="D97" s="1">
        <f>knicks_players_all_stats[[#This Row],[PLAYER_AGE]]/10</f>
        <v>25</v>
      </c>
      <c r="E97">
        <v>250</v>
      </c>
      <c r="F97" s="1">
        <v>30</v>
      </c>
      <c r="G97" s="1">
        <v>7200</v>
      </c>
      <c r="H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350</v>
      </c>
      <c r="I97" s="4">
        <f>knicks_players_all_stats[[#This Row],[VALORATION]]/knicks_players_all_stats[[#This Row],[GP]]</f>
        <v>11.666666666666666</v>
      </c>
      <c r="J97" s="1">
        <v>152</v>
      </c>
      <c r="K97" s="1">
        <v>335</v>
      </c>
      <c r="L97" s="2">
        <f>knicks_players_all_stats[[#This Row],[FGM]]/knicks_players_all_stats[[#This Row],[FGA]]</f>
        <v>0.45373134328358211</v>
      </c>
      <c r="M97" s="16">
        <f>knicks_players_all_stats[[#This Row],[FG3M2]]/10</f>
        <v>64</v>
      </c>
      <c r="N97" s="1">
        <v>640</v>
      </c>
      <c r="O97" s="1">
        <f>knicks_players_all_stats[[#This Row],[FG3A2]]/10</f>
        <v>162</v>
      </c>
      <c r="P97" s="1">
        <v>1620</v>
      </c>
      <c r="Q97" s="2">
        <f>knicks_players_all_stats[[#This Row],[FG3M2]]/knicks_players_all_stats[[#This Row],[FG3A2]]</f>
        <v>0.39506172839506171</v>
      </c>
      <c r="R97" s="1">
        <v>82</v>
      </c>
      <c r="S97" s="1">
        <v>94</v>
      </c>
      <c r="T97" s="3">
        <f>knicks_players_all_stats[[#This Row],[FTM]]/knicks_players_all_stats[[#This Row],[FTA]]</f>
        <v>0.87234042553191493</v>
      </c>
      <c r="U97" s="1">
        <f>knicks_players_all_stats[[#This Row],[OREB22]]/10</f>
        <v>5</v>
      </c>
      <c r="V97" s="1">
        <f>knicks_players_all_stats[[#This Row],[DREB33]]/10</f>
        <v>72</v>
      </c>
      <c r="W97" s="1">
        <f>knicks_players_all_stats[[#This Row],[REB44]]/10</f>
        <v>77</v>
      </c>
      <c r="X97">
        <v>50</v>
      </c>
      <c r="Y97">
        <v>720</v>
      </c>
      <c r="Z97">
        <v>770</v>
      </c>
      <c r="AA97" s="14">
        <f>knicks_players_all_stats[[#This Row],[REB]]/knicks_players_all_stats[[#This Row],[GP]]</f>
        <v>2.5666666666666669</v>
      </c>
      <c r="AB97" s="1">
        <v>74</v>
      </c>
      <c r="AC97" s="4">
        <f>knicks_players_all_stats[[#This Row],[AST]]/knicks_players_all_stats[[#This Row],[GP]]</f>
        <v>2.4666666666666668</v>
      </c>
      <c r="AD97" s="1">
        <f>knicks_players_all_stats[[#This Row],[STL2]]/10</f>
        <v>16</v>
      </c>
      <c r="AE97" s="1">
        <v>160</v>
      </c>
      <c r="AF97" s="4">
        <f>knicks_players_all_stats[[#This Row],[STL]]/knicks_players_all_stats[[#This Row],[GP]]</f>
        <v>0.53333333333333333</v>
      </c>
      <c r="AG97">
        <v>30</v>
      </c>
      <c r="AH97" s="1">
        <f>knicks_players_all_stats[[#This Row],[BLK2]]/10</f>
        <v>3</v>
      </c>
      <c r="AI97" s="4">
        <f>knicks_players_all_stats[[#This Row],[BLK]]/knicks_players_all_stats[[#This Row],[GP]]</f>
        <v>0.1</v>
      </c>
      <c r="AJ97">
        <v>310</v>
      </c>
      <c r="AK97" s="4">
        <f>knicks_players_all_stats[[#This Row],[BLKPG]]+knicks_players_all_stats[[#This Row],[STLPG]]+knicks_players_all_stats[[#This Row],[REBPG]]</f>
        <v>3.2</v>
      </c>
      <c r="AL97" s="1">
        <f>knicks_players_all_stats[[#This Row],[TOV2]]/10</f>
        <v>31</v>
      </c>
      <c r="AM97" s="4">
        <f>knicks_players_all_stats[[#This Row],[TOV]]/knicks_players_all_stats[[#This Row],[GP]]</f>
        <v>1.0333333333333334</v>
      </c>
      <c r="AN97" s="1">
        <v>44</v>
      </c>
      <c r="AO97" s="1">
        <f>knicks_players_all_stats[[#This Row],[PF]]/knicks_players_all_stats[[#This Row],[GP]]</f>
        <v>1.4666666666666666</v>
      </c>
      <c r="AP97" s="1">
        <v>450</v>
      </c>
      <c r="AQ97" s="4">
        <f>knicks_players_all_stats[[#This Row],[PTS]]/knicks_players_all_stats[[#This Row],[GP]]</f>
        <v>15</v>
      </c>
    </row>
    <row r="98" spans="1:43" x14ac:dyDescent="0.3">
      <c r="A98" s="1" t="s">
        <v>1395</v>
      </c>
      <c r="B98" s="1" t="s">
        <v>1369</v>
      </c>
      <c r="C98" s="1" t="str">
        <f>knicks_players_all_stats[[#This Row],[NAME]]&amp;" ("&amp;knicks_players_all_stats[[#This Row],[SEASON]]&amp;")"</f>
        <v>RJ Barrett (2023-24)</v>
      </c>
      <c r="D98" s="1">
        <f>knicks_players_all_stats[[#This Row],[PLAYER_AGE]]/10</f>
        <v>24</v>
      </c>
      <c r="E98">
        <v>240</v>
      </c>
      <c r="F98" s="1">
        <v>26</v>
      </c>
      <c r="G98" s="1">
        <v>7670</v>
      </c>
      <c r="H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332</v>
      </c>
      <c r="I98" s="4">
        <f>knicks_players_all_stats[[#This Row],[VALORATION]]/knicks_players_all_stats[[#This Row],[GP]]</f>
        <v>12.76923076923077</v>
      </c>
      <c r="J98" s="1">
        <v>164</v>
      </c>
      <c r="K98" s="1">
        <v>388</v>
      </c>
      <c r="L98" s="2">
        <f>knicks_players_all_stats[[#This Row],[FGM]]/knicks_players_all_stats[[#This Row],[FGA]]</f>
        <v>0.42268041237113402</v>
      </c>
      <c r="M98" s="16">
        <f>knicks_players_all_stats[[#This Row],[FG3M2]]/10</f>
        <v>43</v>
      </c>
      <c r="N98" s="1">
        <v>430</v>
      </c>
      <c r="O98" s="1">
        <f>knicks_players_all_stats[[#This Row],[FG3A2]]/10</f>
        <v>130</v>
      </c>
      <c r="P98" s="1">
        <v>1300</v>
      </c>
      <c r="Q98" s="2">
        <f>knicks_players_all_stats[[#This Row],[FG3M2]]/knicks_players_all_stats[[#This Row],[FG3A2]]</f>
        <v>0.33076923076923076</v>
      </c>
      <c r="R98" s="1">
        <v>103</v>
      </c>
      <c r="S98" s="1">
        <v>124</v>
      </c>
      <c r="T98" s="3">
        <f>knicks_players_all_stats[[#This Row],[FTM]]/knicks_players_all_stats[[#This Row],[FTA]]</f>
        <v>0.83064516129032262</v>
      </c>
      <c r="U98" s="1">
        <f>knicks_players_all_stats[[#This Row],[OREB22]]/10</f>
        <v>19</v>
      </c>
      <c r="V98" s="1">
        <f>knicks_players_all_stats[[#This Row],[DREB33]]/10</f>
        <v>92</v>
      </c>
      <c r="W98" s="1">
        <f>knicks_players_all_stats[[#This Row],[REB44]]/10</f>
        <v>111</v>
      </c>
      <c r="X98">
        <v>190</v>
      </c>
      <c r="Y98">
        <v>920</v>
      </c>
      <c r="Z98">
        <v>1110</v>
      </c>
      <c r="AA98" s="14">
        <f>knicks_players_all_stats[[#This Row],[REB]]/knicks_players_all_stats[[#This Row],[GP]]</f>
        <v>4.2692307692307692</v>
      </c>
      <c r="AB98" s="1">
        <v>63</v>
      </c>
      <c r="AC98" s="4">
        <f>knicks_players_all_stats[[#This Row],[AST]]/knicks_players_all_stats[[#This Row],[GP]]</f>
        <v>2.4230769230769229</v>
      </c>
      <c r="AD98" s="1">
        <f>knicks_players_all_stats[[#This Row],[STL2]]/10</f>
        <v>12</v>
      </c>
      <c r="AE98" s="1">
        <v>120</v>
      </c>
      <c r="AF98" s="4">
        <f>knicks_players_all_stats[[#This Row],[STL]]/knicks_players_all_stats[[#This Row],[GP]]</f>
        <v>0.46153846153846156</v>
      </c>
      <c r="AG98">
        <v>90</v>
      </c>
      <c r="AH98" s="1">
        <f>knicks_players_all_stats[[#This Row],[BLK2]]/10</f>
        <v>9</v>
      </c>
      <c r="AI98" s="4">
        <f>knicks_players_all_stats[[#This Row],[BLK]]/knicks_players_all_stats[[#This Row],[GP]]</f>
        <v>0.34615384615384615</v>
      </c>
      <c r="AJ98">
        <v>470</v>
      </c>
      <c r="AK98" s="4">
        <f>knicks_players_all_stats[[#This Row],[BLKPG]]+knicks_players_all_stats[[#This Row],[STLPG]]+knicks_players_all_stats[[#This Row],[REBPG]]</f>
        <v>5.0769230769230766</v>
      </c>
      <c r="AL98" s="1">
        <f>knicks_players_all_stats[[#This Row],[TOV2]]/10</f>
        <v>47</v>
      </c>
      <c r="AM98" s="4">
        <f>knicks_players_all_stats[[#This Row],[TOV]]/knicks_players_all_stats[[#This Row],[GP]]</f>
        <v>1.8076923076923077</v>
      </c>
      <c r="AN98" s="1">
        <v>45</v>
      </c>
      <c r="AO98" s="1">
        <f>knicks_players_all_stats[[#This Row],[PF]]/knicks_players_all_stats[[#This Row],[GP]]</f>
        <v>1.7307692307692308</v>
      </c>
      <c r="AP98" s="1">
        <v>474</v>
      </c>
      <c r="AQ98" s="4">
        <f>knicks_players_all_stats[[#This Row],[PTS]]/knicks_players_all_stats[[#This Row],[GP]]</f>
        <v>18.23076923076923</v>
      </c>
    </row>
    <row r="99" spans="1:43" x14ac:dyDescent="0.3">
      <c r="A99" s="1" t="s">
        <v>1404</v>
      </c>
      <c r="B99" s="1" t="s">
        <v>1343</v>
      </c>
      <c r="C99" s="1" t="str">
        <f>knicks_players_all_stats[[#This Row],[NAME]]&amp;" ("&amp;knicks_players_all_stats[[#This Row],[SEASON]]&amp;")"</f>
        <v>Pablo Prigioni (2014-15)</v>
      </c>
      <c r="D99" s="1">
        <f>knicks_players_all_stats[[#This Row],[PLAYER_AGE]]/10</f>
        <v>38</v>
      </c>
      <c r="E99">
        <v>380</v>
      </c>
      <c r="F99" s="1">
        <v>43</v>
      </c>
      <c r="G99" s="1">
        <v>7950</v>
      </c>
      <c r="H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241</v>
      </c>
      <c r="I99" s="4">
        <f>knicks_players_all_stats[[#This Row],[VALORATION]]/knicks_players_all_stats[[#This Row],[GP]]</f>
        <v>5.6046511627906979</v>
      </c>
      <c r="J99" s="1">
        <v>68</v>
      </c>
      <c r="K99" s="1">
        <v>161</v>
      </c>
      <c r="L99" s="2">
        <f>knicks_players_all_stats[[#This Row],[FGM]]/knicks_players_all_stats[[#This Row],[FGA]]</f>
        <v>0.42236024844720499</v>
      </c>
      <c r="M99" s="16">
        <f>knicks_players_all_stats[[#This Row],[FG3M2]]/10</f>
        <v>43</v>
      </c>
      <c r="N99" s="1">
        <v>430</v>
      </c>
      <c r="O99" s="1">
        <f>knicks_players_all_stats[[#This Row],[FG3A2]]/10</f>
        <v>115</v>
      </c>
      <c r="P99" s="1">
        <v>1150</v>
      </c>
      <c r="Q99" s="2">
        <f>knicks_players_all_stats[[#This Row],[FG3M2]]/knicks_players_all_stats[[#This Row],[FG3A2]]</f>
        <v>0.37391304347826088</v>
      </c>
      <c r="R99" s="1">
        <v>22</v>
      </c>
      <c r="S99" s="1">
        <v>26</v>
      </c>
      <c r="T99" s="3">
        <f>knicks_players_all_stats[[#This Row],[FTM]]/knicks_players_all_stats[[#This Row],[FTA]]</f>
        <v>0.84615384615384615</v>
      </c>
      <c r="U99" s="1">
        <f>knicks_players_all_stats[[#This Row],[OREB22]]/10</f>
        <v>18</v>
      </c>
      <c r="V99" s="1">
        <f>knicks_players_all_stats[[#This Row],[DREB33]]/10</f>
        <v>62</v>
      </c>
      <c r="W99" s="1">
        <f>knicks_players_all_stats[[#This Row],[REB44]]/10</f>
        <v>80</v>
      </c>
      <c r="X99">
        <v>180</v>
      </c>
      <c r="Y99">
        <v>620</v>
      </c>
      <c r="Z99">
        <v>800</v>
      </c>
      <c r="AA99" s="14">
        <f>knicks_players_all_stats[[#This Row],[REB]]/knicks_players_all_stats[[#This Row],[GP]]</f>
        <v>1.8604651162790697</v>
      </c>
      <c r="AB99" s="1">
        <v>104</v>
      </c>
      <c r="AC99" s="4">
        <f>knicks_players_all_stats[[#This Row],[AST]]/knicks_players_all_stats[[#This Row],[GP]]</f>
        <v>2.4186046511627906</v>
      </c>
      <c r="AD99" s="1">
        <f>knicks_players_all_stats[[#This Row],[STL2]]/10</f>
        <v>52</v>
      </c>
      <c r="AE99" s="1">
        <v>520</v>
      </c>
      <c r="AF99" s="4">
        <f>knicks_players_all_stats[[#This Row],[STL]]/knicks_players_all_stats[[#This Row],[GP]]</f>
        <v>1.2093023255813953</v>
      </c>
      <c r="AG99">
        <v>10</v>
      </c>
      <c r="AH99" s="1">
        <f>knicks_players_all_stats[[#This Row],[BLK2]]/10</f>
        <v>1</v>
      </c>
      <c r="AI99" s="4">
        <f>knicks_players_all_stats[[#This Row],[BLK]]/knicks_players_all_stats[[#This Row],[GP]]</f>
        <v>2.3255813953488372E-2</v>
      </c>
      <c r="AJ99">
        <v>470</v>
      </c>
      <c r="AK99" s="4">
        <f>knicks_players_all_stats[[#This Row],[BLKPG]]+knicks_players_all_stats[[#This Row],[STLPG]]+knicks_players_all_stats[[#This Row],[REBPG]]</f>
        <v>3.0930232558139537</v>
      </c>
      <c r="AL99" s="1">
        <f>knicks_players_all_stats[[#This Row],[TOV2]]/10</f>
        <v>47</v>
      </c>
      <c r="AM99" s="4">
        <f>knicks_players_all_stats[[#This Row],[TOV]]/knicks_players_all_stats[[#This Row],[GP]]</f>
        <v>1.0930232558139534</v>
      </c>
      <c r="AN99" s="1">
        <v>53</v>
      </c>
      <c r="AO99" s="1">
        <f>knicks_players_all_stats[[#This Row],[PF]]/knicks_players_all_stats[[#This Row],[GP]]</f>
        <v>1.2325581395348837</v>
      </c>
      <c r="AP99" s="1">
        <v>201</v>
      </c>
      <c r="AQ99" s="4">
        <f>knicks_players_all_stats[[#This Row],[PTS]]/knicks_players_all_stats[[#This Row],[GP]]</f>
        <v>4.6744186046511631</v>
      </c>
    </row>
    <row r="100" spans="1:43" x14ac:dyDescent="0.3">
      <c r="A100" s="1" t="s">
        <v>1451</v>
      </c>
      <c r="B100" s="1" t="s">
        <v>1290</v>
      </c>
      <c r="C100" s="1" t="str">
        <f>knicks_players_all_stats[[#This Row],[NAME]]&amp;" ("&amp;knicks_players_all_stats[[#This Row],[SEASON]]&amp;")"</f>
        <v>JR Smith (2011-12)</v>
      </c>
      <c r="D100" s="1">
        <f>knicks_players_all_stats[[#This Row],[PLAYER_AGE]]/10</f>
        <v>26</v>
      </c>
      <c r="E100">
        <v>260</v>
      </c>
      <c r="F100" s="1">
        <v>35</v>
      </c>
      <c r="G100" s="1">
        <v>9670</v>
      </c>
      <c r="H1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327</v>
      </c>
      <c r="I100" s="4">
        <f>knicks_players_all_stats[[#This Row],[VALORATION]]/knicks_players_all_stats[[#This Row],[GP]]</f>
        <v>9.3428571428571434</v>
      </c>
      <c r="J100" s="1">
        <v>165</v>
      </c>
      <c r="K100" s="1">
        <v>405</v>
      </c>
      <c r="L100" s="2">
        <f>knicks_players_all_stats[[#This Row],[FGM]]/knicks_players_all_stats[[#This Row],[FGA]]</f>
        <v>0.40740740740740738</v>
      </c>
      <c r="M100" s="16">
        <f>knicks_players_all_stats[[#This Row],[FG3M2]]/10</f>
        <v>67</v>
      </c>
      <c r="N100" s="1">
        <v>670</v>
      </c>
      <c r="O100" s="1">
        <f>knicks_players_all_stats[[#This Row],[FG3A2]]/10</f>
        <v>193</v>
      </c>
      <c r="P100" s="1">
        <v>1930</v>
      </c>
      <c r="Q100" s="2">
        <f>knicks_players_all_stats[[#This Row],[FG3M2]]/knicks_players_all_stats[[#This Row],[FG3A2]]</f>
        <v>0.34715025906735753</v>
      </c>
      <c r="R100" s="1">
        <v>39</v>
      </c>
      <c r="S100" s="1">
        <v>55</v>
      </c>
      <c r="T100" s="3">
        <f>knicks_players_all_stats[[#This Row],[FTM]]/knicks_players_all_stats[[#This Row],[FTA]]</f>
        <v>0.70909090909090911</v>
      </c>
      <c r="U100" s="1">
        <f>knicks_players_all_stats[[#This Row],[OREB22]]/10</f>
        <v>29</v>
      </c>
      <c r="V100" s="1">
        <f>knicks_players_all_stats[[#This Row],[DREB33]]/10</f>
        <v>107</v>
      </c>
      <c r="W100" s="1">
        <f>knicks_players_all_stats[[#This Row],[REB44]]/10</f>
        <v>136</v>
      </c>
      <c r="X100">
        <v>290</v>
      </c>
      <c r="Y100">
        <v>1070</v>
      </c>
      <c r="Z100">
        <v>1360</v>
      </c>
      <c r="AA100" s="14">
        <f>knicks_players_all_stats[[#This Row],[REB]]/knicks_players_all_stats[[#This Row],[GP]]</f>
        <v>3.8857142857142857</v>
      </c>
      <c r="AB100" s="1">
        <v>84</v>
      </c>
      <c r="AC100" s="4">
        <f>knicks_players_all_stats[[#This Row],[AST]]/knicks_players_all_stats[[#This Row],[GP]]</f>
        <v>2.4</v>
      </c>
      <c r="AD100" s="1">
        <f>knicks_players_all_stats[[#This Row],[STL2]]/10</f>
        <v>54</v>
      </c>
      <c r="AE100" s="1">
        <v>540</v>
      </c>
      <c r="AF100" s="4">
        <f>knicks_players_all_stats[[#This Row],[STL]]/knicks_players_all_stats[[#This Row],[GP]]</f>
        <v>1.5428571428571429</v>
      </c>
      <c r="AG100">
        <v>60</v>
      </c>
      <c r="AH100" s="1">
        <f>knicks_players_all_stats[[#This Row],[BLK2]]/10</f>
        <v>6</v>
      </c>
      <c r="AI100" s="4">
        <f>knicks_players_all_stats[[#This Row],[BLK]]/knicks_players_all_stats[[#This Row],[GP]]</f>
        <v>0.17142857142857143</v>
      </c>
      <c r="AJ100">
        <v>460</v>
      </c>
      <c r="AK100" s="4">
        <f>knicks_players_all_stats[[#This Row],[BLKPG]]+knicks_players_all_stats[[#This Row],[STLPG]]+knicks_players_all_stats[[#This Row],[REBPG]]</f>
        <v>5.6</v>
      </c>
      <c r="AL100" s="1">
        <f>knicks_players_all_stats[[#This Row],[TOV2]]/10</f>
        <v>46</v>
      </c>
      <c r="AM100" s="4">
        <f>knicks_players_all_stats[[#This Row],[TOV]]/knicks_players_all_stats[[#This Row],[GP]]</f>
        <v>1.3142857142857143</v>
      </c>
      <c r="AN100" s="1">
        <v>87</v>
      </c>
      <c r="AO100" s="1">
        <f>knicks_players_all_stats[[#This Row],[PF]]/knicks_players_all_stats[[#This Row],[GP]]</f>
        <v>2.4857142857142858</v>
      </c>
      <c r="AP100" s="1">
        <v>436</v>
      </c>
      <c r="AQ100" s="4">
        <f>knicks_players_all_stats[[#This Row],[PTS]]/knicks_players_all_stats[[#This Row],[GP]]</f>
        <v>12.457142857142857</v>
      </c>
    </row>
    <row r="101" spans="1:43" x14ac:dyDescent="0.3">
      <c r="A101" s="1" t="s">
        <v>1459</v>
      </c>
      <c r="B101" s="1" t="s">
        <v>1304</v>
      </c>
      <c r="C101" s="1" t="str">
        <f>knicks_players_all_stats[[#This Row],[NAME]]&amp;" ("&amp;knicks_players_all_stats[[#This Row],[SEASON]]&amp;")"</f>
        <v>Larry Hughes (2008-09)</v>
      </c>
      <c r="D101" s="1">
        <f>knicks_players_all_stats[[#This Row],[PLAYER_AGE]]/10</f>
        <v>30</v>
      </c>
      <c r="E101">
        <v>300</v>
      </c>
      <c r="F101" s="1">
        <v>25</v>
      </c>
      <c r="G101" s="1">
        <v>6870</v>
      </c>
      <c r="H1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200</v>
      </c>
      <c r="I101" s="4">
        <f>knicks_players_all_stats[[#This Row],[VALORATION]]/knicks_players_all_stats[[#This Row],[GP]]</f>
        <v>8</v>
      </c>
      <c r="J101" s="1">
        <v>97</v>
      </c>
      <c r="K101" s="1">
        <v>249</v>
      </c>
      <c r="L101" s="2">
        <f>knicks_players_all_stats[[#This Row],[FGM]]/knicks_players_all_stats[[#This Row],[FGA]]</f>
        <v>0.38955823293172692</v>
      </c>
      <c r="M101" s="16">
        <f>knicks_players_all_stats[[#This Row],[FG3M2]]/10</f>
        <v>35</v>
      </c>
      <c r="N101" s="1">
        <v>350</v>
      </c>
      <c r="O101" s="1">
        <f>knicks_players_all_stats[[#This Row],[FG3A2]]/10</f>
        <v>91</v>
      </c>
      <c r="P101" s="1">
        <v>910</v>
      </c>
      <c r="Q101" s="2">
        <f>knicks_players_all_stats[[#This Row],[FG3M2]]/knicks_players_all_stats[[#This Row],[FG3A2]]</f>
        <v>0.38461538461538464</v>
      </c>
      <c r="R101" s="1">
        <v>50</v>
      </c>
      <c r="S101" s="1">
        <v>63</v>
      </c>
      <c r="T101" s="3">
        <f>knicks_players_all_stats[[#This Row],[FTM]]/knicks_players_all_stats[[#This Row],[FTA]]</f>
        <v>0.79365079365079361</v>
      </c>
      <c r="U101" s="1">
        <f>knicks_players_all_stats[[#This Row],[OREB22]]/10</f>
        <v>10</v>
      </c>
      <c r="V101" s="1">
        <f>knicks_players_all_stats[[#This Row],[DREB33]]/10</f>
        <v>55</v>
      </c>
      <c r="W101" s="1">
        <f>knicks_players_all_stats[[#This Row],[REB44]]/10</f>
        <v>65</v>
      </c>
      <c r="X101">
        <v>100</v>
      </c>
      <c r="Y101">
        <v>550</v>
      </c>
      <c r="Z101">
        <v>650</v>
      </c>
      <c r="AA101" s="14">
        <f>knicks_players_all_stats[[#This Row],[REB]]/knicks_players_all_stats[[#This Row],[GP]]</f>
        <v>2.6</v>
      </c>
      <c r="AB101" s="1">
        <v>60</v>
      </c>
      <c r="AC101" s="4">
        <f>knicks_players_all_stats[[#This Row],[AST]]/knicks_players_all_stats[[#This Row],[GP]]</f>
        <v>2.4</v>
      </c>
      <c r="AD101" s="1">
        <f>knicks_players_all_stats[[#This Row],[STL2]]/10</f>
        <v>36</v>
      </c>
      <c r="AE101" s="1">
        <v>360</v>
      </c>
      <c r="AF101" s="4">
        <f>knicks_players_all_stats[[#This Row],[STL]]/knicks_players_all_stats[[#This Row],[GP]]</f>
        <v>1.44</v>
      </c>
      <c r="AG101">
        <v>50</v>
      </c>
      <c r="AH101" s="1">
        <f>knicks_players_all_stats[[#This Row],[BLK2]]/10</f>
        <v>5</v>
      </c>
      <c r="AI101" s="4">
        <f>knicks_players_all_stats[[#This Row],[BLK]]/knicks_players_all_stats[[#This Row],[GP]]</f>
        <v>0.2</v>
      </c>
      <c r="AJ101">
        <v>350</v>
      </c>
      <c r="AK101" s="4">
        <f>knicks_players_all_stats[[#This Row],[BLKPG]]+knicks_players_all_stats[[#This Row],[STLPG]]+knicks_players_all_stats[[#This Row],[REBPG]]</f>
        <v>4.24</v>
      </c>
      <c r="AL101" s="1">
        <f>knicks_players_all_stats[[#This Row],[TOV2]]/10</f>
        <v>35</v>
      </c>
      <c r="AM101" s="4">
        <f>knicks_players_all_stats[[#This Row],[TOV]]/knicks_players_all_stats[[#This Row],[GP]]</f>
        <v>1.4</v>
      </c>
      <c r="AN101" s="1">
        <v>45</v>
      </c>
      <c r="AO101" s="1">
        <f>knicks_players_all_stats[[#This Row],[PF]]/knicks_players_all_stats[[#This Row],[GP]]</f>
        <v>1.8</v>
      </c>
      <c r="AP101" s="1">
        <v>279</v>
      </c>
      <c r="AQ101" s="4">
        <f>knicks_players_all_stats[[#This Row],[PTS]]/knicks_players_all_stats[[#This Row],[GP]]</f>
        <v>11.16</v>
      </c>
    </row>
    <row r="102" spans="1:43" customFormat="1" x14ac:dyDescent="0.3">
      <c r="A102" s="1" t="s">
        <v>1700</v>
      </c>
      <c r="B102" s="1" t="s">
        <v>1303</v>
      </c>
      <c r="C102" s="1" t="str">
        <f>knicks_players_all_stats[[#This Row],[NAME]]&amp;" ("&amp;knicks_players_all_stats[[#This Row],[SEASON]]&amp;")"</f>
        <v>Fred Jones (2007-08)</v>
      </c>
      <c r="D102" s="1">
        <f>knicks_players_all_stats[[#This Row],[PLAYER_AGE]]/10</f>
        <v>29</v>
      </c>
      <c r="E102">
        <v>290</v>
      </c>
      <c r="F102" s="1">
        <v>70</v>
      </c>
      <c r="G102" s="1">
        <v>17570</v>
      </c>
      <c r="H1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434</v>
      </c>
      <c r="I102" s="4">
        <f>knicks_players_all_stats[[#This Row],[VALORATION]]/knicks_players_all_stats[[#This Row],[GP]]</f>
        <v>6.2</v>
      </c>
      <c r="J102" s="1">
        <v>182</v>
      </c>
      <c r="K102" s="1">
        <v>432</v>
      </c>
      <c r="L102" s="1">
        <v>421</v>
      </c>
      <c r="M102" s="4">
        <f>knicks_players_all_stats[[#This Row],[FG3M2]]/10</f>
        <v>74</v>
      </c>
      <c r="N102" s="1">
        <v>740</v>
      </c>
      <c r="O102" s="1">
        <f>knicks_players_all_stats[[#This Row],[FG3A2]]/10</f>
        <v>192</v>
      </c>
      <c r="P102" s="1">
        <v>1920</v>
      </c>
      <c r="Q102" s="2">
        <f>knicks_players_all_stats[[#This Row],[FG3M2]]/knicks_players_all_stats[[#This Row],[FG3A2]]</f>
        <v>0.38541666666666669</v>
      </c>
      <c r="R102" s="1">
        <v>94</v>
      </c>
      <c r="S102" s="1">
        <v>126</v>
      </c>
      <c r="T102" s="3">
        <f>knicks_players_all_stats[[#This Row],[FTM]]/knicks_players_all_stats[[#This Row],[FTA]]</f>
        <v>0.74603174603174605</v>
      </c>
      <c r="U102" s="1">
        <f>knicks_players_all_stats[[#This Row],[OREB22]]/10</f>
        <v>30</v>
      </c>
      <c r="V102" s="1">
        <f>knicks_players_all_stats[[#This Row],[DREB33]]/10</f>
        <v>140</v>
      </c>
      <c r="W102" s="1">
        <f>knicks_players_all_stats[[#This Row],[REB44]]/10</f>
        <v>170</v>
      </c>
      <c r="X102">
        <v>300</v>
      </c>
      <c r="Y102">
        <v>1400</v>
      </c>
      <c r="Z102">
        <v>1700</v>
      </c>
      <c r="AA102" s="14">
        <f>knicks_players_all_stats[[#This Row],[REB]]/knicks_players_all_stats[[#This Row],[GP]]</f>
        <v>2.4285714285714284</v>
      </c>
      <c r="AB102" s="1">
        <v>166</v>
      </c>
      <c r="AC102" s="4">
        <f>knicks_players_all_stats[[#This Row],[AST]]/knicks_players_all_stats[[#This Row],[GP]]</f>
        <v>2.3714285714285714</v>
      </c>
      <c r="AD102" s="1">
        <f>knicks_players_all_stats[[#This Row],[STL2]]/10</f>
        <v>48</v>
      </c>
      <c r="AE102" s="1">
        <v>480</v>
      </c>
      <c r="AF102" s="4">
        <f>knicks_players_all_stats[[#This Row],[STL]]/knicks_players_all_stats[[#This Row],[GP]]</f>
        <v>0.68571428571428572</v>
      </c>
      <c r="AG102">
        <v>180</v>
      </c>
      <c r="AH102" s="1">
        <f>knicks_players_all_stats[[#This Row],[BLK2]]/10</f>
        <v>18</v>
      </c>
      <c r="AI102" s="4">
        <f>knicks_players_all_stats[[#This Row],[BLK]]/knicks_players_all_stats[[#This Row],[GP]]</f>
        <v>0.25714285714285712</v>
      </c>
      <c r="AJ102">
        <v>780</v>
      </c>
      <c r="AK102" s="4">
        <f>knicks_players_all_stats[[#This Row],[BLKPG]]+knicks_players_all_stats[[#This Row],[STLPG]]+knicks_players_all_stats[[#This Row],[REBPG]]</f>
        <v>3.371428571428571</v>
      </c>
      <c r="AL102" s="1">
        <f>knicks_players_all_stats[[#This Row],[TOV2]]/10</f>
        <v>78</v>
      </c>
      <c r="AM102" s="4">
        <f>knicks_players_all_stats[[#This Row],[TOV]]/knicks_players_all_stats[[#This Row],[GP]]</f>
        <v>1.1142857142857143</v>
      </c>
      <c r="AN102" s="1">
        <v>140</v>
      </c>
      <c r="AO102" s="1">
        <f>knicks_players_all_stats[[#This Row],[PF]]/knicks_players_all_stats[[#This Row],[GP]]</f>
        <v>2</v>
      </c>
      <c r="AP102" s="1">
        <v>532</v>
      </c>
      <c r="AQ102" s="4">
        <f>knicks_players_all_stats[[#This Row],[PTS]]/knicks_players_all_stats[[#This Row],[GP]]</f>
        <v>7.6</v>
      </c>
    </row>
    <row r="103" spans="1:43" customFormat="1" x14ac:dyDescent="0.3">
      <c r="A103" s="1" t="s">
        <v>1553</v>
      </c>
      <c r="B103" s="1" t="s">
        <v>1259</v>
      </c>
      <c r="C103" s="1" t="str">
        <f>knicks_players_all_stats[[#This Row],[NAME]]&amp;" ("&amp;knicks_players_all_stats[[#This Row],[SEASON]]&amp;")"</f>
        <v>Courtney Lee (2017-18)</v>
      </c>
      <c r="D103" s="1">
        <f>knicks_players_all_stats[[#This Row],[PLAYER_AGE]]/10</f>
        <v>32</v>
      </c>
      <c r="E103">
        <v>320</v>
      </c>
      <c r="F103" s="1">
        <v>76</v>
      </c>
      <c r="G103" s="1">
        <v>23100</v>
      </c>
      <c r="H1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799</v>
      </c>
      <c r="I103" s="4">
        <f>knicks_players_all_stats[[#This Row],[VALORATION]]/knicks_players_all_stats[[#This Row],[GP]]</f>
        <v>10.513157894736842</v>
      </c>
      <c r="J103" s="1">
        <v>343</v>
      </c>
      <c r="K103" s="1">
        <v>755</v>
      </c>
      <c r="L103" s="2">
        <f>knicks_players_all_stats[[#This Row],[FGM]]/knicks_players_all_stats[[#This Row],[FGA]]</f>
        <v>0.45430463576158941</v>
      </c>
      <c r="M103" s="16">
        <f>knicks_players_all_stats[[#This Row],[FG3M2]]/10</f>
        <v>113</v>
      </c>
      <c r="N103" s="1">
        <v>1130</v>
      </c>
      <c r="O103" s="1">
        <f>knicks_players_all_stats[[#This Row],[FG3A2]]/10</f>
        <v>278</v>
      </c>
      <c r="P103" s="1">
        <v>2780</v>
      </c>
      <c r="Q103" s="2">
        <f>knicks_players_all_stats[[#This Row],[FG3M2]]/knicks_players_all_stats[[#This Row],[FG3A2]]</f>
        <v>0.40647482014388492</v>
      </c>
      <c r="R103" s="1">
        <v>114</v>
      </c>
      <c r="S103" s="1">
        <v>124</v>
      </c>
      <c r="T103" s="3">
        <f>knicks_players_all_stats[[#This Row],[FTM]]/knicks_players_all_stats[[#This Row],[FTA]]</f>
        <v>0.91935483870967738</v>
      </c>
      <c r="U103" s="1">
        <f>knicks_players_all_stats[[#This Row],[OREB22]]/10</f>
        <v>30</v>
      </c>
      <c r="V103" s="1">
        <f>knicks_players_all_stats[[#This Row],[DREB33]]/10</f>
        <v>194</v>
      </c>
      <c r="W103" s="1">
        <f>knicks_players_all_stats[[#This Row],[REB44]]/10</f>
        <v>224</v>
      </c>
      <c r="X103">
        <v>300</v>
      </c>
      <c r="Y103">
        <v>1940</v>
      </c>
      <c r="Z103">
        <v>2240</v>
      </c>
      <c r="AA103" s="14">
        <f>knicks_players_all_stats[[#This Row],[REB]]/knicks_players_all_stats[[#This Row],[GP]]</f>
        <v>2.9473684210526314</v>
      </c>
      <c r="AB103" s="1">
        <v>180</v>
      </c>
      <c r="AC103" s="4">
        <f>knicks_players_all_stats[[#This Row],[AST]]/knicks_players_all_stats[[#This Row],[GP]]</f>
        <v>2.3684210526315788</v>
      </c>
      <c r="AD103" s="1">
        <f>knicks_players_all_stats[[#This Row],[STL2]]/10</f>
        <v>80</v>
      </c>
      <c r="AE103" s="1">
        <v>800</v>
      </c>
      <c r="AF103" s="4">
        <f>knicks_players_all_stats[[#This Row],[STL]]/knicks_players_all_stats[[#This Row],[GP]]</f>
        <v>1.0526315789473684</v>
      </c>
      <c r="AG103">
        <v>170</v>
      </c>
      <c r="AH103" s="1">
        <f>knicks_players_all_stats[[#This Row],[BLK2]]/10</f>
        <v>17</v>
      </c>
      <c r="AI103" s="4">
        <f>knicks_players_all_stats[[#This Row],[BLK]]/knicks_players_all_stats[[#This Row],[GP]]</f>
        <v>0.22368421052631579</v>
      </c>
      <c r="AJ103">
        <v>840</v>
      </c>
      <c r="AK103" s="4">
        <f>knicks_players_all_stats[[#This Row],[BLKPG]]+knicks_players_all_stats[[#This Row],[STLPG]]+knicks_players_all_stats[[#This Row],[REBPG]]</f>
        <v>4.223684210526315</v>
      </c>
      <c r="AL103" s="1">
        <f>knicks_players_all_stats[[#This Row],[TOV2]]/10</f>
        <v>84</v>
      </c>
      <c r="AM103" s="4">
        <f>knicks_players_all_stats[[#This Row],[TOV]]/knicks_players_all_stats[[#This Row],[GP]]</f>
        <v>1.1052631578947369</v>
      </c>
      <c r="AN103" s="1">
        <v>109</v>
      </c>
      <c r="AO103" s="1">
        <f>knicks_players_all_stats[[#This Row],[PF]]/knicks_players_all_stats[[#This Row],[GP]]</f>
        <v>1.4342105263157894</v>
      </c>
      <c r="AP103" s="1">
        <v>913</v>
      </c>
      <c r="AQ103" s="4">
        <f>knicks_players_all_stats[[#This Row],[PTS]]/knicks_players_all_stats[[#This Row],[GP]]</f>
        <v>12.013157894736842</v>
      </c>
    </row>
    <row r="104" spans="1:43" customFormat="1" x14ac:dyDescent="0.3">
      <c r="A104" s="1" t="s">
        <v>1661</v>
      </c>
      <c r="B104" s="1" t="s">
        <v>1279</v>
      </c>
      <c r="C104" s="1" t="str">
        <f>knicks_players_all_stats[[#This Row],[NAME]]&amp;" ("&amp;knicks_players_all_stats[[#This Row],[SEASON]]&amp;")"</f>
        <v>Jerian Grant (2015-16)</v>
      </c>
      <c r="D104" s="1">
        <f>knicks_players_all_stats[[#This Row],[PLAYER_AGE]]/10</f>
        <v>23</v>
      </c>
      <c r="E104">
        <v>230</v>
      </c>
      <c r="F104" s="1">
        <v>76</v>
      </c>
      <c r="G104" s="1">
        <v>12650</v>
      </c>
      <c r="H1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358</v>
      </c>
      <c r="I104" s="4">
        <f>knicks_players_all_stats[[#This Row],[VALORATION]]/knicks_players_all_stats[[#This Row],[GP]]</f>
        <v>4.7105263157894735</v>
      </c>
      <c r="J104" s="1">
        <v>154</v>
      </c>
      <c r="K104" s="1">
        <v>391</v>
      </c>
      <c r="L104" s="1">
        <v>394</v>
      </c>
      <c r="M104" s="4">
        <f>knicks_players_all_stats[[#This Row],[FG3M2]]/10</f>
        <v>22</v>
      </c>
      <c r="N104" s="1">
        <v>220</v>
      </c>
      <c r="O104" s="1">
        <f>knicks_players_all_stats[[#This Row],[FG3A2]]/10</f>
        <v>100</v>
      </c>
      <c r="P104" s="1">
        <v>1000</v>
      </c>
      <c r="Q104" s="2">
        <f>knicks_players_all_stats[[#This Row],[FG3M2]]/knicks_players_all_stats[[#This Row],[FG3A2]]</f>
        <v>0.22</v>
      </c>
      <c r="R104" s="1">
        <v>96</v>
      </c>
      <c r="S104" s="1">
        <v>123</v>
      </c>
      <c r="T104" s="3">
        <f>knicks_players_all_stats[[#This Row],[FTM]]/knicks_players_all_stats[[#This Row],[FTA]]</f>
        <v>0.78048780487804881</v>
      </c>
      <c r="U104" s="1">
        <f>knicks_players_all_stats[[#This Row],[OREB22]]/10</f>
        <v>23</v>
      </c>
      <c r="V104" s="1">
        <f>knicks_players_all_stats[[#This Row],[DREB33]]/10</f>
        <v>120</v>
      </c>
      <c r="W104" s="1">
        <f>knicks_players_all_stats[[#This Row],[REB44]]/10</f>
        <v>143</v>
      </c>
      <c r="X104">
        <v>230</v>
      </c>
      <c r="Y104">
        <v>1200</v>
      </c>
      <c r="Z104">
        <v>1430</v>
      </c>
      <c r="AA104" s="14">
        <f>knicks_players_all_stats[[#This Row],[REB]]/knicks_players_all_stats[[#This Row],[GP]]</f>
        <v>1.881578947368421</v>
      </c>
      <c r="AB104" s="1">
        <v>177</v>
      </c>
      <c r="AC104" s="4">
        <f>knicks_players_all_stats[[#This Row],[AST]]/knicks_players_all_stats[[#This Row],[GP]]</f>
        <v>2.3289473684210527</v>
      </c>
      <c r="AD104" s="1">
        <f>knicks_players_all_stats[[#This Row],[STL2]]/10</f>
        <v>50</v>
      </c>
      <c r="AE104" s="1">
        <v>500</v>
      </c>
      <c r="AF104" s="4">
        <f>knicks_players_all_stats[[#This Row],[STL]]/knicks_players_all_stats[[#This Row],[GP]]</f>
        <v>0.65789473684210531</v>
      </c>
      <c r="AG104">
        <v>100</v>
      </c>
      <c r="AH104" s="1">
        <f>knicks_players_all_stats[[#This Row],[BLK2]]/10</f>
        <v>10</v>
      </c>
      <c r="AI104" s="4">
        <f>knicks_players_all_stats[[#This Row],[BLK]]/knicks_players_all_stats[[#This Row],[GP]]</f>
        <v>0.13157894736842105</v>
      </c>
      <c r="AJ104">
        <v>870</v>
      </c>
      <c r="AK104" s="4">
        <f>knicks_players_all_stats[[#This Row],[BLKPG]]+knicks_players_all_stats[[#This Row],[STLPG]]+knicks_players_all_stats[[#This Row],[REBPG]]</f>
        <v>2.6710526315789473</v>
      </c>
      <c r="AL104" s="1">
        <f>knicks_players_all_stats[[#This Row],[TOV2]]/10</f>
        <v>87</v>
      </c>
      <c r="AM104" s="4">
        <f>knicks_players_all_stats[[#This Row],[TOV]]/knicks_players_all_stats[[#This Row],[GP]]</f>
        <v>1.1447368421052631</v>
      </c>
      <c r="AN104" s="1">
        <v>97</v>
      </c>
      <c r="AO104" s="1">
        <f>knicks_players_all_stats[[#This Row],[PF]]/knicks_players_all_stats[[#This Row],[GP]]</f>
        <v>1.2763157894736843</v>
      </c>
      <c r="AP104" s="1">
        <v>426</v>
      </c>
      <c r="AQ104" s="4">
        <f>knicks_players_all_stats[[#This Row],[PTS]]/knicks_players_all_stats[[#This Row],[GP]]</f>
        <v>5.6052631578947372</v>
      </c>
    </row>
    <row r="105" spans="1:43" customFormat="1" x14ac:dyDescent="0.3">
      <c r="A105" s="1" t="s">
        <v>1553</v>
      </c>
      <c r="B105" s="1" t="s">
        <v>1281</v>
      </c>
      <c r="C105" s="1" t="str">
        <f>knicks_players_all_stats[[#This Row],[NAME]]&amp;" ("&amp;knicks_players_all_stats[[#This Row],[SEASON]]&amp;")"</f>
        <v>Courtney Lee (2016-17)</v>
      </c>
      <c r="D105" s="1">
        <f>knicks_players_all_stats[[#This Row],[PLAYER_AGE]]/10</f>
        <v>31</v>
      </c>
      <c r="E105">
        <v>310</v>
      </c>
      <c r="F105" s="1">
        <v>77</v>
      </c>
      <c r="G105" s="1">
        <v>24590</v>
      </c>
      <c r="H1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772</v>
      </c>
      <c r="I105" s="4">
        <f>knicks_players_all_stats[[#This Row],[VALORATION]]/knicks_players_all_stats[[#This Row],[GP]]</f>
        <v>10.025974025974026</v>
      </c>
      <c r="J105" s="1">
        <v>321</v>
      </c>
      <c r="K105" s="1">
        <v>704</v>
      </c>
      <c r="L105" s="2">
        <f>knicks_players_all_stats[[#This Row],[FGM]]/knicks_players_all_stats[[#This Row],[FGA]]</f>
        <v>0.45596590909090912</v>
      </c>
      <c r="M105" s="16">
        <f>knicks_players_all_stats[[#This Row],[FG3M2]]/10</f>
        <v>108</v>
      </c>
      <c r="N105" s="1">
        <v>1080</v>
      </c>
      <c r="O105" s="1">
        <f>knicks_players_all_stats[[#This Row],[FG3A2]]/10</f>
        <v>269</v>
      </c>
      <c r="P105" s="1">
        <v>2690</v>
      </c>
      <c r="Q105" s="2">
        <f>knicks_players_all_stats[[#This Row],[FG3M2]]/knicks_players_all_stats[[#This Row],[FG3A2]]</f>
        <v>0.40148698884758366</v>
      </c>
      <c r="R105" s="1">
        <v>85</v>
      </c>
      <c r="S105" s="1">
        <v>98</v>
      </c>
      <c r="T105" s="3">
        <f>knicks_players_all_stats[[#This Row],[FTM]]/knicks_players_all_stats[[#This Row],[FTA]]</f>
        <v>0.86734693877551017</v>
      </c>
      <c r="U105" s="1">
        <f>knicks_players_all_stats[[#This Row],[OREB22]]/10</f>
        <v>53</v>
      </c>
      <c r="V105" s="1">
        <f>knicks_players_all_stats[[#This Row],[DREB33]]/10</f>
        <v>206</v>
      </c>
      <c r="W105" s="1">
        <f>knicks_players_all_stats[[#This Row],[REB44]]/10</f>
        <v>259</v>
      </c>
      <c r="X105">
        <v>530</v>
      </c>
      <c r="Y105">
        <v>2060</v>
      </c>
      <c r="Z105">
        <v>2590</v>
      </c>
      <c r="AA105" s="14">
        <f>knicks_players_all_stats[[#This Row],[REB]]/knicks_players_all_stats[[#This Row],[GP]]</f>
        <v>3.3636363636363638</v>
      </c>
      <c r="AB105" s="1">
        <v>179</v>
      </c>
      <c r="AC105" s="4">
        <f>knicks_players_all_stats[[#This Row],[AST]]/knicks_players_all_stats[[#This Row],[GP]]</f>
        <v>2.3246753246753249</v>
      </c>
      <c r="AD105" s="1">
        <f>knicks_players_all_stats[[#This Row],[STL2]]/10</f>
        <v>81</v>
      </c>
      <c r="AE105" s="1">
        <v>810</v>
      </c>
      <c r="AF105" s="4">
        <f>knicks_players_all_stats[[#This Row],[STL]]/knicks_players_all_stats[[#This Row],[GP]]</f>
        <v>1.051948051948052</v>
      </c>
      <c r="AG105">
        <v>240</v>
      </c>
      <c r="AH105" s="1">
        <f>knicks_players_all_stats[[#This Row],[BLK2]]/10</f>
        <v>24</v>
      </c>
      <c r="AI105" s="4">
        <f>knicks_players_all_stats[[#This Row],[BLK]]/knicks_players_all_stats[[#This Row],[GP]]</f>
        <v>0.31168831168831168</v>
      </c>
      <c r="AJ105">
        <v>690</v>
      </c>
      <c r="AK105" s="4">
        <f>knicks_players_all_stats[[#This Row],[BLKPG]]+knicks_players_all_stats[[#This Row],[STLPG]]+knicks_players_all_stats[[#This Row],[REBPG]]</f>
        <v>4.7272727272727275</v>
      </c>
      <c r="AL105" s="1">
        <f>knicks_players_all_stats[[#This Row],[TOV2]]/10</f>
        <v>69</v>
      </c>
      <c r="AM105" s="4">
        <f>knicks_players_all_stats[[#This Row],[TOV]]/knicks_players_all_stats[[#This Row],[GP]]</f>
        <v>0.89610389610389607</v>
      </c>
      <c r="AN105" s="1">
        <v>141</v>
      </c>
      <c r="AO105" s="1">
        <f>knicks_players_all_stats[[#This Row],[PF]]/knicks_players_all_stats[[#This Row],[GP]]</f>
        <v>1.8311688311688312</v>
      </c>
      <c r="AP105" s="1">
        <v>835</v>
      </c>
      <c r="AQ105" s="4">
        <f>knicks_players_all_stats[[#This Row],[PTS]]/knicks_players_all_stats[[#This Row],[GP]]</f>
        <v>10.844155844155845</v>
      </c>
    </row>
    <row r="106" spans="1:43" customFormat="1" x14ac:dyDescent="0.3">
      <c r="A106" s="1" t="s">
        <v>1483</v>
      </c>
      <c r="B106" s="1" t="s">
        <v>1312</v>
      </c>
      <c r="C106" s="1" t="str">
        <f>knicks_players_all_stats[[#This Row],[NAME]]&amp;" ("&amp;knicks_players_all_stats[[#This Row],[SEASON]]&amp;")"</f>
        <v>Anthony Carter (2010-11)</v>
      </c>
      <c r="D106" s="1">
        <f>knicks_players_all_stats[[#This Row],[PLAYER_AGE]]/10</f>
        <v>36</v>
      </c>
      <c r="E106">
        <v>360</v>
      </c>
      <c r="F106" s="1">
        <v>19</v>
      </c>
      <c r="G106" s="1">
        <v>3100</v>
      </c>
      <c r="H1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</v>
      </c>
      <c r="I106" s="4">
        <f>knicks_players_all_stats[[#This Row],[VALORATION]]/knicks_players_all_stats[[#This Row],[GP]]</f>
        <v>4.8947368421052628</v>
      </c>
      <c r="J106" s="1">
        <v>35</v>
      </c>
      <c r="K106" s="1">
        <v>76</v>
      </c>
      <c r="L106" s="2">
        <f>knicks_players_all_stats[[#This Row],[FGM]]/knicks_players_all_stats[[#This Row],[FGA]]</f>
        <v>0.46052631578947367</v>
      </c>
      <c r="M106" s="16">
        <f>knicks_players_all_stats[[#This Row],[FG3M2]]/10</f>
        <v>8</v>
      </c>
      <c r="N106" s="1">
        <v>80</v>
      </c>
      <c r="O106" s="1">
        <f>knicks_players_all_stats[[#This Row],[FG3A2]]/10</f>
        <v>28</v>
      </c>
      <c r="P106" s="1">
        <v>280</v>
      </c>
      <c r="Q106" s="2">
        <f>knicks_players_all_stats[[#This Row],[FG3M2]]/knicks_players_all_stats[[#This Row],[FG3A2]]</f>
        <v>0.2857142857142857</v>
      </c>
      <c r="R106" s="1">
        <v>6</v>
      </c>
      <c r="S106" s="1">
        <v>6</v>
      </c>
      <c r="T106" s="3">
        <f>knicks_players_all_stats[[#This Row],[FTM]]/knicks_players_all_stats[[#This Row],[FTA]]</f>
        <v>1</v>
      </c>
      <c r="U106" s="1">
        <f>knicks_players_all_stats[[#This Row],[OREB22]]/10</f>
        <v>7</v>
      </c>
      <c r="V106" s="1">
        <f>knicks_players_all_stats[[#This Row],[DREB33]]/10</f>
        <v>32</v>
      </c>
      <c r="W106" s="1">
        <f>knicks_players_all_stats[[#This Row],[REB44]]/10</f>
        <v>39</v>
      </c>
      <c r="X106">
        <v>70</v>
      </c>
      <c r="Y106">
        <v>320</v>
      </c>
      <c r="Z106">
        <v>390</v>
      </c>
      <c r="AA106" s="14">
        <f>knicks_players_all_stats[[#This Row],[REB]]/knicks_players_all_stats[[#This Row],[GP]]</f>
        <v>2.0526315789473686</v>
      </c>
      <c r="AB106" s="1">
        <v>43</v>
      </c>
      <c r="AC106" s="4">
        <f>knicks_players_all_stats[[#This Row],[AST]]/knicks_players_all_stats[[#This Row],[GP]]</f>
        <v>2.263157894736842</v>
      </c>
      <c r="AD106" s="1">
        <f>knicks_players_all_stats[[#This Row],[STL2]]/10</f>
        <v>18</v>
      </c>
      <c r="AE106" s="1">
        <v>180</v>
      </c>
      <c r="AF106" s="4">
        <f>knicks_players_all_stats[[#This Row],[STL]]/knicks_players_all_stats[[#This Row],[GP]]</f>
        <v>0.94736842105263153</v>
      </c>
      <c r="AG106">
        <v>50</v>
      </c>
      <c r="AH106" s="1">
        <f>knicks_players_all_stats[[#This Row],[BLK2]]/10</f>
        <v>5</v>
      </c>
      <c r="AI106" s="4">
        <f>knicks_players_all_stats[[#This Row],[BLK]]/knicks_players_all_stats[[#This Row],[GP]]</f>
        <v>0.26315789473684209</v>
      </c>
      <c r="AJ106">
        <v>250</v>
      </c>
      <c r="AK106" s="4">
        <f>knicks_players_all_stats[[#This Row],[BLKPG]]+knicks_players_all_stats[[#This Row],[STLPG]]+knicks_players_all_stats[[#This Row],[REBPG]]</f>
        <v>3.2631578947368425</v>
      </c>
      <c r="AL106" s="1">
        <f>knicks_players_all_stats[[#This Row],[TOV2]]/10</f>
        <v>25</v>
      </c>
      <c r="AM106" s="4">
        <f>knicks_players_all_stats[[#This Row],[TOV]]/knicks_players_all_stats[[#This Row],[GP]]</f>
        <v>1.3157894736842106</v>
      </c>
      <c r="AN106" s="1">
        <v>30</v>
      </c>
      <c r="AO106" s="1">
        <f>knicks_players_all_stats[[#This Row],[PF]]/knicks_players_all_stats[[#This Row],[GP]]</f>
        <v>1.5789473684210527</v>
      </c>
      <c r="AP106" s="1">
        <v>84</v>
      </c>
      <c r="AQ106" s="4">
        <f>knicks_players_all_stats[[#This Row],[PTS]]/knicks_players_all_stats[[#This Row],[GP]]</f>
        <v>4.4210526315789478</v>
      </c>
    </row>
    <row r="107" spans="1:43" customFormat="1" x14ac:dyDescent="0.3">
      <c r="A107" s="1" t="s">
        <v>1309</v>
      </c>
      <c r="B107" s="1" t="s">
        <v>1281</v>
      </c>
      <c r="C107" s="1" t="str">
        <f>knicks_players_all_stats[[#This Row],[NAME]]&amp;" ("&amp;knicks_players_all_stats[[#This Row],[SEASON]]&amp;")"</f>
        <v>Joakim Noah (2016-17)</v>
      </c>
      <c r="D107" s="1">
        <f>knicks_players_all_stats[[#This Row],[PLAYER_AGE]]/10</f>
        <v>32</v>
      </c>
      <c r="E107">
        <v>320</v>
      </c>
      <c r="F107" s="1">
        <v>46</v>
      </c>
      <c r="G107" s="1">
        <v>10150</v>
      </c>
      <c r="H1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473</v>
      </c>
      <c r="I107" s="4">
        <f>knicks_players_all_stats[[#This Row],[VALORATION]]/knicks_players_all_stats[[#This Row],[GP]]</f>
        <v>10.282608695652174</v>
      </c>
      <c r="J107" s="1">
        <v>99</v>
      </c>
      <c r="K107" s="1">
        <v>202</v>
      </c>
      <c r="L107" s="2">
        <f>knicks_players_all_stats[[#This Row],[FGM]]/knicks_players_all_stats[[#This Row],[FGA]]</f>
        <v>0.49009900990099009</v>
      </c>
      <c r="M107" s="16">
        <f>knicks_players_all_stats[[#This Row],[FG3M2]]/10</f>
        <v>0</v>
      </c>
      <c r="N107" s="1">
        <v>0</v>
      </c>
      <c r="O107" s="1">
        <f>knicks_players_all_stats[[#This Row],[FG3A2]]/10</f>
        <v>1</v>
      </c>
      <c r="P107" s="1">
        <v>10</v>
      </c>
      <c r="Q107" s="2">
        <f>knicks_players_all_stats[[#This Row],[FG3M2]]/knicks_players_all_stats[[#This Row],[FG3A2]]</f>
        <v>0</v>
      </c>
      <c r="R107" s="1">
        <v>34</v>
      </c>
      <c r="S107" s="1">
        <v>78</v>
      </c>
      <c r="T107" s="3">
        <f>knicks_players_all_stats[[#This Row],[FTM]]/knicks_players_all_stats[[#This Row],[FTA]]</f>
        <v>0.4358974358974359</v>
      </c>
      <c r="U107" s="1">
        <f>knicks_players_all_stats[[#This Row],[OREB22]]/10</f>
        <v>162</v>
      </c>
      <c r="V107" s="1">
        <f>knicks_players_all_stats[[#This Row],[DREB33]]/10</f>
        <v>241</v>
      </c>
      <c r="W107" s="1">
        <f>knicks_players_all_stats[[#This Row],[REB44]]/10</f>
        <v>403</v>
      </c>
      <c r="X107">
        <v>1620</v>
      </c>
      <c r="Y107">
        <v>2410</v>
      </c>
      <c r="Z107">
        <v>4030</v>
      </c>
      <c r="AA107" s="14">
        <f>knicks_players_all_stats[[#This Row],[REB]]/knicks_players_all_stats[[#This Row],[GP]]</f>
        <v>8.7608695652173907</v>
      </c>
      <c r="AB107" s="1">
        <v>103</v>
      </c>
      <c r="AC107" s="4">
        <f>knicks_players_all_stats[[#This Row],[AST]]/knicks_players_all_stats[[#This Row],[GP]]</f>
        <v>2.2391304347826089</v>
      </c>
      <c r="AD107" s="1">
        <f>knicks_players_all_stats[[#This Row],[STL2]]/10</f>
        <v>30</v>
      </c>
      <c r="AE107" s="1">
        <v>300</v>
      </c>
      <c r="AF107" s="4">
        <f>knicks_players_all_stats[[#This Row],[STL]]/knicks_players_all_stats[[#This Row],[GP]]</f>
        <v>0.65217391304347827</v>
      </c>
      <c r="AG107">
        <v>370</v>
      </c>
      <c r="AH107" s="1">
        <f>knicks_players_all_stats[[#This Row],[BLK2]]/10</f>
        <v>37</v>
      </c>
      <c r="AI107" s="4">
        <f>knicks_players_all_stats[[#This Row],[BLK]]/knicks_players_all_stats[[#This Row],[GP]]</f>
        <v>0.80434782608695654</v>
      </c>
      <c r="AJ107">
        <v>580</v>
      </c>
      <c r="AK107" s="4">
        <f>knicks_players_all_stats[[#This Row],[BLKPG]]+knicks_players_all_stats[[#This Row],[STLPG]]+knicks_players_all_stats[[#This Row],[REBPG]]</f>
        <v>10.217391304347826</v>
      </c>
      <c r="AL107" s="1">
        <f>knicks_players_all_stats[[#This Row],[TOV2]]/10</f>
        <v>58</v>
      </c>
      <c r="AM107" s="4">
        <f>knicks_players_all_stats[[#This Row],[TOV]]/knicks_players_all_stats[[#This Row],[GP]]</f>
        <v>1.2608695652173914</v>
      </c>
      <c r="AN107" s="1">
        <v>127</v>
      </c>
      <c r="AO107" s="1">
        <f>knicks_players_all_stats[[#This Row],[PF]]/knicks_players_all_stats[[#This Row],[GP]]</f>
        <v>2.7608695652173911</v>
      </c>
      <c r="AP107" s="1">
        <v>232</v>
      </c>
      <c r="AQ107" s="4">
        <f>knicks_players_all_stats[[#This Row],[PTS]]/knicks_players_all_stats[[#This Row],[GP]]</f>
        <v>5.0434782608695654</v>
      </c>
    </row>
    <row r="108" spans="1:43" customFormat="1" x14ac:dyDescent="0.3">
      <c r="A108" s="1" t="s">
        <v>1463</v>
      </c>
      <c r="B108" s="1" t="s">
        <v>1465</v>
      </c>
      <c r="C108" s="1" t="str">
        <f>knicks_players_all_stats[[#This Row],[NAME]]&amp;" ("&amp;knicks_players_all_stats[[#This Row],[SEASON]]&amp;")"</f>
        <v>Allan Houston (2000-01)</v>
      </c>
      <c r="D108" s="1">
        <f>knicks_players_all_stats[[#This Row],[PLAYER_AGE]]/10</f>
        <v>30</v>
      </c>
      <c r="E108">
        <v>300</v>
      </c>
      <c r="F108" s="1">
        <v>78</v>
      </c>
      <c r="G108" s="1">
        <v>28580</v>
      </c>
      <c r="H1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932</v>
      </c>
      <c r="I108" s="4">
        <f>knicks_players_all_stats[[#This Row],[VALORATION]]/knicks_players_all_stats[[#This Row],[GP]]</f>
        <v>11.948717948717949</v>
      </c>
      <c r="J108" s="1">
        <v>542</v>
      </c>
      <c r="K108" s="1">
        <v>1208</v>
      </c>
      <c r="L108" s="2">
        <f>knicks_players_all_stats[[#This Row],[FGM]]/knicks_players_all_stats[[#This Row],[FGA]]</f>
        <v>0.44867549668874174</v>
      </c>
      <c r="M108" s="16">
        <f>knicks_players_all_stats[[#This Row],[FG3M2]]/10</f>
        <v>96</v>
      </c>
      <c r="N108" s="1">
        <v>960</v>
      </c>
      <c r="O108" s="1">
        <f>knicks_players_all_stats[[#This Row],[FG3A2]]/10</f>
        <v>252</v>
      </c>
      <c r="P108" s="1">
        <v>2520</v>
      </c>
      <c r="Q108" s="2">
        <f>knicks_players_all_stats[[#This Row],[FG3M2]]/knicks_players_all_stats[[#This Row],[FG3A2]]</f>
        <v>0.38095238095238093</v>
      </c>
      <c r="R108" s="1">
        <v>279</v>
      </c>
      <c r="S108" s="1">
        <v>307</v>
      </c>
      <c r="T108" s="3">
        <f>knicks_players_all_stats[[#This Row],[FTM]]/knicks_players_all_stats[[#This Row],[FTA]]</f>
        <v>0.90879478827361559</v>
      </c>
      <c r="U108" s="1">
        <f>knicks_players_all_stats[[#This Row],[OREB22]]/10</f>
        <v>20</v>
      </c>
      <c r="V108" s="1">
        <f>knicks_players_all_stats[[#This Row],[DREB33]]/10</f>
        <v>263</v>
      </c>
      <c r="W108" s="1">
        <f>knicks_players_all_stats[[#This Row],[REB44]]/10</f>
        <v>283</v>
      </c>
      <c r="X108">
        <v>200</v>
      </c>
      <c r="Y108">
        <v>2630</v>
      </c>
      <c r="Z108">
        <v>2830</v>
      </c>
      <c r="AA108" s="14">
        <f>knicks_players_all_stats[[#This Row],[REB]]/knicks_players_all_stats[[#This Row],[GP]]</f>
        <v>3.6282051282051282</v>
      </c>
      <c r="AB108" s="1">
        <v>173</v>
      </c>
      <c r="AC108" s="4">
        <f>knicks_players_all_stats[[#This Row],[AST]]/knicks_players_all_stats[[#This Row],[GP]]</f>
        <v>2.2179487179487181</v>
      </c>
      <c r="AD108" s="1">
        <f>knicks_players_all_stats[[#This Row],[STL2]]/10</f>
        <v>52</v>
      </c>
      <c r="AE108" s="1">
        <v>520</v>
      </c>
      <c r="AF108" s="4">
        <f>knicks_players_all_stats[[#This Row],[STL]]/knicks_players_all_stats[[#This Row],[GP]]</f>
        <v>0.66666666666666663</v>
      </c>
      <c r="AG108">
        <v>100</v>
      </c>
      <c r="AH108" s="1">
        <f>knicks_players_all_stats[[#This Row],[BLK2]]/10</f>
        <v>10</v>
      </c>
      <c r="AI108" s="4">
        <f>knicks_players_all_stats[[#This Row],[BLK]]/knicks_players_all_stats[[#This Row],[GP]]</f>
        <v>0.12820512820512819</v>
      </c>
      <c r="AJ108">
        <v>1610</v>
      </c>
      <c r="AK108" s="4">
        <f>knicks_players_all_stats[[#This Row],[BLKPG]]+knicks_players_all_stats[[#This Row],[STLPG]]+knicks_players_all_stats[[#This Row],[REBPG]]</f>
        <v>4.4230769230769234</v>
      </c>
      <c r="AL108" s="1">
        <f>knicks_players_all_stats[[#This Row],[TOV2]]/10</f>
        <v>161</v>
      </c>
      <c r="AM108" s="4">
        <f>knicks_players_all_stats[[#This Row],[TOV]]/knicks_players_all_stats[[#This Row],[GP]]</f>
        <v>2.0641025641025643</v>
      </c>
      <c r="AN108" s="1">
        <v>190</v>
      </c>
      <c r="AO108" s="1">
        <f>knicks_players_all_stats[[#This Row],[PF]]/knicks_players_all_stats[[#This Row],[GP]]</f>
        <v>2.4358974358974357</v>
      </c>
      <c r="AP108" s="1">
        <v>1459</v>
      </c>
      <c r="AQ108" s="4">
        <f>knicks_players_all_stats[[#This Row],[PTS]]/knicks_players_all_stats[[#This Row],[GP]]</f>
        <v>18.705128205128204</v>
      </c>
    </row>
    <row r="109" spans="1:43" customFormat="1" x14ac:dyDescent="0.3">
      <c r="A109" s="1" t="s">
        <v>1773</v>
      </c>
      <c r="B109" s="1" t="s">
        <v>1302</v>
      </c>
      <c r="C109" s="1" t="str">
        <f>knicks_players_all_stats[[#This Row],[NAME]]&amp;" ("&amp;knicks_players_all_stats[[#This Row],[SEASON]]&amp;")"</f>
        <v>Quentin Richardson (2006-07)</v>
      </c>
      <c r="D109" s="1">
        <f>knicks_players_all_stats[[#This Row],[PLAYER_AGE]]/10</f>
        <v>27</v>
      </c>
      <c r="E109">
        <v>270</v>
      </c>
      <c r="F109" s="1">
        <v>49</v>
      </c>
      <c r="G109" s="1">
        <v>16210</v>
      </c>
      <c r="H1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582</v>
      </c>
      <c r="I109" s="4">
        <f>knicks_players_all_stats[[#This Row],[VALORATION]]/knicks_players_all_stats[[#This Row],[GP]]</f>
        <v>11.877551020408163</v>
      </c>
      <c r="J109" s="1">
        <v>228</v>
      </c>
      <c r="K109" s="1">
        <v>545</v>
      </c>
      <c r="L109" s="1">
        <v>418</v>
      </c>
      <c r="M109" s="4">
        <f>knicks_players_all_stats[[#This Row],[FG3M2]]/10</f>
        <v>97</v>
      </c>
      <c r="N109" s="1">
        <v>970</v>
      </c>
      <c r="O109" s="1">
        <f>knicks_players_all_stats[[#This Row],[FG3A2]]/10</f>
        <v>258</v>
      </c>
      <c r="P109" s="1">
        <v>2580</v>
      </c>
      <c r="Q109" s="2">
        <f>knicks_players_all_stats[[#This Row],[FG3M2]]/knicks_players_all_stats[[#This Row],[FG3A2]]</f>
        <v>0.37596899224806202</v>
      </c>
      <c r="R109" s="1">
        <v>83</v>
      </c>
      <c r="S109" s="1">
        <v>120</v>
      </c>
      <c r="T109" s="3">
        <f>knicks_players_all_stats[[#This Row],[FTM]]/knicks_players_all_stats[[#This Row],[FTA]]</f>
        <v>0.69166666666666665</v>
      </c>
      <c r="U109" s="1">
        <f>knicks_players_all_stats[[#This Row],[OREB22]]/10</f>
        <v>65</v>
      </c>
      <c r="V109" s="1">
        <f>knicks_players_all_stats[[#This Row],[DREB33]]/10</f>
        <v>287</v>
      </c>
      <c r="W109" s="1">
        <f>knicks_players_all_stats[[#This Row],[REB44]]/10</f>
        <v>352</v>
      </c>
      <c r="X109">
        <v>650</v>
      </c>
      <c r="Y109">
        <v>2870</v>
      </c>
      <c r="Z109">
        <v>3520</v>
      </c>
      <c r="AA109" s="14">
        <f>knicks_players_all_stats[[#This Row],[REB]]/knicks_players_all_stats[[#This Row],[GP]]</f>
        <v>7.1836734693877551</v>
      </c>
      <c r="AB109" s="1">
        <v>108</v>
      </c>
      <c r="AC109" s="4">
        <f>knicks_players_all_stats[[#This Row],[AST]]/knicks_players_all_stats[[#This Row],[GP]]</f>
        <v>2.204081632653061</v>
      </c>
      <c r="AD109" s="1">
        <f>knicks_players_all_stats[[#This Row],[STL2]]/10</f>
        <v>36</v>
      </c>
      <c r="AE109" s="1">
        <v>360</v>
      </c>
      <c r="AF109" s="4">
        <f>knicks_players_all_stats[[#This Row],[STL]]/knicks_players_all_stats[[#This Row],[GP]]</f>
        <v>0.73469387755102045</v>
      </c>
      <c r="AG109">
        <v>70</v>
      </c>
      <c r="AH109" s="1">
        <f>knicks_players_all_stats[[#This Row],[BLK2]]/10</f>
        <v>7</v>
      </c>
      <c r="AI109" s="4">
        <f>knicks_players_all_stats[[#This Row],[BLK]]/knicks_players_all_stats[[#This Row],[GP]]</f>
        <v>0.14285714285714285</v>
      </c>
      <c r="AJ109">
        <v>700</v>
      </c>
      <c r="AK109" s="4">
        <f>knicks_players_all_stats[[#This Row],[BLKPG]]+knicks_players_all_stats[[#This Row],[STLPG]]+knicks_players_all_stats[[#This Row],[REBPG]]</f>
        <v>8.0612244897959187</v>
      </c>
      <c r="AL109" s="1">
        <f>knicks_players_all_stats[[#This Row],[TOV2]]/10</f>
        <v>70</v>
      </c>
      <c r="AM109" s="4">
        <f>knicks_players_all_stats[[#This Row],[TOV]]/knicks_players_all_stats[[#This Row],[GP]]</f>
        <v>1.4285714285714286</v>
      </c>
      <c r="AN109" s="1">
        <v>133</v>
      </c>
      <c r="AO109" s="1">
        <f>knicks_players_all_stats[[#This Row],[PF]]/knicks_players_all_stats[[#This Row],[GP]]</f>
        <v>2.7142857142857144</v>
      </c>
      <c r="AP109" s="1">
        <v>636</v>
      </c>
      <c r="AQ109" s="4">
        <f>knicks_players_all_stats[[#This Row],[PTS]]/knicks_players_all_stats[[#This Row],[GP]]</f>
        <v>12.979591836734693</v>
      </c>
    </row>
    <row r="110" spans="1:43" customFormat="1" x14ac:dyDescent="0.3">
      <c r="A110" s="1" t="s">
        <v>1545</v>
      </c>
      <c r="B110" s="1" t="s">
        <v>1289</v>
      </c>
      <c r="C110" s="1" t="str">
        <f>knicks_players_all_stats[[#This Row],[NAME]]&amp;" ("&amp;knicks_players_all_stats[[#This Row],[SEASON]]&amp;")"</f>
        <v>Alec Burks (2020-21)</v>
      </c>
      <c r="D110" s="1">
        <f>knicks_players_all_stats[[#This Row],[PLAYER_AGE]]/10</f>
        <v>29</v>
      </c>
      <c r="E110">
        <v>290</v>
      </c>
      <c r="F110" s="1">
        <v>49</v>
      </c>
      <c r="G110" s="1">
        <v>12550</v>
      </c>
      <c r="H1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544</v>
      </c>
      <c r="I110" s="4">
        <f>knicks_players_all_stats[[#This Row],[VALORATION]]/knicks_players_all_stats[[#This Row],[GP]]</f>
        <v>11.102040816326531</v>
      </c>
      <c r="J110" s="1">
        <v>210</v>
      </c>
      <c r="K110" s="1">
        <v>500</v>
      </c>
      <c r="L110" s="2">
        <f>knicks_players_all_stats[[#This Row],[FGM]]/knicks_players_all_stats[[#This Row],[FGA]]</f>
        <v>0.42</v>
      </c>
      <c r="M110" s="16">
        <f>knicks_players_all_stats[[#This Row],[FG3M2]]/10</f>
        <v>102</v>
      </c>
      <c r="N110" s="1">
        <v>1020</v>
      </c>
      <c r="O110" s="1">
        <f>knicks_players_all_stats[[#This Row],[FG3A2]]/10</f>
        <v>246</v>
      </c>
      <c r="P110" s="1">
        <v>2460</v>
      </c>
      <c r="Q110" s="2">
        <f>knicks_players_all_stats[[#This Row],[FG3M2]]/knicks_players_all_stats[[#This Row],[FG3A2]]</f>
        <v>0.41463414634146339</v>
      </c>
      <c r="R110" s="1">
        <v>101</v>
      </c>
      <c r="S110" s="1">
        <v>118</v>
      </c>
      <c r="T110" s="3">
        <f>knicks_players_all_stats[[#This Row],[FTM]]/knicks_players_all_stats[[#This Row],[FTA]]</f>
        <v>0.85593220338983056</v>
      </c>
      <c r="U110" s="1">
        <f>knicks_players_all_stats[[#This Row],[OREB22]]/10</f>
        <v>21</v>
      </c>
      <c r="V110" s="1">
        <f>knicks_players_all_stats[[#This Row],[DREB33]]/10</f>
        <v>206</v>
      </c>
      <c r="W110" s="1">
        <f>knicks_players_all_stats[[#This Row],[REB44]]/10</f>
        <v>227</v>
      </c>
      <c r="X110">
        <v>210</v>
      </c>
      <c r="Y110">
        <v>2060</v>
      </c>
      <c r="Z110">
        <v>2270</v>
      </c>
      <c r="AA110" s="14">
        <f>knicks_players_all_stats[[#This Row],[REB]]/knicks_players_all_stats[[#This Row],[GP]]</f>
        <v>4.6326530612244898</v>
      </c>
      <c r="AB110" s="1">
        <v>107</v>
      </c>
      <c r="AC110" s="4">
        <f>knicks_players_all_stats[[#This Row],[AST]]/knicks_players_all_stats[[#This Row],[GP]]</f>
        <v>2.1836734693877551</v>
      </c>
      <c r="AD110" s="1">
        <f>knicks_players_all_stats[[#This Row],[STL2]]/10</f>
        <v>31</v>
      </c>
      <c r="AE110" s="1">
        <v>310</v>
      </c>
      <c r="AF110" s="4">
        <f>knicks_players_all_stats[[#This Row],[STL]]/knicks_players_all_stats[[#This Row],[GP]]</f>
        <v>0.63265306122448983</v>
      </c>
      <c r="AG110">
        <v>140</v>
      </c>
      <c r="AH110" s="1">
        <f>knicks_players_all_stats[[#This Row],[BLK2]]/10</f>
        <v>14</v>
      </c>
      <c r="AI110" s="4">
        <f>knicks_players_all_stats[[#This Row],[BLK]]/knicks_players_all_stats[[#This Row],[GP]]</f>
        <v>0.2857142857142857</v>
      </c>
      <c r="AJ110">
        <v>490</v>
      </c>
      <c r="AK110" s="4">
        <f>knicks_players_all_stats[[#This Row],[BLKPG]]+knicks_players_all_stats[[#This Row],[STLPG]]+knicks_players_all_stats[[#This Row],[REBPG]]</f>
        <v>5.5510204081632653</v>
      </c>
      <c r="AL110" s="1">
        <f>knicks_players_all_stats[[#This Row],[TOV2]]/10</f>
        <v>49</v>
      </c>
      <c r="AM110" s="4">
        <f>knicks_players_all_stats[[#This Row],[TOV]]/knicks_players_all_stats[[#This Row],[GP]]</f>
        <v>1</v>
      </c>
      <c r="AN110" s="1">
        <v>102</v>
      </c>
      <c r="AO110" s="1">
        <f>knicks_players_all_stats[[#This Row],[PF]]/knicks_players_all_stats[[#This Row],[GP]]</f>
        <v>2.0816326530612246</v>
      </c>
      <c r="AP110" s="1">
        <v>623</v>
      </c>
      <c r="AQ110" s="4">
        <f>knicks_players_all_stats[[#This Row],[PTS]]/knicks_players_all_stats[[#This Row],[GP]]</f>
        <v>12.714285714285714</v>
      </c>
    </row>
    <row r="111" spans="1:43" customFormat="1" x14ac:dyDescent="0.3">
      <c r="A111" s="1" t="s">
        <v>1834</v>
      </c>
      <c r="B111" s="1" t="s">
        <v>1293</v>
      </c>
      <c r="C111" s="1" t="str">
        <f>knicks_players_all_stats[[#This Row],[NAME]]&amp;" ("&amp;knicks_players_all_stats[[#This Row],[SEASON]]&amp;")"</f>
        <v>Frank Williams (2003-04)</v>
      </c>
      <c r="D111" s="1">
        <f>knicks_players_all_stats[[#This Row],[PLAYER_AGE]]/10</f>
        <v>24</v>
      </c>
      <c r="E111">
        <v>240</v>
      </c>
      <c r="F111" s="1">
        <v>56</v>
      </c>
      <c r="G111" s="1">
        <v>7110</v>
      </c>
      <c r="H1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168</v>
      </c>
      <c r="I111" s="4">
        <f>knicks_players_all_stats[[#This Row],[VALORATION]]/knicks_players_all_stats[[#This Row],[GP]]</f>
        <v>3</v>
      </c>
      <c r="J111" s="1">
        <v>80</v>
      </c>
      <c r="K111" s="1">
        <v>208</v>
      </c>
      <c r="L111" s="1">
        <v>385</v>
      </c>
      <c r="M111" s="4">
        <f>knicks_players_all_stats[[#This Row],[FG3M2]]/10</f>
        <v>18</v>
      </c>
      <c r="N111" s="1">
        <v>180</v>
      </c>
      <c r="O111" s="1">
        <f>knicks_players_all_stats[[#This Row],[FG3A2]]/10</f>
        <v>60</v>
      </c>
      <c r="P111" s="1">
        <v>600</v>
      </c>
      <c r="Q111" s="2">
        <f>knicks_players_all_stats[[#This Row],[FG3M2]]/knicks_players_all_stats[[#This Row],[FG3A2]]</f>
        <v>0.3</v>
      </c>
      <c r="R111" s="1">
        <v>41</v>
      </c>
      <c r="S111" s="1">
        <v>48</v>
      </c>
      <c r="T111" s="3">
        <f>knicks_players_all_stats[[#This Row],[FTM]]/knicks_players_all_stats[[#This Row],[FTA]]</f>
        <v>0.85416666666666663</v>
      </c>
      <c r="U111" s="1">
        <f>knicks_players_all_stats[[#This Row],[OREB22]]/10</f>
        <v>8</v>
      </c>
      <c r="V111" s="1">
        <f>knicks_players_all_stats[[#This Row],[DREB33]]/10</f>
        <v>45</v>
      </c>
      <c r="W111" s="1">
        <f>knicks_players_all_stats[[#This Row],[REB44]]/10</f>
        <v>53</v>
      </c>
      <c r="X111">
        <v>80</v>
      </c>
      <c r="Y111">
        <v>450</v>
      </c>
      <c r="Z111">
        <v>530</v>
      </c>
      <c r="AA111" s="14">
        <f>knicks_players_all_stats[[#This Row],[REB]]/knicks_players_all_stats[[#This Row],[GP]]</f>
        <v>0.9464285714285714</v>
      </c>
      <c r="AB111" s="1">
        <v>121</v>
      </c>
      <c r="AC111" s="4">
        <f>knicks_players_all_stats[[#This Row],[AST]]/knicks_players_all_stats[[#This Row],[GP]]</f>
        <v>2.1607142857142856</v>
      </c>
      <c r="AD111" s="1">
        <f>knicks_players_all_stats[[#This Row],[STL2]]/10</f>
        <v>25</v>
      </c>
      <c r="AE111" s="1">
        <v>250</v>
      </c>
      <c r="AF111" s="4">
        <f>knicks_players_all_stats[[#This Row],[STL]]/knicks_players_all_stats[[#This Row],[GP]]</f>
        <v>0.44642857142857145</v>
      </c>
      <c r="AG111">
        <v>60</v>
      </c>
      <c r="AH111" s="1">
        <f>knicks_players_all_stats[[#This Row],[BLK2]]/10</f>
        <v>6</v>
      </c>
      <c r="AI111" s="4">
        <f>knicks_players_all_stats[[#This Row],[BLK]]/knicks_players_all_stats[[#This Row],[GP]]</f>
        <v>0.10714285714285714</v>
      </c>
      <c r="AJ111">
        <v>630</v>
      </c>
      <c r="AK111" s="4">
        <f>knicks_players_all_stats[[#This Row],[BLKPG]]+knicks_players_all_stats[[#This Row],[STLPG]]+knicks_players_all_stats[[#This Row],[REBPG]]</f>
        <v>1.5</v>
      </c>
      <c r="AL111" s="1">
        <f>knicks_players_all_stats[[#This Row],[TOV2]]/10</f>
        <v>63</v>
      </c>
      <c r="AM111" s="4">
        <f>knicks_players_all_stats[[#This Row],[TOV]]/knicks_players_all_stats[[#This Row],[GP]]</f>
        <v>1.125</v>
      </c>
      <c r="AN111" s="1">
        <v>58</v>
      </c>
      <c r="AO111" s="1">
        <f>knicks_players_all_stats[[#This Row],[PF]]/knicks_players_all_stats[[#This Row],[GP]]</f>
        <v>1.0357142857142858</v>
      </c>
      <c r="AP111" s="1">
        <v>219</v>
      </c>
      <c r="AQ111" s="4">
        <f>knicks_players_all_stats[[#This Row],[PTS]]/knicks_players_all_stats[[#This Row],[GP]]</f>
        <v>3.9107142857142856</v>
      </c>
    </row>
    <row r="112" spans="1:43" customFormat="1" x14ac:dyDescent="0.3">
      <c r="A112" s="1" t="s">
        <v>1547</v>
      </c>
      <c r="B112" s="1" t="s">
        <v>1304</v>
      </c>
      <c r="C112" s="1" t="str">
        <f>knicks_players_all_stats[[#This Row],[NAME]]&amp;" ("&amp;knicks_players_all_stats[[#This Row],[SEASON]]&amp;")"</f>
        <v>David Lee (2008-09)</v>
      </c>
      <c r="D112" s="1">
        <f>knicks_players_all_stats[[#This Row],[PLAYER_AGE]]/10</f>
        <v>26</v>
      </c>
      <c r="E112">
        <v>260</v>
      </c>
      <c r="F112" s="1">
        <v>81</v>
      </c>
      <c r="G112" s="1">
        <v>28240</v>
      </c>
      <c r="H1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1600</v>
      </c>
      <c r="I112" s="4">
        <f>knicks_players_all_stats[[#This Row],[VALORATION]]/knicks_players_all_stats[[#This Row],[GP]]</f>
        <v>19.753086419753085</v>
      </c>
      <c r="J112" s="1">
        <v>522</v>
      </c>
      <c r="K112" s="1">
        <v>951</v>
      </c>
      <c r="L112" s="2">
        <f>knicks_players_all_stats[[#This Row],[FGM]]/knicks_players_all_stats[[#This Row],[FGA]]</f>
        <v>0.54889589905362779</v>
      </c>
      <c r="M112" s="16">
        <f>knicks_players_all_stats[[#This Row],[FG3M2]]/10</f>
        <v>0</v>
      </c>
      <c r="N112" s="1">
        <v>0</v>
      </c>
      <c r="O112" s="1">
        <f>knicks_players_all_stats[[#This Row],[FG3A2]]/10</f>
        <v>3</v>
      </c>
      <c r="P112" s="1">
        <v>30</v>
      </c>
      <c r="Q112" s="2">
        <f>knicks_players_all_stats[[#This Row],[FG3M2]]/knicks_players_all_stats[[#This Row],[FG3A2]]</f>
        <v>0</v>
      </c>
      <c r="R112" s="1">
        <v>249</v>
      </c>
      <c r="S112" s="1">
        <v>330</v>
      </c>
      <c r="T112" s="3">
        <f>knicks_players_all_stats[[#This Row],[FTM]]/knicks_players_all_stats[[#This Row],[FTA]]</f>
        <v>0.75454545454545452</v>
      </c>
      <c r="U112" s="1">
        <f>knicks_players_all_stats[[#This Row],[OREB22]]/10</f>
        <v>256</v>
      </c>
      <c r="V112" s="1">
        <f>knicks_players_all_stats[[#This Row],[DREB33]]/10</f>
        <v>695</v>
      </c>
      <c r="W112" s="1">
        <f>knicks_players_all_stats[[#This Row],[REB44]]/10</f>
        <v>951</v>
      </c>
      <c r="X112">
        <v>2560</v>
      </c>
      <c r="Y112">
        <v>6950</v>
      </c>
      <c r="Z112">
        <v>9510</v>
      </c>
      <c r="AA112" s="14">
        <f>knicks_players_all_stats[[#This Row],[REB]]/knicks_players_all_stats[[#This Row],[GP]]</f>
        <v>11.74074074074074</v>
      </c>
      <c r="AB112" s="1">
        <v>174</v>
      </c>
      <c r="AC112" s="4">
        <f>knicks_players_all_stats[[#This Row],[AST]]/knicks_players_all_stats[[#This Row],[GP]]</f>
        <v>2.1481481481481484</v>
      </c>
      <c r="AD112" s="1">
        <f>knicks_players_all_stats[[#This Row],[STL2]]/10</f>
        <v>80</v>
      </c>
      <c r="AE112" s="1">
        <v>800</v>
      </c>
      <c r="AF112" s="4">
        <f>knicks_players_all_stats[[#This Row],[STL]]/knicks_players_all_stats[[#This Row],[GP]]</f>
        <v>0.98765432098765427</v>
      </c>
      <c r="AG112">
        <v>220</v>
      </c>
      <c r="AH112" s="1">
        <f>knicks_players_all_stats[[#This Row],[BLK2]]/10</f>
        <v>22</v>
      </c>
      <c r="AI112" s="4">
        <f>knicks_players_all_stats[[#This Row],[BLK]]/knicks_players_all_stats[[#This Row],[GP]]</f>
        <v>0.27160493827160492</v>
      </c>
      <c r="AJ112">
        <v>1500</v>
      </c>
      <c r="AK112" s="4">
        <f>knicks_players_all_stats[[#This Row],[BLKPG]]+knicks_players_all_stats[[#This Row],[STLPG]]+knicks_players_all_stats[[#This Row],[REBPG]]</f>
        <v>13</v>
      </c>
      <c r="AL112" s="1">
        <f>knicks_players_all_stats[[#This Row],[TOV2]]/10</f>
        <v>150</v>
      </c>
      <c r="AM112" s="4">
        <f>knicks_players_all_stats[[#This Row],[TOV]]/knicks_players_all_stats[[#This Row],[GP]]</f>
        <v>1.8518518518518519</v>
      </c>
      <c r="AN112" s="1">
        <v>260</v>
      </c>
      <c r="AO112" s="1">
        <f>knicks_players_all_stats[[#This Row],[PF]]/knicks_players_all_stats[[#This Row],[GP]]</f>
        <v>3.2098765432098766</v>
      </c>
      <c r="AP112" s="1">
        <v>1293</v>
      </c>
      <c r="AQ112" s="4">
        <f>knicks_players_all_stats[[#This Row],[PTS]]/knicks_players_all_stats[[#This Row],[GP]]</f>
        <v>15.962962962962964</v>
      </c>
    </row>
    <row r="113" spans="1:43" x14ac:dyDescent="0.3">
      <c r="A113" s="1" t="s">
        <v>1455</v>
      </c>
      <c r="B113" s="1" t="s">
        <v>1308</v>
      </c>
      <c r="C113" s="1" t="str">
        <f>knicks_players_all_stats[[#This Row],[NAME]]&amp;" ("&amp;knicks_players_all_stats[[#This Row],[SEASON]]&amp;")"</f>
        <v>Evan Fournier (2021-22)</v>
      </c>
      <c r="D113" s="1">
        <f>knicks_players_all_stats[[#This Row],[PLAYER_AGE]]/10</f>
        <v>29</v>
      </c>
      <c r="E113">
        <v>290</v>
      </c>
      <c r="F113" s="1">
        <v>80</v>
      </c>
      <c r="G113" s="1">
        <v>23580</v>
      </c>
      <c r="H1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724</v>
      </c>
      <c r="I113" s="4">
        <f>knicks_players_all_stats[[#This Row],[VALORATION]]/knicks_players_all_stats[[#This Row],[GP]]</f>
        <v>9.0500000000000007</v>
      </c>
      <c r="J113" s="1">
        <v>402</v>
      </c>
      <c r="K113" s="1">
        <v>965</v>
      </c>
      <c r="L113" s="2">
        <f>knicks_players_all_stats[[#This Row],[FGM]]/knicks_players_all_stats[[#This Row],[FGA]]</f>
        <v>0.41658031088082903</v>
      </c>
      <c r="M113" s="16">
        <f>knicks_players_all_stats[[#This Row],[FG3M2]]/10</f>
        <v>241</v>
      </c>
      <c r="N113" s="1">
        <v>2410</v>
      </c>
      <c r="O113" s="1">
        <f>knicks_players_all_stats[[#This Row],[FG3A2]]/10</f>
        <v>619</v>
      </c>
      <c r="P113" s="1">
        <v>6190</v>
      </c>
      <c r="Q113" s="2">
        <f>knicks_players_all_stats[[#This Row],[FG3M2]]/knicks_players_all_stats[[#This Row],[FG3A2]]</f>
        <v>0.38933764135702748</v>
      </c>
      <c r="R113" s="1">
        <v>80</v>
      </c>
      <c r="S113" s="1">
        <v>113</v>
      </c>
      <c r="T113" s="3">
        <f>knicks_players_all_stats[[#This Row],[FTM]]/knicks_players_all_stats[[#This Row],[FTA]]</f>
        <v>0.70796460176991149</v>
      </c>
      <c r="U113" s="1">
        <f>knicks_players_all_stats[[#This Row],[OREB22]]/10</f>
        <v>34</v>
      </c>
      <c r="V113" s="1">
        <f>knicks_players_all_stats[[#This Row],[DREB33]]/10</f>
        <v>176</v>
      </c>
      <c r="W113" s="1">
        <f>knicks_players_all_stats[[#This Row],[REB44]]/10</f>
        <v>210</v>
      </c>
      <c r="X113">
        <v>340</v>
      </c>
      <c r="Y113">
        <v>1760</v>
      </c>
      <c r="Z113">
        <v>2100</v>
      </c>
      <c r="AA113" s="14">
        <f>knicks_players_all_stats[[#This Row],[REB]]/knicks_players_all_stats[[#This Row],[GP]]</f>
        <v>2.625</v>
      </c>
      <c r="AB113" s="1">
        <v>171</v>
      </c>
      <c r="AC113" s="4">
        <f>knicks_players_all_stats[[#This Row],[AST]]/knicks_players_all_stats[[#This Row],[GP]]</f>
        <v>2.1375000000000002</v>
      </c>
      <c r="AD113" s="1">
        <f>knicks_players_all_stats[[#This Row],[STL2]]/10</f>
        <v>79</v>
      </c>
      <c r="AE113" s="1">
        <v>790</v>
      </c>
      <c r="AF113" s="4">
        <f>knicks_players_all_stats[[#This Row],[STL]]/knicks_players_all_stats[[#This Row],[GP]]</f>
        <v>0.98750000000000004</v>
      </c>
      <c r="AG113">
        <v>200</v>
      </c>
      <c r="AH113" s="1">
        <f>knicks_players_all_stats[[#This Row],[BLK2]]/10</f>
        <v>20</v>
      </c>
      <c r="AI113" s="4">
        <f>knicks_players_all_stats[[#This Row],[BLK]]/knicks_players_all_stats[[#This Row],[GP]]</f>
        <v>0.25</v>
      </c>
      <c r="AJ113">
        <v>1050</v>
      </c>
      <c r="AK113" s="4">
        <f>knicks_players_all_stats[[#This Row],[BLKPG]]+knicks_players_all_stats[[#This Row],[STLPG]]+knicks_players_all_stats[[#This Row],[REBPG]]</f>
        <v>3.8624999999999998</v>
      </c>
      <c r="AL113" s="1">
        <f>knicks_players_all_stats[[#This Row],[TOV2]]/10</f>
        <v>105</v>
      </c>
      <c r="AM113" s="4">
        <f>knicks_players_all_stats[[#This Row],[TOV]]/knicks_players_all_stats[[#This Row],[GP]]</f>
        <v>1.3125</v>
      </c>
      <c r="AN113" s="1">
        <v>180</v>
      </c>
      <c r="AO113" s="1">
        <f>knicks_players_all_stats[[#This Row],[PF]]/knicks_players_all_stats[[#This Row],[GP]]</f>
        <v>2.25</v>
      </c>
      <c r="AP113" s="1">
        <v>1125</v>
      </c>
      <c r="AQ113" s="4">
        <f>knicks_players_all_stats[[#This Row],[PTS]]/knicks_players_all_stats[[#This Row],[GP]]</f>
        <v>14.0625</v>
      </c>
    </row>
    <row r="114" spans="1:43" x14ac:dyDescent="0.3">
      <c r="A114" s="1" t="s">
        <v>1446</v>
      </c>
      <c r="B114" s="1" t="s">
        <v>1305</v>
      </c>
      <c r="C114" s="1" t="str">
        <f>knicks_players_all_stats[[#This Row],[NAME]]&amp;" ("&amp;knicks_players_all_stats[[#This Row],[SEASON]]&amp;")"</f>
        <v>Wilson Chandler (2009-10)</v>
      </c>
      <c r="D114" s="1">
        <f>knicks_players_all_stats[[#This Row],[PLAYER_AGE]]/10</f>
        <v>23</v>
      </c>
      <c r="E114">
        <v>230</v>
      </c>
      <c r="F114" s="1">
        <v>65</v>
      </c>
      <c r="G114" s="1">
        <v>23200</v>
      </c>
      <c r="H1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803</v>
      </c>
      <c r="I114" s="4">
        <f>knicks_players_all_stats[[#This Row],[VALORATION]]/knicks_players_all_stats[[#This Row],[GP]]</f>
        <v>12.353846153846154</v>
      </c>
      <c r="J114" s="1">
        <v>412</v>
      </c>
      <c r="K114" s="1">
        <v>860</v>
      </c>
      <c r="L114" s="2">
        <f>knicks_players_all_stats[[#This Row],[FGM]]/knicks_players_all_stats[[#This Row],[FGA]]</f>
        <v>0.47906976744186047</v>
      </c>
      <c r="M114" s="16">
        <f>knicks_players_all_stats[[#This Row],[FG3M2]]/10</f>
        <v>40</v>
      </c>
      <c r="N114" s="1">
        <v>400</v>
      </c>
      <c r="O114" s="1">
        <f>knicks_players_all_stats[[#This Row],[FG3A2]]/10</f>
        <v>150</v>
      </c>
      <c r="P114" s="1">
        <v>1500</v>
      </c>
      <c r="Q114" s="2">
        <f>knicks_players_all_stats[[#This Row],[FG3M2]]/knicks_players_all_stats[[#This Row],[FG3A2]]</f>
        <v>0.26666666666666666</v>
      </c>
      <c r="R114" s="1">
        <v>129</v>
      </c>
      <c r="S114" s="1">
        <v>160</v>
      </c>
      <c r="T114" s="3">
        <f>knicks_players_all_stats[[#This Row],[FTM]]/knicks_players_all_stats[[#This Row],[FTA]]</f>
        <v>0.80625000000000002</v>
      </c>
      <c r="U114" s="1">
        <f>knicks_players_all_stats[[#This Row],[OREB22]]/10</f>
        <v>93</v>
      </c>
      <c r="V114" s="1">
        <f>knicks_players_all_stats[[#This Row],[DREB33]]/10</f>
        <v>255</v>
      </c>
      <c r="W114" s="1">
        <f>knicks_players_all_stats[[#This Row],[REB44]]/10</f>
        <v>348</v>
      </c>
      <c r="X114">
        <v>930</v>
      </c>
      <c r="Y114">
        <v>2550</v>
      </c>
      <c r="Z114">
        <v>3480</v>
      </c>
      <c r="AA114" s="14">
        <f>knicks_players_all_stats[[#This Row],[REB]]/knicks_players_all_stats[[#This Row],[GP]]</f>
        <v>5.3538461538461535</v>
      </c>
      <c r="AB114" s="1">
        <v>138</v>
      </c>
      <c r="AC114" s="4">
        <f>knicks_players_all_stats[[#This Row],[AST]]/knicks_players_all_stats[[#This Row],[GP]]</f>
        <v>2.1230769230769231</v>
      </c>
      <c r="AD114" s="1">
        <f>knicks_players_all_stats[[#This Row],[STL2]]/10</f>
        <v>46</v>
      </c>
      <c r="AE114" s="1">
        <v>460</v>
      </c>
      <c r="AF114" s="4">
        <f>knicks_players_all_stats[[#This Row],[STL]]/knicks_players_all_stats[[#This Row],[GP]]</f>
        <v>0.70769230769230773</v>
      </c>
      <c r="AG114">
        <v>490</v>
      </c>
      <c r="AH114" s="1">
        <f>knicks_players_all_stats[[#This Row],[BLK2]]/10</f>
        <v>49</v>
      </c>
      <c r="AI114" s="4">
        <f>knicks_players_all_stats[[#This Row],[BLK]]/knicks_players_all_stats[[#This Row],[GP]]</f>
        <v>0.75384615384615383</v>
      </c>
      <c r="AJ114">
        <v>1080</v>
      </c>
      <c r="AK114" s="4">
        <f>knicks_players_all_stats[[#This Row],[BLKPG]]+knicks_players_all_stats[[#This Row],[STLPG]]+knicks_players_all_stats[[#This Row],[REBPG]]</f>
        <v>6.8153846153846152</v>
      </c>
      <c r="AL114" s="1">
        <f>knicks_players_all_stats[[#This Row],[TOV2]]/10</f>
        <v>108</v>
      </c>
      <c r="AM114" s="4">
        <f>knicks_players_all_stats[[#This Row],[TOV]]/knicks_players_all_stats[[#This Row],[GP]]</f>
        <v>1.6615384615384616</v>
      </c>
      <c r="AN114" s="1">
        <v>184</v>
      </c>
      <c r="AO114" s="1">
        <f>knicks_players_all_stats[[#This Row],[PF]]/knicks_players_all_stats[[#This Row],[GP]]</f>
        <v>2.8307692307692309</v>
      </c>
      <c r="AP114" s="1">
        <v>993</v>
      </c>
      <c r="AQ114" s="4">
        <f>knicks_players_all_stats[[#This Row],[PTS]]/knicks_players_all_stats[[#This Row],[GP]]</f>
        <v>15.276923076923078</v>
      </c>
    </row>
    <row r="115" spans="1:43" customFormat="1" x14ac:dyDescent="0.3">
      <c r="A115" s="1" t="s">
        <v>1630</v>
      </c>
      <c r="B115" s="1" t="s">
        <v>1327</v>
      </c>
      <c r="C115" s="1" t="str">
        <f>knicks_players_all_stats[[#This Row],[NAME]]&amp;" ("&amp;knicks_players_all_stats[[#This Row],[SEASON]]&amp;")"</f>
        <v>Quentin Grimes (2022-23)</v>
      </c>
      <c r="D115" s="1">
        <f>knicks_players_all_stats[[#This Row],[PLAYER_AGE]]/10</f>
        <v>23</v>
      </c>
      <c r="E115">
        <v>230</v>
      </c>
      <c r="F115" s="1">
        <v>71</v>
      </c>
      <c r="G115" s="1">
        <v>21210</v>
      </c>
      <c r="H1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665</v>
      </c>
      <c r="I115" s="4">
        <f>knicks_players_all_stats[[#This Row],[VALORATION]]/knicks_players_all_stats[[#This Row],[GP]]</f>
        <v>9.3661971830985919</v>
      </c>
      <c r="J115" s="1">
        <v>282</v>
      </c>
      <c r="K115" s="1">
        <v>602</v>
      </c>
      <c r="L115" s="2">
        <f>knicks_players_all_stats[[#This Row],[FGM]]/knicks_players_all_stats[[#This Row],[FGA]]</f>
        <v>0.46843853820598008</v>
      </c>
      <c r="M115" s="16">
        <f>knicks_players_all_stats[[#This Row],[FG3M2]]/10</f>
        <v>157</v>
      </c>
      <c r="N115" s="1">
        <v>1570</v>
      </c>
      <c r="O115" s="1">
        <f>knicks_players_all_stats[[#This Row],[FG3A2]]/10</f>
        <v>407</v>
      </c>
      <c r="P115" s="1">
        <v>4070</v>
      </c>
      <c r="Q115" s="2">
        <f>knicks_players_all_stats[[#This Row],[FG3M2]]/knicks_players_all_stats[[#This Row],[FG3A2]]</f>
        <v>0.38574938574938578</v>
      </c>
      <c r="R115" s="1">
        <v>78</v>
      </c>
      <c r="S115" s="1">
        <v>98</v>
      </c>
      <c r="T115" s="3">
        <f>knicks_players_all_stats[[#This Row],[FTM]]/knicks_players_all_stats[[#This Row],[FTA]]</f>
        <v>0.79591836734693877</v>
      </c>
      <c r="U115" s="1">
        <f>knicks_players_all_stats[[#This Row],[OREB22]]/10</f>
        <v>49</v>
      </c>
      <c r="V115" s="1">
        <f>knicks_players_all_stats[[#This Row],[DREB33]]/10</f>
        <v>180</v>
      </c>
      <c r="W115" s="1">
        <f>knicks_players_all_stats[[#This Row],[REB44]]/10</f>
        <v>229</v>
      </c>
      <c r="X115">
        <v>490</v>
      </c>
      <c r="Y115">
        <v>1800</v>
      </c>
      <c r="Z115">
        <v>2290</v>
      </c>
      <c r="AA115" s="14">
        <f>knicks_players_all_stats[[#This Row],[REB]]/knicks_players_all_stats[[#This Row],[GP]]</f>
        <v>3.2253521126760565</v>
      </c>
      <c r="AB115" s="1">
        <v>150</v>
      </c>
      <c r="AC115" s="4">
        <f>knicks_players_all_stats[[#This Row],[AST]]/knicks_players_all_stats[[#This Row],[GP]]</f>
        <v>2.112676056338028</v>
      </c>
      <c r="AD115" s="1">
        <f>knicks_players_all_stats[[#This Row],[STL2]]/10</f>
        <v>47</v>
      </c>
      <c r="AE115" s="1">
        <v>470</v>
      </c>
      <c r="AF115" s="4">
        <f>knicks_players_all_stats[[#This Row],[STL]]/knicks_players_all_stats[[#This Row],[GP]]</f>
        <v>0.6619718309859155</v>
      </c>
      <c r="AG115">
        <v>260</v>
      </c>
      <c r="AH115" s="1">
        <f>knicks_players_all_stats[[#This Row],[BLK2]]/10</f>
        <v>26</v>
      </c>
      <c r="AI115" s="4">
        <f>knicks_players_all_stats[[#This Row],[BLK]]/knicks_players_all_stats[[#This Row],[GP]]</f>
        <v>0.36619718309859156</v>
      </c>
      <c r="AJ115">
        <v>690</v>
      </c>
      <c r="AK115" s="4">
        <f>knicks_players_all_stats[[#This Row],[BLKPG]]+knicks_players_all_stats[[#This Row],[STLPG]]+knicks_players_all_stats[[#This Row],[REBPG]]</f>
        <v>4.2535211267605639</v>
      </c>
      <c r="AL115" s="1">
        <f>knicks_players_all_stats[[#This Row],[TOV2]]/10</f>
        <v>69</v>
      </c>
      <c r="AM115" s="4">
        <f>knicks_players_all_stats[[#This Row],[TOV]]/knicks_players_all_stats[[#This Row],[GP]]</f>
        <v>0.971830985915493</v>
      </c>
      <c r="AN115" s="1">
        <v>177</v>
      </c>
      <c r="AO115" s="1">
        <f>knicks_players_all_stats[[#This Row],[PF]]/knicks_players_all_stats[[#This Row],[GP]]</f>
        <v>2.492957746478873</v>
      </c>
      <c r="AP115" s="1">
        <v>799</v>
      </c>
      <c r="AQ115" s="4">
        <f>knicks_players_all_stats[[#This Row],[PTS]]/knicks_players_all_stats[[#This Row],[GP]]</f>
        <v>11.253521126760564</v>
      </c>
    </row>
    <row r="116" spans="1:43" customFormat="1" x14ac:dyDescent="0.3">
      <c r="A116" s="1" t="s">
        <v>1463</v>
      </c>
      <c r="B116" s="1" t="s">
        <v>1295</v>
      </c>
      <c r="C116" s="1" t="str">
        <f>knicks_players_all_stats[[#This Row],[NAME]]&amp;" ("&amp;knicks_players_all_stats[[#This Row],[SEASON]]&amp;")"</f>
        <v>Allan Houston (2004-05)</v>
      </c>
      <c r="D116" s="1">
        <f>knicks_players_all_stats[[#This Row],[PLAYER_AGE]]/10</f>
        <v>34</v>
      </c>
      <c r="E116">
        <v>340</v>
      </c>
      <c r="F116" s="1">
        <v>20</v>
      </c>
      <c r="G116" s="1">
        <v>5320</v>
      </c>
      <c r="H1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124</v>
      </c>
      <c r="I116" s="4">
        <f>knicks_players_all_stats[[#This Row],[VALORATION]]/knicks_players_all_stats[[#This Row],[GP]]</f>
        <v>6.2</v>
      </c>
      <c r="J116" s="1">
        <v>85</v>
      </c>
      <c r="K116" s="1">
        <v>205</v>
      </c>
      <c r="L116" s="2">
        <f>knicks_players_all_stats[[#This Row],[FGM]]/knicks_players_all_stats[[#This Row],[FGA]]</f>
        <v>0.41463414634146339</v>
      </c>
      <c r="M116" s="16">
        <f>knicks_players_all_stats[[#This Row],[FG3M2]]/10</f>
        <v>31</v>
      </c>
      <c r="N116" s="1">
        <v>310</v>
      </c>
      <c r="O116" s="1">
        <f>knicks_players_all_stats[[#This Row],[FG3A2]]/10</f>
        <v>80</v>
      </c>
      <c r="P116" s="1">
        <v>800</v>
      </c>
      <c r="Q116" s="2">
        <f>knicks_players_all_stats[[#This Row],[FG3M2]]/knicks_players_all_stats[[#This Row],[FG3A2]]</f>
        <v>0.38750000000000001</v>
      </c>
      <c r="R116" s="1">
        <v>36</v>
      </c>
      <c r="S116" s="1">
        <v>43</v>
      </c>
      <c r="T116" s="3">
        <f>knicks_players_all_stats[[#This Row],[FTM]]/knicks_players_all_stats[[#This Row],[FTA]]</f>
        <v>0.83720930232558144</v>
      </c>
      <c r="U116" s="1">
        <f>knicks_players_all_stats[[#This Row],[OREB22]]/10</f>
        <v>4</v>
      </c>
      <c r="V116" s="1">
        <f>knicks_players_all_stats[[#This Row],[DREB33]]/10</f>
        <v>19</v>
      </c>
      <c r="W116" s="1">
        <f>knicks_players_all_stats[[#This Row],[REB44]]/10</f>
        <v>23</v>
      </c>
      <c r="X116">
        <v>40</v>
      </c>
      <c r="Y116">
        <v>190</v>
      </c>
      <c r="Z116">
        <v>230</v>
      </c>
      <c r="AA116" s="14">
        <f>knicks_players_all_stats[[#This Row],[REB]]/knicks_players_all_stats[[#This Row],[GP]]</f>
        <v>1.1499999999999999</v>
      </c>
      <c r="AB116" s="1">
        <v>42</v>
      </c>
      <c r="AC116" s="4">
        <f>knicks_players_all_stats[[#This Row],[AST]]/knicks_players_all_stats[[#This Row],[GP]]</f>
        <v>2.1</v>
      </c>
      <c r="AD116" s="1">
        <f>knicks_players_all_stats[[#This Row],[STL2]]/10</f>
        <v>8</v>
      </c>
      <c r="AE116" s="1">
        <v>80</v>
      </c>
      <c r="AF116" s="4">
        <f>knicks_players_all_stats[[#This Row],[STL]]/knicks_players_all_stats[[#This Row],[GP]]</f>
        <v>0.4</v>
      </c>
      <c r="AG116">
        <v>20</v>
      </c>
      <c r="AH116" s="1">
        <f>knicks_players_all_stats[[#This Row],[BLK2]]/10</f>
        <v>2</v>
      </c>
      <c r="AI116" s="4">
        <f>knicks_players_all_stats[[#This Row],[BLK]]/knicks_players_all_stats[[#This Row],[GP]]</f>
        <v>0.1</v>
      </c>
      <c r="AJ116">
        <v>210</v>
      </c>
      <c r="AK116" s="4">
        <f>knicks_players_all_stats[[#This Row],[BLKPG]]+knicks_players_all_stats[[#This Row],[STLPG]]+knicks_players_all_stats[[#This Row],[REBPG]]</f>
        <v>1.65</v>
      </c>
      <c r="AL116" s="1">
        <f>knicks_players_all_stats[[#This Row],[TOV2]]/10</f>
        <v>21</v>
      </c>
      <c r="AM116" s="4">
        <f>knicks_players_all_stats[[#This Row],[TOV]]/knicks_players_all_stats[[#This Row],[GP]]</f>
        <v>1.05</v>
      </c>
      <c r="AN116" s="1">
        <v>40</v>
      </c>
      <c r="AO116" s="1">
        <f>knicks_players_all_stats[[#This Row],[PF]]/knicks_players_all_stats[[#This Row],[GP]]</f>
        <v>2</v>
      </c>
      <c r="AP116" s="1">
        <v>237</v>
      </c>
      <c r="AQ116" s="4">
        <f>knicks_players_all_stats[[#This Row],[PTS]]/knicks_players_all_stats[[#This Row],[GP]]</f>
        <v>11.85</v>
      </c>
    </row>
    <row r="117" spans="1:43" customFormat="1" x14ac:dyDescent="0.3">
      <c r="A117" s="1" t="s">
        <v>1375</v>
      </c>
      <c r="B117" s="1" t="s">
        <v>1259</v>
      </c>
      <c r="C117" s="1" t="str">
        <f>knicks_players_all_stats[[#This Row],[NAME]]&amp;" ("&amp;knicks_players_all_stats[[#This Row],[SEASON]]&amp;")"</f>
        <v>Ramon Sessions (2017-18)</v>
      </c>
      <c r="D117" s="1">
        <f>knicks_players_all_stats[[#This Row],[PLAYER_AGE]]/10</f>
        <v>32</v>
      </c>
      <c r="E117">
        <v>320</v>
      </c>
      <c r="F117" s="1">
        <v>13</v>
      </c>
      <c r="G117" s="1">
        <v>1670</v>
      </c>
      <c r="H1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</v>
      </c>
      <c r="I117" s="4">
        <f>knicks_players_all_stats[[#This Row],[VALORATION]]/knicks_players_all_stats[[#This Row],[GP]]</f>
        <v>2.5384615384615383</v>
      </c>
      <c r="J117" s="1">
        <v>17</v>
      </c>
      <c r="K117" s="1">
        <v>53</v>
      </c>
      <c r="L117" s="2">
        <f>knicks_players_all_stats[[#This Row],[FGM]]/knicks_players_all_stats[[#This Row],[FGA]]</f>
        <v>0.32075471698113206</v>
      </c>
      <c r="M117" s="16">
        <f>knicks_players_all_stats[[#This Row],[FG3M2]]/10</f>
        <v>2</v>
      </c>
      <c r="N117" s="1">
        <v>20</v>
      </c>
      <c r="O117" s="1">
        <f>knicks_players_all_stats[[#This Row],[FG3A2]]/10</f>
        <v>11</v>
      </c>
      <c r="P117" s="1">
        <v>110</v>
      </c>
      <c r="Q117" s="2">
        <f>knicks_players_all_stats[[#This Row],[FG3M2]]/knicks_players_all_stats[[#This Row],[FG3A2]]</f>
        <v>0.18181818181818182</v>
      </c>
      <c r="R117" s="1">
        <v>12</v>
      </c>
      <c r="S117" s="1">
        <v>15</v>
      </c>
      <c r="T117" s="3">
        <f>knicks_players_all_stats[[#This Row],[FTM]]/knicks_players_all_stats[[#This Row],[FTA]]</f>
        <v>0.8</v>
      </c>
      <c r="U117" s="1">
        <f>knicks_players_all_stats[[#This Row],[OREB22]]/10</f>
        <v>1</v>
      </c>
      <c r="V117" s="1">
        <f>knicks_players_all_stats[[#This Row],[DREB33]]/10</f>
        <v>17</v>
      </c>
      <c r="W117" s="1">
        <f>knicks_players_all_stats[[#This Row],[REB44]]/10</f>
        <v>18</v>
      </c>
      <c r="X117">
        <v>10</v>
      </c>
      <c r="Y117">
        <v>170</v>
      </c>
      <c r="Z117">
        <v>180</v>
      </c>
      <c r="AA117" s="14">
        <f>knicks_players_all_stats[[#This Row],[REB]]/knicks_players_all_stats[[#This Row],[GP]]</f>
        <v>1.3846153846153846</v>
      </c>
      <c r="AB117" s="1">
        <v>27</v>
      </c>
      <c r="AC117" s="4">
        <f>knicks_players_all_stats[[#This Row],[AST]]/knicks_players_all_stats[[#This Row],[GP]]</f>
        <v>2.0769230769230771</v>
      </c>
      <c r="AD117" s="1">
        <f>knicks_players_all_stats[[#This Row],[STL2]]/10</f>
        <v>7</v>
      </c>
      <c r="AE117" s="1">
        <v>70</v>
      </c>
      <c r="AF117" s="4">
        <f>knicks_players_all_stats[[#This Row],[STL]]/knicks_players_all_stats[[#This Row],[GP]]</f>
        <v>0.53846153846153844</v>
      </c>
      <c r="AG117">
        <v>10</v>
      </c>
      <c r="AH117" s="1">
        <f>knicks_players_all_stats[[#This Row],[BLK2]]/10</f>
        <v>1</v>
      </c>
      <c r="AI117" s="4">
        <f>knicks_players_all_stats[[#This Row],[BLK]]/knicks_players_all_stats[[#This Row],[GP]]</f>
        <v>7.6923076923076927E-2</v>
      </c>
      <c r="AJ117">
        <v>150</v>
      </c>
      <c r="AK117" s="4">
        <f>knicks_players_all_stats[[#This Row],[BLKPG]]+knicks_players_all_stats[[#This Row],[STLPG]]+knicks_players_all_stats[[#This Row],[REBPG]]</f>
        <v>2</v>
      </c>
      <c r="AL117" s="1">
        <f>knicks_players_all_stats[[#This Row],[TOV2]]/10</f>
        <v>15</v>
      </c>
      <c r="AM117" s="4">
        <f>knicks_players_all_stats[[#This Row],[TOV]]/knicks_players_all_stats[[#This Row],[GP]]</f>
        <v>1.1538461538461537</v>
      </c>
      <c r="AN117" s="1">
        <v>14</v>
      </c>
      <c r="AO117" s="1">
        <f>knicks_players_all_stats[[#This Row],[PF]]/knicks_players_all_stats[[#This Row],[GP]]</f>
        <v>1.0769230769230769</v>
      </c>
      <c r="AP117" s="1">
        <v>48</v>
      </c>
      <c r="AQ117" s="4">
        <f>knicks_players_all_stats[[#This Row],[PTS]]/knicks_players_all_stats[[#This Row],[GP]]</f>
        <v>3.6923076923076925</v>
      </c>
    </row>
    <row r="118" spans="1:43" x14ac:dyDescent="0.3">
      <c r="A118" s="1" t="s">
        <v>1446</v>
      </c>
      <c r="B118" s="1" t="s">
        <v>1304</v>
      </c>
      <c r="C118" s="1" t="str">
        <f>knicks_players_all_stats[[#This Row],[NAME]]&amp;" ("&amp;knicks_players_all_stats[[#This Row],[SEASON]]&amp;")"</f>
        <v>Wilson Chandler (2008-09)</v>
      </c>
      <c r="D118" s="1">
        <f>knicks_players_all_stats[[#This Row],[PLAYER_AGE]]/10</f>
        <v>22</v>
      </c>
      <c r="E118">
        <v>220</v>
      </c>
      <c r="F118" s="1">
        <v>82</v>
      </c>
      <c r="G118" s="1">
        <v>27350</v>
      </c>
      <c r="H1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913</v>
      </c>
      <c r="I118" s="4">
        <f>knicks_players_all_stats[[#This Row],[VALORATION]]/knicks_players_all_stats[[#This Row],[GP]]</f>
        <v>11.134146341463415</v>
      </c>
      <c r="J118" s="1">
        <v>455</v>
      </c>
      <c r="K118" s="1">
        <v>1054</v>
      </c>
      <c r="L118" s="2">
        <f>knicks_players_all_stats[[#This Row],[FGM]]/knicks_players_all_stats[[#This Row],[FGA]]</f>
        <v>0.43168880455407971</v>
      </c>
      <c r="M118" s="16">
        <f>knicks_players_all_stats[[#This Row],[FG3M2]]/10</f>
        <v>103</v>
      </c>
      <c r="N118" s="1">
        <v>1030</v>
      </c>
      <c r="O118" s="1">
        <f>knicks_players_all_stats[[#This Row],[FG3A2]]/10</f>
        <v>314</v>
      </c>
      <c r="P118" s="1">
        <v>3140</v>
      </c>
      <c r="Q118" s="2">
        <f>knicks_players_all_stats[[#This Row],[FG3M2]]/knicks_players_all_stats[[#This Row],[FG3A2]]</f>
        <v>0.32802547770700635</v>
      </c>
      <c r="R118" s="1">
        <v>171</v>
      </c>
      <c r="S118" s="1">
        <v>215</v>
      </c>
      <c r="T118" s="3">
        <f>knicks_players_all_stats[[#This Row],[FTM]]/knicks_players_all_stats[[#This Row],[FTA]]</f>
        <v>0.79534883720930227</v>
      </c>
      <c r="U118" s="1">
        <f>knicks_players_all_stats[[#This Row],[OREB22]]/10</f>
        <v>91</v>
      </c>
      <c r="V118" s="1">
        <f>knicks_players_all_stats[[#This Row],[DREB33]]/10</f>
        <v>354</v>
      </c>
      <c r="W118" s="1">
        <f>knicks_players_all_stats[[#This Row],[REB44]]/10</f>
        <v>445</v>
      </c>
      <c r="X118">
        <v>910</v>
      </c>
      <c r="Y118">
        <v>3540</v>
      </c>
      <c r="Z118">
        <v>4450</v>
      </c>
      <c r="AA118" s="14">
        <f>knicks_players_all_stats[[#This Row],[REB]]/knicks_players_all_stats[[#This Row],[GP]]</f>
        <v>5.4268292682926829</v>
      </c>
      <c r="AB118" s="1">
        <v>170</v>
      </c>
      <c r="AC118" s="4">
        <f>knicks_players_all_stats[[#This Row],[AST]]/knicks_players_all_stats[[#This Row],[GP]]</f>
        <v>2.0731707317073171</v>
      </c>
      <c r="AD118" s="1">
        <f>knicks_players_all_stats[[#This Row],[STL2]]/10</f>
        <v>71</v>
      </c>
      <c r="AE118" s="1">
        <v>710</v>
      </c>
      <c r="AF118" s="4">
        <f>knicks_players_all_stats[[#This Row],[STL]]/knicks_players_all_stats[[#This Row],[GP]]</f>
        <v>0.86585365853658536</v>
      </c>
      <c r="AG118">
        <v>750</v>
      </c>
      <c r="AH118" s="1">
        <f>knicks_players_all_stats[[#This Row],[BLK2]]/10</f>
        <v>75</v>
      </c>
      <c r="AI118" s="4">
        <f>knicks_players_all_stats[[#This Row],[BLK]]/knicks_players_all_stats[[#This Row],[GP]]</f>
        <v>0.91463414634146345</v>
      </c>
      <c r="AJ118">
        <v>1390</v>
      </c>
      <c r="AK118" s="4">
        <f>knicks_players_all_stats[[#This Row],[BLKPG]]+knicks_players_all_stats[[#This Row],[STLPG]]+knicks_players_all_stats[[#This Row],[REBPG]]</f>
        <v>7.2073170731707314</v>
      </c>
      <c r="AL118" s="1">
        <f>knicks_players_all_stats[[#This Row],[TOV2]]/10</f>
        <v>139</v>
      </c>
      <c r="AM118" s="4">
        <f>knicks_players_all_stats[[#This Row],[TOV]]/knicks_players_all_stats[[#This Row],[GP]]</f>
        <v>1.6951219512195121</v>
      </c>
      <c r="AN118" s="1">
        <v>250</v>
      </c>
      <c r="AO118" s="1">
        <f>knicks_players_all_stats[[#This Row],[PF]]/knicks_players_all_stats[[#This Row],[GP]]</f>
        <v>3.0487804878048781</v>
      </c>
      <c r="AP118" s="1">
        <v>1184</v>
      </c>
      <c r="AQ118" s="4">
        <f>knicks_players_all_stats[[#This Row],[PTS]]/knicks_players_all_stats[[#This Row],[GP]]</f>
        <v>14.439024390243903</v>
      </c>
    </row>
    <row r="119" spans="1:43" x14ac:dyDescent="0.3">
      <c r="A119" s="1" t="s">
        <v>1457</v>
      </c>
      <c r="B119" s="1" t="s">
        <v>1281</v>
      </c>
      <c r="C119" s="1" t="str">
        <f>knicks_players_all_stats[[#This Row],[NAME]]&amp;" ("&amp;knicks_players_all_stats[[#This Row],[SEASON]]&amp;")"</f>
        <v>Ron Baker (2016-17)</v>
      </c>
      <c r="D119" s="1">
        <f>knicks_players_all_stats[[#This Row],[PLAYER_AGE]]/10</f>
        <v>24</v>
      </c>
      <c r="E119">
        <v>240</v>
      </c>
      <c r="F119" s="1">
        <v>52</v>
      </c>
      <c r="G119" s="1">
        <v>8570</v>
      </c>
      <c r="H1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182</v>
      </c>
      <c r="I119" s="4">
        <f>knicks_players_all_stats[[#This Row],[VALORATION]]/knicks_players_all_stats[[#This Row],[GP]]</f>
        <v>3.5</v>
      </c>
      <c r="J119" s="1">
        <v>82</v>
      </c>
      <c r="K119" s="1">
        <v>217</v>
      </c>
      <c r="L119" s="2">
        <f>knicks_players_all_stats[[#This Row],[FGM]]/knicks_players_all_stats[[#This Row],[FGA]]</f>
        <v>0.37788018433179721</v>
      </c>
      <c r="M119" s="16">
        <f>knicks_players_all_stats[[#This Row],[FG3M2]]/10</f>
        <v>23</v>
      </c>
      <c r="N119" s="1">
        <v>230</v>
      </c>
      <c r="O119" s="1">
        <f>knicks_players_all_stats[[#This Row],[FG3A2]]/10</f>
        <v>86</v>
      </c>
      <c r="P119" s="1">
        <v>860</v>
      </c>
      <c r="Q119" s="2">
        <f>knicks_players_all_stats[[#This Row],[FG3M2]]/knicks_players_all_stats[[#This Row],[FG3A2]]</f>
        <v>0.26744186046511625</v>
      </c>
      <c r="R119" s="1">
        <v>28</v>
      </c>
      <c r="S119" s="1">
        <v>43</v>
      </c>
      <c r="T119" s="3">
        <f>knicks_players_all_stats[[#This Row],[FTM]]/knicks_players_all_stats[[#This Row],[FTA]]</f>
        <v>0.65116279069767447</v>
      </c>
      <c r="U119" s="1">
        <f>knicks_players_all_stats[[#This Row],[OREB22]]/10</f>
        <v>12</v>
      </c>
      <c r="V119" s="1">
        <f>knicks_players_all_stats[[#This Row],[DREB33]]/10</f>
        <v>86</v>
      </c>
      <c r="W119" s="1">
        <f>knicks_players_all_stats[[#This Row],[REB44]]/10</f>
        <v>98</v>
      </c>
      <c r="X119">
        <v>120</v>
      </c>
      <c r="Y119">
        <v>860</v>
      </c>
      <c r="Z119">
        <v>980</v>
      </c>
      <c r="AA119" s="14">
        <f>knicks_players_all_stats[[#This Row],[REB]]/knicks_players_all_stats[[#This Row],[GP]]</f>
        <v>1.8846153846153846</v>
      </c>
      <c r="AB119" s="1">
        <v>107</v>
      </c>
      <c r="AC119" s="4">
        <f>knicks_players_all_stats[[#This Row],[AST]]/knicks_players_all_stats[[#This Row],[GP]]</f>
        <v>2.0576923076923075</v>
      </c>
      <c r="AD119" s="1">
        <f>knicks_players_all_stats[[#This Row],[STL2]]/10</f>
        <v>34</v>
      </c>
      <c r="AE119" s="1">
        <v>340</v>
      </c>
      <c r="AF119" s="4">
        <f>knicks_players_all_stats[[#This Row],[STL]]/knicks_players_all_stats[[#This Row],[GP]]</f>
        <v>0.65384615384615385</v>
      </c>
      <c r="AG119">
        <v>80</v>
      </c>
      <c r="AH119" s="1">
        <f>knicks_players_all_stats[[#This Row],[BLK2]]/10</f>
        <v>8</v>
      </c>
      <c r="AI119" s="4">
        <f>knicks_players_all_stats[[#This Row],[BLK]]/knicks_players_all_stats[[#This Row],[GP]]</f>
        <v>0.15384615384615385</v>
      </c>
      <c r="AJ119">
        <v>560</v>
      </c>
      <c r="AK119" s="4">
        <f>knicks_players_all_stats[[#This Row],[BLKPG]]+knicks_players_all_stats[[#This Row],[STLPG]]+knicks_players_all_stats[[#This Row],[REBPG]]</f>
        <v>2.6923076923076925</v>
      </c>
      <c r="AL119" s="1">
        <f>knicks_players_all_stats[[#This Row],[TOV2]]/10</f>
        <v>56</v>
      </c>
      <c r="AM119" s="4">
        <f>knicks_players_all_stats[[#This Row],[TOV]]/knicks_players_all_stats[[#This Row],[GP]]</f>
        <v>1.0769230769230769</v>
      </c>
      <c r="AN119" s="1">
        <v>74</v>
      </c>
      <c r="AO119" s="1">
        <f>knicks_players_all_stats[[#This Row],[PF]]/knicks_players_all_stats[[#This Row],[GP]]</f>
        <v>1.4230769230769231</v>
      </c>
      <c r="AP119" s="1">
        <v>215</v>
      </c>
      <c r="AQ119" s="4">
        <f>knicks_players_all_stats[[#This Row],[PTS]]/knicks_players_all_stats[[#This Row],[GP]]</f>
        <v>4.134615384615385</v>
      </c>
    </row>
    <row r="120" spans="1:43" x14ac:dyDescent="0.3">
      <c r="A120" s="1" t="s">
        <v>1477</v>
      </c>
      <c r="B120" s="1" t="s">
        <v>1305</v>
      </c>
      <c r="C120" s="1" t="str">
        <f>knicks_players_all_stats[[#This Row],[NAME]]&amp;" ("&amp;knicks_players_all_stats[[#This Row],[SEASON]]&amp;")"</f>
        <v>Eddie House (2009-10)</v>
      </c>
      <c r="D120" s="1">
        <f>knicks_players_all_stats[[#This Row],[PLAYER_AGE]]/10</f>
        <v>32</v>
      </c>
      <c r="E120">
        <v>320</v>
      </c>
      <c r="F120" s="1">
        <v>18</v>
      </c>
      <c r="G120" s="1">
        <v>3710</v>
      </c>
      <c r="H1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75</v>
      </c>
      <c r="I120" s="4">
        <f>knicks_players_all_stats[[#This Row],[VALORATION]]/knicks_players_all_stats[[#This Row],[GP]]</f>
        <v>4.166666666666667</v>
      </c>
      <c r="J120" s="1">
        <v>44</v>
      </c>
      <c r="K120" s="1">
        <v>133</v>
      </c>
      <c r="L120" s="2">
        <f>knicks_players_all_stats[[#This Row],[FGM]]/knicks_players_all_stats[[#This Row],[FGA]]</f>
        <v>0.33082706766917291</v>
      </c>
      <c r="M120" s="16">
        <f>knicks_players_all_stats[[#This Row],[FG3M2]]/10</f>
        <v>15</v>
      </c>
      <c r="N120" s="1">
        <v>150</v>
      </c>
      <c r="O120" s="1">
        <f>knicks_players_all_stats[[#This Row],[FG3A2]]/10</f>
        <v>60</v>
      </c>
      <c r="P120" s="1">
        <v>600</v>
      </c>
      <c r="Q120" s="2">
        <f>knicks_players_all_stats[[#This Row],[FG3M2]]/knicks_players_all_stats[[#This Row],[FG3A2]]</f>
        <v>0.25</v>
      </c>
      <c r="R120" s="1">
        <v>12</v>
      </c>
      <c r="S120" s="1">
        <v>12</v>
      </c>
      <c r="T120" s="3">
        <f>knicks_players_all_stats[[#This Row],[FTM]]/knicks_players_all_stats[[#This Row],[FTA]]</f>
        <v>1</v>
      </c>
      <c r="U120" s="1">
        <f>knicks_players_all_stats[[#This Row],[OREB22]]/10</f>
        <v>6</v>
      </c>
      <c r="V120" s="1">
        <f>knicks_players_all_stats[[#This Row],[DREB33]]/10</f>
        <v>34</v>
      </c>
      <c r="W120" s="1">
        <f>knicks_players_all_stats[[#This Row],[REB44]]/10</f>
        <v>40</v>
      </c>
      <c r="X120">
        <v>60</v>
      </c>
      <c r="Y120">
        <v>340</v>
      </c>
      <c r="Z120">
        <v>400</v>
      </c>
      <c r="AA120" s="14">
        <f>knicks_players_all_stats[[#This Row],[REB]]/knicks_players_all_stats[[#This Row],[GP]]</f>
        <v>2.2222222222222223</v>
      </c>
      <c r="AB120" s="1">
        <v>37</v>
      </c>
      <c r="AC120" s="4">
        <f>knicks_players_all_stats[[#This Row],[AST]]/knicks_players_all_stats[[#This Row],[GP]]</f>
        <v>2.0555555555555554</v>
      </c>
      <c r="AD120" s="1">
        <f>knicks_players_all_stats[[#This Row],[STL2]]/10</f>
        <v>12</v>
      </c>
      <c r="AE120" s="1">
        <v>120</v>
      </c>
      <c r="AF120" s="4">
        <f>knicks_players_all_stats[[#This Row],[STL]]/knicks_players_all_stats[[#This Row],[GP]]</f>
        <v>0.66666666666666663</v>
      </c>
      <c r="AG120">
        <v>0</v>
      </c>
      <c r="AH120" s="1">
        <f>knicks_players_all_stats[[#This Row],[BLK2]]/10</f>
        <v>0</v>
      </c>
      <c r="AI120" s="4">
        <f>knicks_players_all_stats[[#This Row],[BLK]]/knicks_players_all_stats[[#This Row],[GP]]</f>
        <v>0</v>
      </c>
      <c r="AJ120">
        <v>200</v>
      </c>
      <c r="AK120" s="4">
        <f>knicks_players_all_stats[[#This Row],[BLKPG]]+knicks_players_all_stats[[#This Row],[STLPG]]+knicks_players_all_stats[[#This Row],[REBPG]]</f>
        <v>2.8888888888888888</v>
      </c>
      <c r="AL120" s="1">
        <f>knicks_players_all_stats[[#This Row],[TOV2]]/10</f>
        <v>20</v>
      </c>
      <c r="AM120" s="4">
        <f>knicks_players_all_stats[[#This Row],[TOV]]/knicks_players_all_stats[[#This Row],[GP]]</f>
        <v>1.1111111111111112</v>
      </c>
      <c r="AN120" s="1">
        <v>20</v>
      </c>
      <c r="AO120" s="1">
        <f>knicks_players_all_stats[[#This Row],[PF]]/knicks_players_all_stats[[#This Row],[GP]]</f>
        <v>1.1111111111111112</v>
      </c>
      <c r="AP120" s="1">
        <v>115</v>
      </c>
      <c r="AQ120" s="4">
        <f>knicks_players_all_stats[[#This Row],[PTS]]/knicks_players_all_stats[[#This Row],[GP]]</f>
        <v>6.3888888888888893</v>
      </c>
    </row>
    <row r="121" spans="1:43" customFormat="1" x14ac:dyDescent="0.3">
      <c r="A121" s="1" t="s">
        <v>1280</v>
      </c>
      <c r="B121" s="1" t="s">
        <v>1259</v>
      </c>
      <c r="C121" s="1" t="str">
        <f>knicks_players_all_stats[[#This Row],[NAME]]&amp;" ("&amp;knicks_players_all_stats[[#This Row],[SEASON]]&amp;")"</f>
        <v>Kyle O'Quinn (2017-18)</v>
      </c>
      <c r="D121" s="1">
        <f>knicks_players_all_stats[[#This Row],[PLAYER_AGE]]/10</f>
        <v>28</v>
      </c>
      <c r="E121">
        <v>280</v>
      </c>
      <c r="F121" s="1">
        <v>77</v>
      </c>
      <c r="G121" s="1">
        <v>13870</v>
      </c>
      <c r="H1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831</v>
      </c>
      <c r="I121" s="4">
        <f>knicks_players_all_stats[[#This Row],[VALORATION]]/knicks_players_all_stats[[#This Row],[GP]]</f>
        <v>10.792207792207792</v>
      </c>
      <c r="J121" s="1">
        <v>224</v>
      </c>
      <c r="K121" s="1">
        <v>384</v>
      </c>
      <c r="L121" s="2">
        <f>knicks_players_all_stats[[#This Row],[FGM]]/knicks_players_all_stats[[#This Row],[FGA]]</f>
        <v>0.58333333333333337</v>
      </c>
      <c r="M121" s="16">
        <f>knicks_players_all_stats[[#This Row],[FG3M2]]/10</f>
        <v>4</v>
      </c>
      <c r="N121" s="1">
        <v>40</v>
      </c>
      <c r="O121" s="1">
        <f>knicks_players_all_stats[[#This Row],[FG3A2]]/10</f>
        <v>17</v>
      </c>
      <c r="P121" s="1">
        <v>170</v>
      </c>
      <c r="Q121" s="2">
        <f>knicks_players_all_stats[[#This Row],[FG3M2]]/knicks_players_all_stats[[#This Row],[FG3A2]]</f>
        <v>0.23529411764705882</v>
      </c>
      <c r="R121" s="1">
        <v>98</v>
      </c>
      <c r="S121" s="1">
        <v>127</v>
      </c>
      <c r="T121" s="3">
        <f>knicks_players_all_stats[[#This Row],[FTM]]/knicks_players_all_stats[[#This Row],[FTA]]</f>
        <v>0.77165354330708658</v>
      </c>
      <c r="U121" s="1">
        <f>knicks_players_all_stats[[#This Row],[OREB22]]/10</f>
        <v>121</v>
      </c>
      <c r="V121" s="1">
        <f>knicks_players_all_stats[[#This Row],[DREB33]]/10</f>
        <v>349</v>
      </c>
      <c r="W121" s="1">
        <f>knicks_players_all_stats[[#This Row],[REB44]]/10</f>
        <v>470</v>
      </c>
      <c r="X121">
        <v>1210</v>
      </c>
      <c r="Y121">
        <v>3490</v>
      </c>
      <c r="Z121">
        <v>4700</v>
      </c>
      <c r="AA121" s="14">
        <f>knicks_players_all_stats[[#This Row],[REB]]/knicks_players_all_stats[[#This Row],[GP]]</f>
        <v>6.1038961038961039</v>
      </c>
      <c r="AB121" s="1">
        <v>158</v>
      </c>
      <c r="AC121" s="4">
        <f>knicks_players_all_stats[[#This Row],[AST]]/knicks_players_all_stats[[#This Row],[GP]]</f>
        <v>2.051948051948052</v>
      </c>
      <c r="AD121" s="1">
        <f>knicks_players_all_stats[[#This Row],[STL2]]/10</f>
        <v>36</v>
      </c>
      <c r="AE121" s="1">
        <v>360</v>
      </c>
      <c r="AF121" s="4">
        <f>knicks_players_all_stats[[#This Row],[STL]]/knicks_players_all_stats[[#This Row],[GP]]</f>
        <v>0.46753246753246752</v>
      </c>
      <c r="AG121">
        <v>980</v>
      </c>
      <c r="AH121" s="1">
        <f>knicks_players_all_stats[[#This Row],[BLK2]]/10</f>
        <v>98</v>
      </c>
      <c r="AI121" s="4">
        <f>knicks_players_all_stats[[#This Row],[BLK]]/knicks_players_all_stats[[#This Row],[GP]]</f>
        <v>1.2727272727272727</v>
      </c>
      <c r="AJ121">
        <v>1000</v>
      </c>
      <c r="AK121" s="4">
        <f>knicks_players_all_stats[[#This Row],[BLKPG]]+knicks_players_all_stats[[#This Row],[STLPG]]+knicks_players_all_stats[[#This Row],[REBPG]]</f>
        <v>7.8441558441558445</v>
      </c>
      <c r="AL121" s="1">
        <f>knicks_players_all_stats[[#This Row],[TOV2]]/10</f>
        <v>100</v>
      </c>
      <c r="AM121" s="4">
        <f>knicks_players_all_stats[[#This Row],[TOV]]/knicks_players_all_stats[[#This Row],[GP]]</f>
        <v>1.2987012987012987</v>
      </c>
      <c r="AN121" s="1">
        <v>192</v>
      </c>
      <c r="AO121" s="1">
        <f>knicks_players_all_stats[[#This Row],[PF]]/knicks_players_all_stats[[#This Row],[GP]]</f>
        <v>2.4935064935064934</v>
      </c>
      <c r="AP121" s="1">
        <v>550</v>
      </c>
      <c r="AQ121" s="4">
        <f>knicks_players_all_stats[[#This Row],[PTS]]/knicks_players_all_stats[[#This Row],[GP]]</f>
        <v>7.1428571428571432</v>
      </c>
    </row>
    <row r="122" spans="1:43" customFormat="1" x14ac:dyDescent="0.3">
      <c r="A122" s="1" t="s">
        <v>1335</v>
      </c>
      <c r="B122" s="1" t="s">
        <v>1290</v>
      </c>
      <c r="C122" s="1" t="str">
        <f>knicks_players_all_stats[[#This Row],[NAME]]&amp;" ("&amp;knicks_players_all_stats[[#This Row],[SEASON]]&amp;")"</f>
        <v>Mike Bibby (2011-12)</v>
      </c>
      <c r="D122" s="1">
        <f>knicks_players_all_stats[[#This Row],[PLAYER_AGE]]/10</f>
        <v>34</v>
      </c>
      <c r="E122">
        <v>340</v>
      </c>
      <c r="F122" s="1">
        <v>39</v>
      </c>
      <c r="G122" s="1">
        <v>5570</v>
      </c>
      <c r="H1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110</v>
      </c>
      <c r="I122" s="4">
        <f>knicks_players_all_stats[[#This Row],[VALORATION]]/knicks_players_all_stats[[#This Row],[GP]]</f>
        <v>2.8205128205128207</v>
      </c>
      <c r="J122" s="1">
        <v>35</v>
      </c>
      <c r="K122" s="1">
        <v>124</v>
      </c>
      <c r="L122" s="2">
        <f>knicks_players_all_stats[[#This Row],[FGM]]/knicks_players_all_stats[[#This Row],[FGA]]</f>
        <v>0.28225806451612906</v>
      </c>
      <c r="M122" s="16">
        <f>knicks_players_all_stats[[#This Row],[FG3M2]]/10</f>
        <v>27</v>
      </c>
      <c r="N122" s="1">
        <v>270</v>
      </c>
      <c r="O122" s="1">
        <f>knicks_players_all_stats[[#This Row],[FG3A2]]/10</f>
        <v>85</v>
      </c>
      <c r="P122" s="1">
        <v>850</v>
      </c>
      <c r="Q122" s="2">
        <f>knicks_players_all_stats[[#This Row],[FG3M2]]/knicks_players_all_stats[[#This Row],[FG3A2]]</f>
        <v>0.31764705882352939</v>
      </c>
      <c r="R122" s="1">
        <v>6</v>
      </c>
      <c r="S122" s="1">
        <v>8</v>
      </c>
      <c r="T122" s="3">
        <f>knicks_players_all_stats[[#This Row],[FTM]]/knicks_players_all_stats[[#This Row],[FTA]]</f>
        <v>0.75</v>
      </c>
      <c r="U122" s="1">
        <f>knicks_players_all_stats[[#This Row],[OREB22]]/10</f>
        <v>5</v>
      </c>
      <c r="V122" s="1">
        <f>knicks_players_all_stats[[#This Row],[DREB33]]/10</f>
        <v>54</v>
      </c>
      <c r="W122" s="1">
        <f>knicks_players_all_stats[[#This Row],[REB44]]/10</f>
        <v>59</v>
      </c>
      <c r="X122">
        <v>50</v>
      </c>
      <c r="Y122">
        <v>540</v>
      </c>
      <c r="Z122">
        <v>590</v>
      </c>
      <c r="AA122" s="14">
        <f>knicks_players_all_stats[[#This Row],[REB]]/knicks_players_all_stats[[#This Row],[GP]]</f>
        <v>1.5128205128205128</v>
      </c>
      <c r="AB122" s="1">
        <v>80</v>
      </c>
      <c r="AC122" s="4">
        <f>knicks_players_all_stats[[#This Row],[AST]]/knicks_players_all_stats[[#This Row],[GP]]</f>
        <v>2.0512820512820511</v>
      </c>
      <c r="AD122" s="1">
        <f>knicks_players_all_stats[[#This Row],[STL2]]/10</f>
        <v>21</v>
      </c>
      <c r="AE122" s="1">
        <v>210</v>
      </c>
      <c r="AF122" s="4">
        <f>knicks_players_all_stats[[#This Row],[STL]]/knicks_players_all_stats[[#This Row],[GP]]</f>
        <v>0.53846153846153844</v>
      </c>
      <c r="AG122">
        <v>30</v>
      </c>
      <c r="AH122" s="1">
        <f>knicks_players_all_stats[[#This Row],[BLK2]]/10</f>
        <v>3</v>
      </c>
      <c r="AI122" s="4">
        <f>knicks_players_all_stats[[#This Row],[BLK]]/knicks_players_all_stats[[#This Row],[GP]]</f>
        <v>7.6923076923076927E-2</v>
      </c>
      <c r="AJ122">
        <v>200</v>
      </c>
      <c r="AK122" s="4">
        <f>knicks_players_all_stats[[#This Row],[BLKPG]]+knicks_players_all_stats[[#This Row],[STLPG]]+knicks_players_all_stats[[#This Row],[REBPG]]</f>
        <v>2.1282051282051282</v>
      </c>
      <c r="AL122" s="1">
        <f>knicks_players_all_stats[[#This Row],[TOV2]]/10</f>
        <v>20</v>
      </c>
      <c r="AM122" s="4">
        <f>knicks_players_all_stats[[#This Row],[TOV]]/knicks_players_all_stats[[#This Row],[GP]]</f>
        <v>0.51282051282051277</v>
      </c>
      <c r="AN122" s="1">
        <v>45</v>
      </c>
      <c r="AO122" s="1">
        <f>knicks_players_all_stats[[#This Row],[PF]]/knicks_players_all_stats[[#This Row],[GP]]</f>
        <v>1.1538461538461537</v>
      </c>
      <c r="AP122" s="1">
        <v>103</v>
      </c>
      <c r="AQ122" s="4">
        <f>knicks_players_all_stats[[#This Row],[PTS]]/knicks_players_all_stats[[#This Row],[GP]]</f>
        <v>2.641025641025641</v>
      </c>
    </row>
    <row r="123" spans="1:43" x14ac:dyDescent="0.3">
      <c r="A123" s="1" t="s">
        <v>1301</v>
      </c>
      <c r="B123" s="1" t="s">
        <v>1300</v>
      </c>
      <c r="C123" s="1" t="str">
        <f>knicks_players_all_stats[[#This Row],[NAME]]&amp;" ("&amp;knicks_players_all_stats[[#This Row],[SEASON]]&amp;")"</f>
        <v>Nate Robinson (2005-06)</v>
      </c>
      <c r="D123" s="1">
        <f>knicks_players_all_stats[[#This Row],[PLAYER_AGE]]/10</f>
        <v>22</v>
      </c>
      <c r="E123">
        <v>220</v>
      </c>
      <c r="F123" s="1">
        <v>72</v>
      </c>
      <c r="G123" s="1">
        <v>15440</v>
      </c>
      <c r="H1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344</v>
      </c>
      <c r="I123" s="4">
        <f>knicks_players_all_stats[[#This Row],[VALORATION]]/knicks_players_all_stats[[#This Row],[GP]]</f>
        <v>4.7777777777777777</v>
      </c>
      <c r="J123" s="1">
        <v>230</v>
      </c>
      <c r="K123" s="1">
        <v>565</v>
      </c>
      <c r="L123" s="2">
        <f>knicks_players_all_stats[[#This Row],[FGM]]/knicks_players_all_stats[[#This Row],[FGA]]</f>
        <v>0.40707964601769914</v>
      </c>
      <c r="M123" s="16">
        <f>knicks_players_all_stats[[#This Row],[FG3M2]]/10</f>
        <v>58</v>
      </c>
      <c r="N123" s="1">
        <v>580</v>
      </c>
      <c r="O123" s="1">
        <f>knicks_players_all_stats[[#This Row],[FG3A2]]/10</f>
        <v>146</v>
      </c>
      <c r="P123" s="1">
        <v>1460</v>
      </c>
      <c r="Q123" s="2">
        <f>knicks_players_all_stats[[#This Row],[FG3M2]]/knicks_players_all_stats[[#This Row],[FG3A2]]</f>
        <v>0.39726027397260272</v>
      </c>
      <c r="R123" s="1">
        <v>152</v>
      </c>
      <c r="S123" s="1">
        <v>202</v>
      </c>
      <c r="T123" s="3">
        <f>knicks_players_all_stats[[#This Row],[FTM]]/knicks_players_all_stats[[#This Row],[FTA]]</f>
        <v>0.75247524752475248</v>
      </c>
      <c r="U123" s="1">
        <f>knicks_players_all_stats[[#This Row],[OREB22]]/10</f>
        <v>56</v>
      </c>
      <c r="V123" s="1">
        <f>knicks_players_all_stats[[#This Row],[DREB33]]/10</f>
        <v>111</v>
      </c>
      <c r="W123" s="1">
        <f>knicks_players_all_stats[[#This Row],[REB44]]/10</f>
        <v>167</v>
      </c>
      <c r="X123">
        <v>560</v>
      </c>
      <c r="Y123">
        <v>1110</v>
      </c>
      <c r="Z123">
        <v>1670</v>
      </c>
      <c r="AA123" s="14">
        <f>knicks_players_all_stats[[#This Row],[REB]]/knicks_players_all_stats[[#This Row],[GP]]</f>
        <v>2.3194444444444446</v>
      </c>
      <c r="AB123" s="1">
        <v>147</v>
      </c>
      <c r="AC123" s="4">
        <f>knicks_players_all_stats[[#This Row],[AST]]/knicks_players_all_stats[[#This Row],[GP]]</f>
        <v>2.0416666666666665</v>
      </c>
      <c r="AD123" s="1">
        <f>knicks_players_all_stats[[#This Row],[STL2]]/10</f>
        <v>59</v>
      </c>
      <c r="AE123" s="1">
        <v>590</v>
      </c>
      <c r="AF123" s="4">
        <f>knicks_players_all_stats[[#This Row],[STL]]/knicks_players_all_stats[[#This Row],[GP]]</f>
        <v>0.81944444444444442</v>
      </c>
      <c r="AG123">
        <v>10</v>
      </c>
      <c r="AH123" s="1">
        <f>knicks_players_all_stats[[#This Row],[BLK2]]/10</f>
        <v>1</v>
      </c>
      <c r="AI123" s="4">
        <f>knicks_players_all_stats[[#This Row],[BLK]]/knicks_players_all_stats[[#This Row],[GP]]</f>
        <v>1.3888888888888888E-2</v>
      </c>
      <c r="AJ123">
        <v>1140</v>
      </c>
      <c r="AK123" s="4">
        <f>knicks_players_all_stats[[#This Row],[BLKPG]]+knicks_players_all_stats[[#This Row],[STLPG]]+knicks_players_all_stats[[#This Row],[REBPG]]</f>
        <v>3.1527777777777777</v>
      </c>
      <c r="AL123" s="1">
        <f>knicks_players_all_stats[[#This Row],[TOV2]]/10</f>
        <v>114</v>
      </c>
      <c r="AM123" s="4">
        <f>knicks_players_all_stats[[#This Row],[TOV]]/knicks_players_all_stats[[#This Row],[GP]]</f>
        <v>1.5833333333333333</v>
      </c>
      <c r="AN123" s="1">
        <v>201</v>
      </c>
      <c r="AO123" s="1">
        <f>knicks_players_all_stats[[#This Row],[PF]]/knicks_players_all_stats[[#This Row],[GP]]</f>
        <v>2.7916666666666665</v>
      </c>
      <c r="AP123" s="1">
        <v>670</v>
      </c>
      <c r="AQ123" s="4">
        <f>knicks_players_all_stats[[#This Row],[PTS]]/knicks_players_all_stats[[#This Row],[GP]]</f>
        <v>9.3055555555555554</v>
      </c>
    </row>
    <row r="124" spans="1:43" customFormat="1" x14ac:dyDescent="0.3">
      <c r="A124" s="1" t="s">
        <v>1774</v>
      </c>
      <c r="B124" s="1" t="s">
        <v>1303</v>
      </c>
      <c r="C124" s="1" t="str">
        <f>knicks_players_all_stats[[#This Row],[NAME]]&amp;" ("&amp;knicks_players_all_stats[[#This Row],[SEASON]]&amp;")"</f>
        <v>Zach Randolph (2007-08)</v>
      </c>
      <c r="D124" s="1">
        <f>knicks_players_all_stats[[#This Row],[PLAYER_AGE]]/10</f>
        <v>26</v>
      </c>
      <c r="E124">
        <v>260</v>
      </c>
      <c r="F124" s="1">
        <v>69</v>
      </c>
      <c r="G124" s="1">
        <v>22440</v>
      </c>
      <c r="H1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1124</v>
      </c>
      <c r="I124" s="4">
        <f>knicks_players_all_stats[[#This Row],[VALORATION]]/knicks_players_all_stats[[#This Row],[GP]]</f>
        <v>16.289855072463769</v>
      </c>
      <c r="J124" s="1">
        <v>486</v>
      </c>
      <c r="K124" s="1">
        <v>1058</v>
      </c>
      <c r="L124" s="1">
        <v>459</v>
      </c>
      <c r="M124" s="4">
        <f>knicks_players_all_stats[[#This Row],[FG3M2]]/10</f>
        <v>22</v>
      </c>
      <c r="N124" s="1">
        <v>220</v>
      </c>
      <c r="O124" s="1">
        <f>knicks_players_all_stats[[#This Row],[FG3A2]]/10</f>
        <v>80</v>
      </c>
      <c r="P124" s="1">
        <v>800</v>
      </c>
      <c r="Q124" s="2">
        <f>knicks_players_all_stats[[#This Row],[FG3M2]]/knicks_players_all_stats[[#This Row],[FG3A2]]</f>
        <v>0.27500000000000002</v>
      </c>
      <c r="R124" s="1">
        <v>223</v>
      </c>
      <c r="S124" s="1">
        <v>289</v>
      </c>
      <c r="T124" s="3">
        <f>knicks_players_all_stats[[#This Row],[FTM]]/knicks_players_all_stats[[#This Row],[FTA]]</f>
        <v>0.77162629757785473</v>
      </c>
      <c r="U124" s="1">
        <f>knicks_players_all_stats[[#This Row],[OREB22]]/10</f>
        <v>184</v>
      </c>
      <c r="V124" s="1">
        <f>knicks_players_all_stats[[#This Row],[DREB33]]/10</f>
        <v>526</v>
      </c>
      <c r="W124" s="1">
        <f>knicks_players_all_stats[[#This Row],[REB44]]/10</f>
        <v>710</v>
      </c>
      <c r="X124">
        <v>1840</v>
      </c>
      <c r="Y124">
        <v>5260</v>
      </c>
      <c r="Z124">
        <v>7100</v>
      </c>
      <c r="AA124" s="14">
        <f>knicks_players_all_stats[[#This Row],[REB]]/knicks_players_all_stats[[#This Row],[GP]]</f>
        <v>10.289855072463768</v>
      </c>
      <c r="AB124" s="1">
        <v>140</v>
      </c>
      <c r="AC124" s="4">
        <f>knicks_players_all_stats[[#This Row],[AST]]/knicks_players_all_stats[[#This Row],[GP]]</f>
        <v>2.0289855072463769</v>
      </c>
      <c r="AD124" s="1">
        <f>knicks_players_all_stats[[#This Row],[STL2]]/10</f>
        <v>59</v>
      </c>
      <c r="AE124" s="1">
        <v>590</v>
      </c>
      <c r="AF124" s="4">
        <f>knicks_players_all_stats[[#This Row],[STL]]/knicks_players_all_stats[[#This Row],[GP]]</f>
        <v>0.85507246376811596</v>
      </c>
      <c r="AG124">
        <v>160</v>
      </c>
      <c r="AH124" s="1">
        <f>knicks_players_all_stats[[#This Row],[BLK2]]/10</f>
        <v>16</v>
      </c>
      <c r="AI124" s="4">
        <f>knicks_players_all_stats[[#This Row],[BLK]]/knicks_players_all_stats[[#This Row],[GP]]</f>
        <v>0.2318840579710145</v>
      </c>
      <c r="AJ124">
        <v>1860</v>
      </c>
      <c r="AK124" s="4">
        <f>knicks_players_all_stats[[#This Row],[BLKPG]]+knicks_players_all_stats[[#This Row],[STLPG]]+knicks_players_all_stats[[#This Row],[REBPG]]</f>
        <v>11.376811594202898</v>
      </c>
      <c r="AL124" s="1">
        <f>knicks_players_all_stats[[#This Row],[TOV2]]/10</f>
        <v>186</v>
      </c>
      <c r="AM124" s="4">
        <f>knicks_players_all_stats[[#This Row],[TOV]]/knicks_players_all_stats[[#This Row],[GP]]</f>
        <v>2.6956521739130435</v>
      </c>
      <c r="AN124" s="1">
        <v>194</v>
      </c>
      <c r="AO124" s="1">
        <f>knicks_players_all_stats[[#This Row],[PF]]/knicks_players_all_stats[[#This Row],[GP]]</f>
        <v>2.8115942028985508</v>
      </c>
      <c r="AP124" s="1">
        <v>1217</v>
      </c>
      <c r="AQ124" s="4">
        <f>knicks_players_all_stats[[#This Row],[PTS]]/knicks_players_all_stats[[#This Row],[GP]]</f>
        <v>17.637681159420289</v>
      </c>
    </row>
    <row r="125" spans="1:43" x14ac:dyDescent="0.3">
      <c r="A125" s="1" t="s">
        <v>1374</v>
      </c>
      <c r="B125" s="1" t="s">
        <v>1279</v>
      </c>
      <c r="C125" s="1" t="str">
        <f>knicks_players_all_stats[[#This Row],[NAME]]&amp;" ("&amp;knicks_players_all_stats[[#This Row],[SEASON]]&amp;")"</f>
        <v>Arron Afflalo (2015-16)</v>
      </c>
      <c r="D125" s="1">
        <f>knicks_players_all_stats[[#This Row],[PLAYER_AGE]]/10</f>
        <v>30</v>
      </c>
      <c r="E125">
        <v>300</v>
      </c>
      <c r="F125" s="1">
        <v>71</v>
      </c>
      <c r="G125" s="1">
        <v>23710</v>
      </c>
      <c r="H1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664</v>
      </c>
      <c r="I125" s="4">
        <f>knicks_players_all_stats[[#This Row],[VALORATION]]/knicks_players_all_stats[[#This Row],[GP]]</f>
        <v>9.352112676056338</v>
      </c>
      <c r="J125" s="1">
        <v>354</v>
      </c>
      <c r="K125" s="1">
        <v>799</v>
      </c>
      <c r="L125" s="2">
        <f>knicks_players_all_stats[[#This Row],[FGM]]/knicks_players_all_stats[[#This Row],[FGA]]</f>
        <v>0.44305381727158949</v>
      </c>
      <c r="M125" s="16">
        <f>knicks_players_all_stats[[#This Row],[FG3M2]]/10</f>
        <v>91</v>
      </c>
      <c r="N125" s="1">
        <v>910</v>
      </c>
      <c r="O125" s="1">
        <f>knicks_players_all_stats[[#This Row],[FG3A2]]/10</f>
        <v>238</v>
      </c>
      <c r="P125" s="1">
        <v>2380</v>
      </c>
      <c r="Q125" s="2">
        <f>knicks_players_all_stats[[#This Row],[FG3M2]]/knicks_players_all_stats[[#This Row],[FG3A2]]</f>
        <v>0.38235294117647056</v>
      </c>
      <c r="R125" s="1">
        <v>110</v>
      </c>
      <c r="S125" s="1">
        <v>131</v>
      </c>
      <c r="T125" s="3">
        <f>knicks_players_all_stats[[#This Row],[FTM]]/knicks_players_all_stats[[#This Row],[FTA]]</f>
        <v>0.83969465648854957</v>
      </c>
      <c r="U125" s="1">
        <f>knicks_players_all_stats[[#This Row],[OREB22]]/10</f>
        <v>23</v>
      </c>
      <c r="V125" s="1">
        <f>knicks_players_all_stats[[#This Row],[DREB33]]/10</f>
        <v>243</v>
      </c>
      <c r="W125" s="1">
        <f>knicks_players_all_stats[[#This Row],[REB44]]/10</f>
        <v>266</v>
      </c>
      <c r="X125">
        <v>230</v>
      </c>
      <c r="Y125">
        <v>2430</v>
      </c>
      <c r="Z125">
        <v>2660</v>
      </c>
      <c r="AA125" s="14">
        <f>knicks_players_all_stats[[#This Row],[REB]]/knicks_players_all_stats[[#This Row],[GP]]</f>
        <v>3.7464788732394365</v>
      </c>
      <c r="AB125" s="1">
        <v>144</v>
      </c>
      <c r="AC125" s="4">
        <f>knicks_players_all_stats[[#This Row],[AST]]/knicks_players_all_stats[[#This Row],[GP]]</f>
        <v>2.028169014084507</v>
      </c>
      <c r="AD125" s="1">
        <f>knicks_players_all_stats[[#This Row],[STL2]]/10</f>
        <v>25</v>
      </c>
      <c r="AE125" s="1">
        <v>250</v>
      </c>
      <c r="AF125" s="4">
        <f>knicks_players_all_stats[[#This Row],[STL]]/knicks_players_all_stats[[#This Row],[GP]]</f>
        <v>0.352112676056338</v>
      </c>
      <c r="AG125">
        <v>100</v>
      </c>
      <c r="AH125" s="1">
        <f>knicks_players_all_stats[[#This Row],[BLK2]]/10</f>
        <v>10</v>
      </c>
      <c r="AI125" s="4">
        <f>knicks_players_all_stats[[#This Row],[BLK]]/knicks_players_all_stats[[#This Row],[GP]]</f>
        <v>0.14084507042253522</v>
      </c>
      <c r="AJ125">
        <v>820</v>
      </c>
      <c r="AK125" s="4">
        <f>knicks_players_all_stats[[#This Row],[BLKPG]]+knicks_players_all_stats[[#This Row],[STLPG]]+knicks_players_all_stats[[#This Row],[REBPG]]</f>
        <v>4.23943661971831</v>
      </c>
      <c r="AL125" s="1">
        <f>knicks_players_all_stats[[#This Row],[TOV2]]/10</f>
        <v>82</v>
      </c>
      <c r="AM125" s="4">
        <f>knicks_players_all_stats[[#This Row],[TOV]]/knicks_players_all_stats[[#This Row],[GP]]</f>
        <v>1.1549295774647887</v>
      </c>
      <c r="AN125" s="1">
        <v>142</v>
      </c>
      <c r="AO125" s="1">
        <f>knicks_players_all_stats[[#This Row],[PF]]/knicks_players_all_stats[[#This Row],[GP]]</f>
        <v>2</v>
      </c>
      <c r="AP125" s="1">
        <v>909</v>
      </c>
      <c r="AQ125" s="4">
        <f>knicks_players_all_stats[[#This Row],[PTS]]/knicks_players_all_stats[[#This Row],[GP]]</f>
        <v>12.80281690140845</v>
      </c>
    </row>
    <row r="126" spans="1:43" x14ac:dyDescent="0.3">
      <c r="A126" s="1" t="s">
        <v>1294</v>
      </c>
      <c r="B126" s="1" t="s">
        <v>1293</v>
      </c>
      <c r="C126" s="1" t="str">
        <f>knicks_players_all_stats[[#This Row],[NAME]]&amp;" ("&amp;knicks_players_all_stats[[#This Row],[SEASON]]&amp;")"</f>
        <v>Moochie Norris (2003-04)</v>
      </c>
      <c r="D126" s="1">
        <f>knicks_players_all_stats[[#This Row],[PLAYER_AGE]]/10</f>
        <v>30</v>
      </c>
      <c r="E126">
        <v>300</v>
      </c>
      <c r="F126" s="1">
        <v>36</v>
      </c>
      <c r="G126" s="1">
        <v>4460</v>
      </c>
      <c r="H1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136</v>
      </c>
      <c r="I126" s="4">
        <f>knicks_players_all_stats[[#This Row],[VALORATION]]/knicks_players_all_stats[[#This Row],[GP]]</f>
        <v>3.7777777777777777</v>
      </c>
      <c r="J126" s="1">
        <v>53</v>
      </c>
      <c r="K126" s="1">
        <v>130</v>
      </c>
      <c r="L126" s="2">
        <f>knicks_players_all_stats[[#This Row],[FGM]]/knicks_players_all_stats[[#This Row],[FGA]]</f>
        <v>0.40769230769230769</v>
      </c>
      <c r="M126" s="16">
        <f>knicks_players_all_stats[[#This Row],[FG3M2]]/10</f>
        <v>12</v>
      </c>
      <c r="N126" s="1">
        <v>120</v>
      </c>
      <c r="O126" s="1">
        <f>knicks_players_all_stats[[#This Row],[FG3A2]]/10</f>
        <v>35</v>
      </c>
      <c r="P126" s="1">
        <v>350</v>
      </c>
      <c r="Q126" s="2">
        <f>knicks_players_all_stats[[#This Row],[FG3M2]]/knicks_players_all_stats[[#This Row],[FG3A2]]</f>
        <v>0.34285714285714286</v>
      </c>
      <c r="R126" s="1">
        <v>36</v>
      </c>
      <c r="S126" s="1">
        <v>47</v>
      </c>
      <c r="T126" s="3">
        <f>knicks_players_all_stats[[#This Row],[FTM]]/knicks_players_all_stats[[#This Row],[FTA]]</f>
        <v>0.76595744680851063</v>
      </c>
      <c r="U126" s="1">
        <f>knicks_players_all_stats[[#This Row],[OREB22]]/10</f>
        <v>8</v>
      </c>
      <c r="V126" s="1">
        <f>knicks_players_all_stats[[#This Row],[DREB33]]/10</f>
        <v>27</v>
      </c>
      <c r="W126" s="1">
        <f>knicks_players_all_stats[[#This Row],[REB44]]/10</f>
        <v>35</v>
      </c>
      <c r="X126">
        <v>80</v>
      </c>
      <c r="Y126">
        <v>270</v>
      </c>
      <c r="Z126">
        <v>350</v>
      </c>
      <c r="AA126" s="14">
        <f>knicks_players_all_stats[[#This Row],[REB]]/knicks_players_all_stats[[#This Row],[GP]]</f>
        <v>0.97222222222222221</v>
      </c>
      <c r="AB126" s="1">
        <v>73</v>
      </c>
      <c r="AC126" s="4">
        <f>knicks_players_all_stats[[#This Row],[AST]]/knicks_players_all_stats[[#This Row],[GP]]</f>
        <v>2.0277777777777777</v>
      </c>
      <c r="AD126" s="1">
        <f>knicks_players_all_stats[[#This Row],[STL2]]/10</f>
        <v>28</v>
      </c>
      <c r="AE126" s="1">
        <v>280</v>
      </c>
      <c r="AF126" s="4">
        <f>knicks_players_all_stats[[#This Row],[STL]]/knicks_players_all_stats[[#This Row],[GP]]</f>
        <v>0.77777777777777779</v>
      </c>
      <c r="AG126">
        <v>30</v>
      </c>
      <c r="AH126" s="1">
        <f>knicks_players_all_stats[[#This Row],[BLK2]]/10</f>
        <v>3</v>
      </c>
      <c r="AI126" s="4">
        <f>knicks_players_all_stats[[#This Row],[BLK]]/knicks_players_all_stats[[#This Row],[GP]]</f>
        <v>8.3333333333333329E-2</v>
      </c>
      <c r="AJ126">
        <v>340</v>
      </c>
      <c r="AK126" s="4">
        <f>knicks_players_all_stats[[#This Row],[BLKPG]]+knicks_players_all_stats[[#This Row],[STLPG]]+knicks_players_all_stats[[#This Row],[REBPG]]</f>
        <v>1.8333333333333335</v>
      </c>
      <c r="AL126" s="1">
        <f>knicks_players_all_stats[[#This Row],[TOV2]]/10</f>
        <v>34</v>
      </c>
      <c r="AM126" s="4">
        <f>knicks_players_all_stats[[#This Row],[TOV]]/knicks_players_all_stats[[#This Row],[GP]]</f>
        <v>0.94444444444444442</v>
      </c>
      <c r="AN126" s="1">
        <v>35</v>
      </c>
      <c r="AO126" s="1">
        <f>knicks_players_all_stats[[#This Row],[PF]]/knicks_players_all_stats[[#This Row],[GP]]</f>
        <v>0.97222222222222221</v>
      </c>
      <c r="AP126" s="1">
        <v>154</v>
      </c>
      <c r="AQ126" s="4">
        <f>knicks_players_all_stats[[#This Row],[PTS]]/knicks_players_all_stats[[#This Row],[GP]]</f>
        <v>4.2777777777777777</v>
      </c>
    </row>
    <row r="127" spans="1:43" customFormat="1" x14ac:dyDescent="0.3">
      <c r="A127" s="1" t="s">
        <v>1577</v>
      </c>
      <c r="B127" s="1" t="s">
        <v>1290</v>
      </c>
      <c r="C127" s="1" t="str">
        <f>knicks_players_all_stats[[#This Row],[NAME]]&amp;" ("&amp;knicks_players_all_stats[[#This Row],[SEASON]]&amp;")"</f>
        <v>Toney Douglas (2011-12)</v>
      </c>
      <c r="D127" s="1">
        <f>knicks_players_all_stats[[#This Row],[PLAYER_AGE]]/10</f>
        <v>26</v>
      </c>
      <c r="E127">
        <v>260</v>
      </c>
      <c r="F127" s="1">
        <v>38</v>
      </c>
      <c r="G127" s="1">
        <v>6560</v>
      </c>
      <c r="H1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</v>
      </c>
      <c r="I127" s="4">
        <f>knicks_players_all_stats[[#This Row],[VALORATION]]/knicks_players_all_stats[[#This Row],[GP]]</f>
        <v>2.763157894736842</v>
      </c>
      <c r="J127" s="1">
        <v>94</v>
      </c>
      <c r="K127" s="1">
        <v>290</v>
      </c>
      <c r="L127" s="2">
        <f>knicks_players_all_stats[[#This Row],[FGM]]/knicks_players_all_stats[[#This Row],[FGA]]</f>
        <v>0.32413793103448274</v>
      </c>
      <c r="M127" s="16">
        <f>knicks_players_all_stats[[#This Row],[FG3M2]]/10</f>
        <v>27</v>
      </c>
      <c r="N127" s="1">
        <v>270</v>
      </c>
      <c r="O127" s="1">
        <f>knicks_players_all_stats[[#This Row],[FG3A2]]/10</f>
        <v>117</v>
      </c>
      <c r="P127" s="1">
        <v>1170</v>
      </c>
      <c r="Q127" s="2">
        <f>knicks_players_all_stats[[#This Row],[FG3M2]]/knicks_players_all_stats[[#This Row],[FG3A2]]</f>
        <v>0.23076923076923078</v>
      </c>
      <c r="R127" s="1">
        <v>22</v>
      </c>
      <c r="S127" s="1">
        <v>26</v>
      </c>
      <c r="T127" s="3">
        <f>knicks_players_all_stats[[#This Row],[FTM]]/knicks_players_all_stats[[#This Row],[FTA]]</f>
        <v>0.84615384615384615</v>
      </c>
      <c r="U127" s="1">
        <f>knicks_players_all_stats[[#This Row],[OREB22]]/10</f>
        <v>16</v>
      </c>
      <c r="V127" s="1">
        <f>knicks_players_all_stats[[#This Row],[DREB33]]/10</f>
        <v>56</v>
      </c>
      <c r="W127" s="1">
        <f>knicks_players_all_stats[[#This Row],[REB44]]/10</f>
        <v>72</v>
      </c>
      <c r="X127">
        <v>160</v>
      </c>
      <c r="Y127">
        <v>560</v>
      </c>
      <c r="Z127">
        <v>720</v>
      </c>
      <c r="AA127" s="14">
        <f>knicks_players_all_stats[[#This Row],[REB]]/knicks_players_all_stats[[#This Row],[GP]]</f>
        <v>1.8947368421052631</v>
      </c>
      <c r="AB127" s="1">
        <v>77</v>
      </c>
      <c r="AC127" s="4">
        <f>knicks_players_all_stats[[#This Row],[AST]]/knicks_players_all_stats[[#This Row],[GP]]</f>
        <v>2.0263157894736841</v>
      </c>
      <c r="AD127" s="1">
        <f>knicks_players_all_stats[[#This Row],[STL2]]/10</f>
        <v>29</v>
      </c>
      <c r="AE127" s="1">
        <v>290</v>
      </c>
      <c r="AF127" s="4">
        <f>knicks_players_all_stats[[#This Row],[STL]]/knicks_players_all_stats[[#This Row],[GP]]</f>
        <v>0.76315789473684215</v>
      </c>
      <c r="AG127">
        <v>10</v>
      </c>
      <c r="AH127" s="1">
        <f>knicks_players_all_stats[[#This Row],[BLK2]]/10</f>
        <v>1</v>
      </c>
      <c r="AI127" s="4">
        <f>knicks_players_all_stats[[#This Row],[BLK]]/knicks_players_all_stats[[#This Row],[GP]]</f>
        <v>2.6315789473684209E-2</v>
      </c>
      <c r="AJ127">
        <v>560</v>
      </c>
      <c r="AK127" s="4">
        <f>knicks_players_all_stats[[#This Row],[BLKPG]]+knicks_players_all_stats[[#This Row],[STLPG]]+knicks_players_all_stats[[#This Row],[REBPG]]</f>
        <v>2.6842105263157894</v>
      </c>
      <c r="AL127" s="1">
        <f>knicks_players_all_stats[[#This Row],[TOV2]]/10</f>
        <v>56</v>
      </c>
      <c r="AM127" s="4">
        <f>knicks_players_all_stats[[#This Row],[TOV]]/knicks_players_all_stats[[#This Row],[GP]]</f>
        <v>1.4736842105263157</v>
      </c>
      <c r="AN127" s="1">
        <v>55</v>
      </c>
      <c r="AO127" s="1">
        <f>knicks_players_all_stats[[#This Row],[PF]]/knicks_players_all_stats[[#This Row],[GP]]</f>
        <v>1.4473684210526316</v>
      </c>
      <c r="AP127" s="1">
        <v>237</v>
      </c>
      <c r="AQ127" s="4">
        <f>knicks_players_all_stats[[#This Row],[PTS]]/knicks_players_all_stats[[#This Row],[GP]]</f>
        <v>6.2368421052631575</v>
      </c>
    </row>
    <row r="128" spans="1:43" customFormat="1" x14ac:dyDescent="0.3">
      <c r="A128" s="1" t="s">
        <v>1790</v>
      </c>
      <c r="B128" s="1" t="s">
        <v>1325</v>
      </c>
      <c r="C128" s="1" t="str">
        <f>knicks_players_all_stats[[#This Row],[NAME]]&amp;" ("&amp;knicks_players_all_stats[[#This Row],[SEASON]]&amp;")"</f>
        <v>Kurt Thomas (2002-03)</v>
      </c>
      <c r="D128" s="1">
        <f>knicks_players_all_stats[[#This Row],[PLAYER_AGE]]/10</f>
        <v>30</v>
      </c>
      <c r="E128">
        <v>300</v>
      </c>
      <c r="F128" s="1">
        <v>81</v>
      </c>
      <c r="G128" s="1">
        <v>25750</v>
      </c>
      <c r="H1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1052</v>
      </c>
      <c r="I128" s="4">
        <f>knicks_players_all_stats[[#This Row],[VALORATION]]/knicks_players_all_stats[[#This Row],[GP]]</f>
        <v>12.987654320987655</v>
      </c>
      <c r="J128" s="1">
        <v>497</v>
      </c>
      <c r="K128" s="1">
        <v>1028</v>
      </c>
      <c r="L128" s="1">
        <v>483</v>
      </c>
      <c r="M128" s="4">
        <f>knicks_players_all_stats[[#This Row],[FG3M2]]/10</f>
        <v>2</v>
      </c>
      <c r="N128" s="1">
        <v>20</v>
      </c>
      <c r="O128" s="1">
        <f>knicks_players_all_stats[[#This Row],[FG3A2]]/10</f>
        <v>3</v>
      </c>
      <c r="P128" s="1">
        <v>30</v>
      </c>
      <c r="Q128" s="2">
        <f>knicks_players_all_stats[[#This Row],[FG3M2]]/knicks_players_all_stats[[#This Row],[FG3A2]]</f>
        <v>0.66666666666666663</v>
      </c>
      <c r="R128" s="1">
        <v>138</v>
      </c>
      <c r="S128" s="1">
        <v>184</v>
      </c>
      <c r="T128" s="3">
        <f>knicks_players_all_stats[[#This Row],[FTM]]/knicks_players_all_stats[[#This Row],[FTA]]</f>
        <v>0.75</v>
      </c>
      <c r="U128" s="1">
        <f>knicks_players_all_stats[[#This Row],[OREB22]]/10</f>
        <v>160</v>
      </c>
      <c r="V128" s="1">
        <f>knicks_players_all_stats[[#This Row],[DREB33]]/10</f>
        <v>477</v>
      </c>
      <c r="W128" s="1">
        <f>knicks_players_all_stats[[#This Row],[REB44]]/10</f>
        <v>637</v>
      </c>
      <c r="X128">
        <v>1600</v>
      </c>
      <c r="Y128">
        <v>4770</v>
      </c>
      <c r="Z128">
        <v>6370</v>
      </c>
      <c r="AA128" s="14">
        <f>knicks_players_all_stats[[#This Row],[REB]]/knicks_players_all_stats[[#This Row],[GP]]</f>
        <v>7.8641975308641978</v>
      </c>
      <c r="AB128" s="1">
        <v>162</v>
      </c>
      <c r="AC128" s="4">
        <f>knicks_players_all_stats[[#This Row],[AST]]/knicks_players_all_stats[[#This Row],[GP]]</f>
        <v>2</v>
      </c>
      <c r="AD128" s="1">
        <f>knicks_players_all_stats[[#This Row],[STL2]]/10</f>
        <v>81</v>
      </c>
      <c r="AE128" s="1">
        <v>810</v>
      </c>
      <c r="AF128" s="4">
        <f>knicks_players_all_stats[[#This Row],[STL]]/knicks_players_all_stats[[#This Row],[GP]]</f>
        <v>1</v>
      </c>
      <c r="AG128">
        <v>970</v>
      </c>
      <c r="AH128" s="1">
        <f>knicks_players_all_stats[[#This Row],[BLK2]]/10</f>
        <v>97</v>
      </c>
      <c r="AI128" s="4">
        <f>knicks_players_all_stats[[#This Row],[BLK]]/knicks_players_all_stats[[#This Row],[GP]]</f>
        <v>1.1975308641975309</v>
      </c>
      <c r="AJ128">
        <v>1380</v>
      </c>
      <c r="AK128" s="4">
        <f>knicks_players_all_stats[[#This Row],[BLKPG]]+knicks_players_all_stats[[#This Row],[STLPG]]+knicks_players_all_stats[[#This Row],[REBPG]]</f>
        <v>10.061728395061728</v>
      </c>
      <c r="AL128" s="1">
        <f>knicks_players_all_stats[[#This Row],[TOV2]]/10</f>
        <v>138</v>
      </c>
      <c r="AM128" s="4">
        <f>knicks_players_all_stats[[#This Row],[TOV]]/knicks_players_all_stats[[#This Row],[GP]]</f>
        <v>1.7037037037037037</v>
      </c>
      <c r="AN128" s="1">
        <v>344</v>
      </c>
      <c r="AO128" s="1">
        <f>knicks_players_all_stats[[#This Row],[PF]]/knicks_players_all_stats[[#This Row],[GP]]</f>
        <v>4.2469135802469138</v>
      </c>
      <c r="AP128" s="1">
        <v>1134</v>
      </c>
      <c r="AQ128" s="4">
        <f>knicks_players_all_stats[[#This Row],[PTS]]/knicks_players_all_stats[[#This Row],[GP]]</f>
        <v>14</v>
      </c>
    </row>
    <row r="129" spans="1:43" customFormat="1" x14ac:dyDescent="0.3">
      <c r="A129" s="1" t="s">
        <v>1790</v>
      </c>
      <c r="B129" s="1" t="s">
        <v>1295</v>
      </c>
      <c r="C129" s="1" t="str">
        <f>knicks_players_all_stats[[#This Row],[NAME]]&amp;" ("&amp;knicks_players_all_stats[[#This Row],[SEASON]]&amp;")"</f>
        <v>Kurt Thomas (2004-05)</v>
      </c>
      <c r="D129" s="1">
        <f>knicks_players_all_stats[[#This Row],[PLAYER_AGE]]/10</f>
        <v>32</v>
      </c>
      <c r="E129">
        <v>320</v>
      </c>
      <c r="F129" s="1">
        <v>80</v>
      </c>
      <c r="G129" s="1">
        <v>28550</v>
      </c>
      <c r="H1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1152</v>
      </c>
      <c r="I129" s="4">
        <f>knicks_players_all_stats[[#This Row],[VALORATION]]/knicks_players_all_stats[[#This Row],[GP]]</f>
        <v>14.4</v>
      </c>
      <c r="J129" s="1">
        <v>424</v>
      </c>
      <c r="K129" s="1">
        <v>901</v>
      </c>
      <c r="L129" s="1">
        <v>471</v>
      </c>
      <c r="M129" s="4">
        <f>knicks_players_all_stats[[#This Row],[FG3M2]]/10</f>
        <v>2</v>
      </c>
      <c r="N129" s="1">
        <v>20</v>
      </c>
      <c r="O129" s="1">
        <f>knicks_players_all_stats[[#This Row],[FG3A2]]/10</f>
        <v>4</v>
      </c>
      <c r="P129" s="1">
        <v>40</v>
      </c>
      <c r="Q129" s="2">
        <f>knicks_players_all_stats[[#This Row],[FG3M2]]/knicks_players_all_stats[[#This Row],[FG3A2]]</f>
        <v>0.5</v>
      </c>
      <c r="R129" s="1">
        <v>66</v>
      </c>
      <c r="S129" s="1">
        <v>84</v>
      </c>
      <c r="T129" s="3">
        <f>knicks_players_all_stats[[#This Row],[FTM]]/knicks_players_all_stats[[#This Row],[FTA]]</f>
        <v>0.7857142857142857</v>
      </c>
      <c r="U129" s="1">
        <f>knicks_players_all_stats[[#This Row],[OREB22]]/10</f>
        <v>170</v>
      </c>
      <c r="V129" s="1">
        <f>knicks_players_all_stats[[#This Row],[DREB33]]/10</f>
        <v>661</v>
      </c>
      <c r="W129" s="1">
        <f>knicks_players_all_stats[[#This Row],[REB44]]/10</f>
        <v>831</v>
      </c>
      <c r="X129">
        <v>1700</v>
      </c>
      <c r="Y129">
        <v>6610</v>
      </c>
      <c r="Z129">
        <v>8310</v>
      </c>
      <c r="AA129" s="14">
        <f>knicks_players_all_stats[[#This Row],[REB]]/knicks_players_all_stats[[#This Row],[GP]]</f>
        <v>10.387499999999999</v>
      </c>
      <c r="AB129" s="1">
        <v>160</v>
      </c>
      <c r="AC129" s="4">
        <f>knicks_players_all_stats[[#This Row],[AST]]/knicks_players_all_stats[[#This Row],[GP]]</f>
        <v>2</v>
      </c>
      <c r="AD129" s="1">
        <f>knicks_players_all_stats[[#This Row],[STL2]]/10</f>
        <v>70</v>
      </c>
      <c r="AE129" s="1">
        <v>700</v>
      </c>
      <c r="AF129" s="4">
        <f>knicks_players_all_stats[[#This Row],[STL]]/knicks_players_all_stats[[#This Row],[GP]]</f>
        <v>0.875</v>
      </c>
      <c r="AG129">
        <v>790</v>
      </c>
      <c r="AH129" s="1">
        <f>knicks_players_all_stats[[#This Row],[BLK2]]/10</f>
        <v>79</v>
      </c>
      <c r="AI129" s="4">
        <f>knicks_players_all_stats[[#This Row],[BLK]]/knicks_players_all_stats[[#This Row],[GP]]</f>
        <v>0.98750000000000004</v>
      </c>
      <c r="AJ129">
        <v>990</v>
      </c>
      <c r="AK129" s="4">
        <f>knicks_players_all_stats[[#This Row],[BLKPG]]+knicks_players_all_stats[[#This Row],[STLPG]]+knicks_players_all_stats[[#This Row],[REBPG]]</f>
        <v>12.25</v>
      </c>
      <c r="AL129" s="1">
        <f>knicks_players_all_stats[[#This Row],[TOV2]]/10</f>
        <v>99</v>
      </c>
      <c r="AM129" s="4">
        <f>knicks_players_all_stats[[#This Row],[TOV]]/knicks_players_all_stats[[#This Row],[GP]]</f>
        <v>1.2375</v>
      </c>
      <c r="AN129" s="1">
        <v>310</v>
      </c>
      <c r="AO129" s="1">
        <f>knicks_players_all_stats[[#This Row],[PF]]/knicks_players_all_stats[[#This Row],[GP]]</f>
        <v>3.875</v>
      </c>
      <c r="AP129" s="1">
        <v>916</v>
      </c>
      <c r="AQ129" s="4">
        <f>knicks_players_all_stats[[#This Row],[PTS]]/knicks_players_all_stats[[#This Row],[GP]]</f>
        <v>11.45</v>
      </c>
    </row>
    <row r="130" spans="1:43" customFormat="1" x14ac:dyDescent="0.3">
      <c r="A130" s="1" t="s">
        <v>1324</v>
      </c>
      <c r="B130" s="1" t="s">
        <v>1292</v>
      </c>
      <c r="C130" s="1" t="str">
        <f>knicks_players_all_stats[[#This Row],[NAME]]&amp;" ("&amp;knicks_players_all_stats[[#This Row],[SEASON]]&amp;")"</f>
        <v>Earl Barron (2012-13)</v>
      </c>
      <c r="D130" s="1">
        <f>knicks_players_all_stats[[#This Row],[PLAYER_AGE]]/10</f>
        <v>31</v>
      </c>
      <c r="E130">
        <v>310</v>
      </c>
      <c r="F130" s="1">
        <v>1</v>
      </c>
      <c r="G130" s="1">
        <v>370</v>
      </c>
      <c r="H1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</v>
      </c>
      <c r="I130" s="4">
        <f>knicks_players_all_stats[[#This Row],[VALORATION]]/knicks_players_all_stats[[#This Row],[GP]]</f>
        <v>20</v>
      </c>
      <c r="J130" s="1">
        <v>5</v>
      </c>
      <c r="K130" s="1">
        <v>14</v>
      </c>
      <c r="L130" s="2">
        <f>knicks_players_all_stats[[#This Row],[FGM]]/knicks_players_all_stats[[#This Row],[FGA]]</f>
        <v>0.35714285714285715</v>
      </c>
      <c r="M130" s="16">
        <f>knicks_players_all_stats[[#This Row],[FG3M2]]/10</f>
        <v>0</v>
      </c>
      <c r="N130" s="1">
        <v>0</v>
      </c>
      <c r="O130" s="1">
        <f>knicks_players_all_stats[[#This Row],[FG3A2]]/10</f>
        <v>0</v>
      </c>
      <c r="P130" s="1">
        <v>0</v>
      </c>
      <c r="Q130" s="2" t="e">
        <f>knicks_players_all_stats[[#This Row],[FG3M2]]/knicks_players_all_stats[[#This Row],[FG3A2]]</f>
        <v>#DIV/0!</v>
      </c>
      <c r="R130" s="1">
        <v>1</v>
      </c>
      <c r="S130" s="1">
        <v>2</v>
      </c>
      <c r="T130" s="3">
        <f>knicks_players_all_stats[[#This Row],[FTM]]/knicks_players_all_stats[[#This Row],[FTA]]</f>
        <v>0.5</v>
      </c>
      <c r="U130" s="1">
        <f>knicks_players_all_stats[[#This Row],[OREB22]]/10</f>
        <v>6</v>
      </c>
      <c r="V130" s="1">
        <f>knicks_players_all_stats[[#This Row],[DREB33]]/10</f>
        <v>12</v>
      </c>
      <c r="W130" s="1">
        <f>knicks_players_all_stats[[#This Row],[REB44]]/10</f>
        <v>18</v>
      </c>
      <c r="X130">
        <v>60</v>
      </c>
      <c r="Y130">
        <v>120</v>
      </c>
      <c r="Z130">
        <v>180</v>
      </c>
      <c r="AA130" s="14">
        <f>knicks_players_all_stats[[#This Row],[REB]]/knicks_players_all_stats[[#This Row],[GP]]</f>
        <v>18</v>
      </c>
      <c r="AB130" s="1">
        <v>2</v>
      </c>
      <c r="AC130" s="4">
        <f>knicks_players_all_stats[[#This Row],[AST]]/knicks_players_all_stats[[#This Row],[GP]]</f>
        <v>2</v>
      </c>
      <c r="AD130" s="1">
        <f>knicks_players_all_stats[[#This Row],[STL2]]/10</f>
        <v>0</v>
      </c>
      <c r="AE130" s="1">
        <v>0</v>
      </c>
      <c r="AF130" s="4">
        <f>knicks_players_all_stats[[#This Row],[STL]]/knicks_players_all_stats[[#This Row],[GP]]</f>
        <v>0</v>
      </c>
      <c r="AG130">
        <v>10</v>
      </c>
      <c r="AH130" s="1">
        <f>knicks_players_all_stats[[#This Row],[BLK2]]/10</f>
        <v>1</v>
      </c>
      <c r="AI130" s="4">
        <f>knicks_players_all_stats[[#This Row],[BLK]]/knicks_players_all_stats[[#This Row],[GP]]</f>
        <v>1</v>
      </c>
      <c r="AJ130">
        <v>10</v>
      </c>
      <c r="AK130" s="4">
        <f>knicks_players_all_stats[[#This Row],[BLKPG]]+knicks_players_all_stats[[#This Row],[STLPG]]+knicks_players_all_stats[[#This Row],[REBPG]]</f>
        <v>19</v>
      </c>
      <c r="AL130" s="1">
        <f>knicks_players_all_stats[[#This Row],[TOV2]]/10</f>
        <v>1</v>
      </c>
      <c r="AM130" s="4">
        <f>knicks_players_all_stats[[#This Row],[TOV]]/knicks_players_all_stats[[#This Row],[GP]]</f>
        <v>1</v>
      </c>
      <c r="AN130" s="1">
        <v>1</v>
      </c>
      <c r="AO130" s="1">
        <f>knicks_players_all_stats[[#This Row],[PF]]/knicks_players_all_stats[[#This Row],[GP]]</f>
        <v>1</v>
      </c>
      <c r="AP130" s="1">
        <v>11</v>
      </c>
      <c r="AQ130" s="4">
        <f>knicks_players_all_stats[[#This Row],[PTS]]/knicks_players_all_stats[[#This Row],[GP]]</f>
        <v>11</v>
      </c>
    </row>
    <row r="131" spans="1:43" x14ac:dyDescent="0.3">
      <c r="A131" s="1" t="s">
        <v>1577</v>
      </c>
      <c r="B131" s="1" t="s">
        <v>1305</v>
      </c>
      <c r="C131" s="1" t="str">
        <f>knicks_players_all_stats[[#This Row],[NAME]]&amp;" ("&amp;knicks_players_all_stats[[#This Row],[SEASON]]&amp;")"</f>
        <v>Toney Douglas (2009-10)</v>
      </c>
      <c r="D131" s="1">
        <f>knicks_players_all_stats[[#This Row],[PLAYER_AGE]]/10</f>
        <v>24</v>
      </c>
      <c r="E131">
        <v>240</v>
      </c>
      <c r="F131" s="1">
        <v>56</v>
      </c>
      <c r="G131" s="1">
        <v>10870</v>
      </c>
      <c r="H1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350</v>
      </c>
      <c r="I131" s="4">
        <f>knicks_players_all_stats[[#This Row],[VALORATION]]/knicks_players_all_stats[[#This Row],[GP]]</f>
        <v>6.25</v>
      </c>
      <c r="J131" s="1">
        <v>179</v>
      </c>
      <c r="K131" s="1">
        <v>391</v>
      </c>
      <c r="L131" s="2">
        <f>knicks_players_all_stats[[#This Row],[FGM]]/knicks_players_all_stats[[#This Row],[FGA]]</f>
        <v>0.4578005115089514</v>
      </c>
      <c r="M131" s="16">
        <f>knicks_players_all_stats[[#This Row],[FG3M2]]/10</f>
        <v>68</v>
      </c>
      <c r="N131" s="1">
        <v>680</v>
      </c>
      <c r="O131" s="1">
        <f>knicks_players_all_stats[[#This Row],[FG3A2]]/10</f>
        <v>175</v>
      </c>
      <c r="P131" s="1">
        <v>1750</v>
      </c>
      <c r="Q131" s="2">
        <f>knicks_players_all_stats[[#This Row],[FG3M2]]/knicks_players_all_stats[[#This Row],[FG3A2]]</f>
        <v>0.38857142857142857</v>
      </c>
      <c r="R131" s="1">
        <v>55</v>
      </c>
      <c r="S131" s="1">
        <v>68</v>
      </c>
      <c r="T131" s="3">
        <f>knicks_players_all_stats[[#This Row],[FTM]]/knicks_players_all_stats[[#This Row],[FTA]]</f>
        <v>0.80882352941176472</v>
      </c>
      <c r="U131" s="1">
        <f>knicks_players_all_stats[[#This Row],[OREB22]]/10</f>
        <v>40</v>
      </c>
      <c r="V131" s="1">
        <f>knicks_players_all_stats[[#This Row],[DREB33]]/10</f>
        <v>68</v>
      </c>
      <c r="W131" s="1">
        <f>knicks_players_all_stats[[#This Row],[REB44]]/10</f>
        <v>108</v>
      </c>
      <c r="X131">
        <v>400</v>
      </c>
      <c r="Y131">
        <v>680</v>
      </c>
      <c r="Z131">
        <v>1080</v>
      </c>
      <c r="AA131" s="14">
        <f>knicks_players_all_stats[[#This Row],[REB]]/knicks_players_all_stats[[#This Row],[GP]]</f>
        <v>1.9285714285714286</v>
      </c>
      <c r="AB131" s="1">
        <v>112</v>
      </c>
      <c r="AC131" s="4">
        <f>knicks_players_all_stats[[#This Row],[AST]]/knicks_players_all_stats[[#This Row],[GP]]</f>
        <v>2</v>
      </c>
      <c r="AD131" s="1">
        <f>knicks_players_all_stats[[#This Row],[STL2]]/10</f>
        <v>42</v>
      </c>
      <c r="AE131" s="1">
        <v>420</v>
      </c>
      <c r="AF131" s="4">
        <f>knicks_players_all_stats[[#This Row],[STL]]/knicks_players_all_stats[[#This Row],[GP]]</f>
        <v>0.75</v>
      </c>
      <c r="AG131">
        <v>30</v>
      </c>
      <c r="AH131" s="1">
        <f>knicks_players_all_stats[[#This Row],[BLK2]]/10</f>
        <v>3</v>
      </c>
      <c r="AI131" s="4">
        <f>knicks_players_all_stats[[#This Row],[BLK]]/knicks_players_all_stats[[#This Row],[GP]]</f>
        <v>5.3571428571428568E-2</v>
      </c>
      <c r="AJ131">
        <v>550</v>
      </c>
      <c r="AK131" s="4">
        <f>knicks_players_all_stats[[#This Row],[BLKPG]]+knicks_players_all_stats[[#This Row],[STLPG]]+knicks_players_all_stats[[#This Row],[REBPG]]</f>
        <v>2.7321428571428572</v>
      </c>
      <c r="AL131" s="1">
        <f>knicks_players_all_stats[[#This Row],[TOV2]]/10</f>
        <v>55</v>
      </c>
      <c r="AM131" s="4">
        <f>knicks_players_all_stats[[#This Row],[TOV]]/knicks_players_all_stats[[#This Row],[GP]]</f>
        <v>0.9821428571428571</v>
      </c>
      <c r="AN131" s="1">
        <v>116</v>
      </c>
      <c r="AO131" s="1">
        <f>knicks_players_all_stats[[#This Row],[PF]]/knicks_players_all_stats[[#This Row],[GP]]</f>
        <v>2.0714285714285716</v>
      </c>
      <c r="AP131" s="1">
        <v>481</v>
      </c>
      <c r="AQ131" s="4">
        <f>knicks_players_all_stats[[#This Row],[PTS]]/knicks_players_all_stats[[#This Row],[GP]]</f>
        <v>8.5892857142857135</v>
      </c>
    </row>
    <row r="132" spans="1:43" customFormat="1" x14ac:dyDescent="0.3">
      <c r="A132" s="1" t="s">
        <v>1347</v>
      </c>
      <c r="B132" s="1" t="s">
        <v>1289</v>
      </c>
      <c r="C132" s="1" t="str">
        <f>knicks_players_all_stats[[#This Row],[NAME]]&amp;" ("&amp;knicks_players_all_stats[[#This Row],[SEASON]]&amp;")"</f>
        <v>Austin Rivers (2020-21)</v>
      </c>
      <c r="D132" s="1">
        <f>knicks_players_all_stats[[#This Row],[PLAYER_AGE]]/10</f>
        <v>28</v>
      </c>
      <c r="E132">
        <v>280</v>
      </c>
      <c r="F132" s="1">
        <v>21</v>
      </c>
      <c r="G132" s="1">
        <v>4420</v>
      </c>
      <c r="H1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120</v>
      </c>
      <c r="I132" s="4">
        <f>knicks_players_all_stats[[#This Row],[VALORATION]]/knicks_players_all_stats[[#This Row],[GP]]</f>
        <v>5.7142857142857144</v>
      </c>
      <c r="J132" s="1">
        <v>58</v>
      </c>
      <c r="K132" s="1">
        <v>135</v>
      </c>
      <c r="L132" s="2">
        <f>knicks_players_all_stats[[#This Row],[FGM]]/knicks_players_all_stats[[#This Row],[FGA]]</f>
        <v>0.42962962962962964</v>
      </c>
      <c r="M132" s="16">
        <f>knicks_players_all_stats[[#This Row],[FG3M2]]/10</f>
        <v>28</v>
      </c>
      <c r="N132" s="1">
        <v>280</v>
      </c>
      <c r="O132" s="1">
        <f>knicks_players_all_stats[[#This Row],[FG3A2]]/10</f>
        <v>77</v>
      </c>
      <c r="P132" s="1">
        <v>770</v>
      </c>
      <c r="Q132" s="2">
        <f>knicks_players_all_stats[[#This Row],[FG3M2]]/knicks_players_all_stats[[#This Row],[FG3A2]]</f>
        <v>0.36363636363636365</v>
      </c>
      <c r="R132" s="1">
        <v>10</v>
      </c>
      <c r="S132" s="1">
        <v>14</v>
      </c>
      <c r="T132" s="3">
        <f>knicks_players_all_stats[[#This Row],[FTM]]/knicks_players_all_stats[[#This Row],[FTA]]</f>
        <v>0.7142857142857143</v>
      </c>
      <c r="U132" s="1">
        <f>knicks_players_all_stats[[#This Row],[OREB22]]/10</f>
        <v>5</v>
      </c>
      <c r="V132" s="1">
        <f>knicks_players_all_stats[[#This Row],[DREB33]]/10</f>
        <v>42</v>
      </c>
      <c r="W132" s="1">
        <f>knicks_players_all_stats[[#This Row],[REB44]]/10</f>
        <v>47</v>
      </c>
      <c r="X132">
        <v>50</v>
      </c>
      <c r="Y132">
        <v>420</v>
      </c>
      <c r="Z132">
        <v>470</v>
      </c>
      <c r="AA132" s="14">
        <f>knicks_players_all_stats[[#This Row],[REB]]/knicks_players_all_stats[[#This Row],[GP]]</f>
        <v>2.2380952380952381</v>
      </c>
      <c r="AB132" s="1">
        <v>42</v>
      </c>
      <c r="AC132" s="4">
        <f>knicks_players_all_stats[[#This Row],[AST]]/knicks_players_all_stats[[#This Row],[GP]]</f>
        <v>2</v>
      </c>
      <c r="AD132" s="1">
        <f>knicks_players_all_stats[[#This Row],[STL2]]/10</f>
        <v>12</v>
      </c>
      <c r="AE132" s="1">
        <v>120</v>
      </c>
      <c r="AF132" s="4">
        <f>knicks_players_all_stats[[#This Row],[STL]]/knicks_players_all_stats[[#This Row],[GP]]</f>
        <v>0.5714285714285714</v>
      </c>
      <c r="AG132">
        <v>0</v>
      </c>
      <c r="AH132" s="1">
        <f>knicks_players_all_stats[[#This Row],[BLK2]]/10</f>
        <v>0</v>
      </c>
      <c r="AI132" s="4">
        <f>knicks_players_all_stats[[#This Row],[BLK]]/knicks_players_all_stats[[#This Row],[GP]]</f>
        <v>0</v>
      </c>
      <c r="AJ132">
        <v>220</v>
      </c>
      <c r="AK132" s="4">
        <f>knicks_players_all_stats[[#This Row],[BLKPG]]+knicks_players_all_stats[[#This Row],[STLPG]]+knicks_players_all_stats[[#This Row],[REBPG]]</f>
        <v>2.8095238095238093</v>
      </c>
      <c r="AL132" s="1">
        <f>knicks_players_all_stats[[#This Row],[TOV2]]/10</f>
        <v>22</v>
      </c>
      <c r="AM132" s="4">
        <f>knicks_players_all_stats[[#This Row],[TOV]]/knicks_players_all_stats[[#This Row],[GP]]</f>
        <v>1.0476190476190477</v>
      </c>
      <c r="AN132" s="1">
        <v>32</v>
      </c>
      <c r="AO132" s="1">
        <f>knicks_players_all_stats[[#This Row],[PF]]/knicks_players_all_stats[[#This Row],[GP]]</f>
        <v>1.5238095238095237</v>
      </c>
      <c r="AP132" s="1">
        <v>154</v>
      </c>
      <c r="AQ132" s="4">
        <f>knicks_players_all_stats[[#This Row],[PTS]]/knicks_players_all_stats[[#This Row],[GP]]</f>
        <v>7.333333333333333</v>
      </c>
    </row>
    <row r="133" spans="1:43" customFormat="1" x14ac:dyDescent="0.3">
      <c r="A133" s="1" t="s">
        <v>1612</v>
      </c>
      <c r="B133" s="1" t="s">
        <v>1295</v>
      </c>
      <c r="C133" s="1" t="str">
        <f>knicks_players_all_stats[[#This Row],[NAME]]&amp;" ("&amp;knicks_players_all_stats[[#This Row],[SEASON]]&amp;")"</f>
        <v>Anfernee Hardaway (2004-05)</v>
      </c>
      <c r="D133" s="1">
        <f>knicks_players_all_stats[[#This Row],[PLAYER_AGE]]/10</f>
        <v>33</v>
      </c>
      <c r="E133">
        <v>330</v>
      </c>
      <c r="F133" s="1">
        <v>37</v>
      </c>
      <c r="G133" s="1">
        <v>8950</v>
      </c>
      <c r="H1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172</v>
      </c>
      <c r="I133" s="4">
        <f>knicks_players_all_stats[[#This Row],[VALORATION]]/knicks_players_all_stats[[#This Row],[GP]]</f>
        <v>4.6486486486486482</v>
      </c>
      <c r="J133" s="1">
        <v>110</v>
      </c>
      <c r="K133" s="1">
        <v>260</v>
      </c>
      <c r="L133" s="2">
        <f>knicks_players_all_stats[[#This Row],[FGM]]/knicks_players_all_stats[[#This Row],[FGA]]</f>
        <v>0.42307692307692307</v>
      </c>
      <c r="M133" s="16">
        <f>knicks_players_all_stats[[#This Row],[FG3M2]]/10</f>
        <v>15</v>
      </c>
      <c r="N133" s="1">
        <v>150</v>
      </c>
      <c r="O133" s="1">
        <f>knicks_players_all_stats[[#This Row],[FG3A2]]/10</f>
        <v>50</v>
      </c>
      <c r="P133" s="1">
        <v>500</v>
      </c>
      <c r="Q133" s="2">
        <f>knicks_players_all_stats[[#This Row],[FG3M2]]/knicks_players_all_stats[[#This Row],[FG3A2]]</f>
        <v>0.3</v>
      </c>
      <c r="R133" s="1">
        <v>34</v>
      </c>
      <c r="S133" s="1">
        <v>46</v>
      </c>
      <c r="T133" s="3">
        <f>knicks_players_all_stats[[#This Row],[FTM]]/knicks_players_all_stats[[#This Row],[FTA]]</f>
        <v>0.73913043478260865</v>
      </c>
      <c r="U133" s="1">
        <f>knicks_players_all_stats[[#This Row],[OREB22]]/10</f>
        <v>19</v>
      </c>
      <c r="V133" s="1">
        <f>knicks_players_all_stats[[#This Row],[DREB33]]/10</f>
        <v>70</v>
      </c>
      <c r="W133" s="1">
        <f>knicks_players_all_stats[[#This Row],[REB44]]/10</f>
        <v>89</v>
      </c>
      <c r="X133">
        <v>190</v>
      </c>
      <c r="Y133">
        <v>700</v>
      </c>
      <c r="Z133">
        <v>890</v>
      </c>
      <c r="AA133" s="14">
        <f>knicks_players_all_stats[[#This Row],[REB]]/knicks_players_all_stats[[#This Row],[GP]]</f>
        <v>2.4054054054054053</v>
      </c>
      <c r="AB133" s="1">
        <v>74</v>
      </c>
      <c r="AC133" s="4">
        <f>knicks_players_all_stats[[#This Row],[AST]]/knicks_players_all_stats[[#This Row],[GP]]</f>
        <v>2</v>
      </c>
      <c r="AD133" s="1">
        <f>knicks_players_all_stats[[#This Row],[STL2]]/10</f>
        <v>28</v>
      </c>
      <c r="AE133" s="1">
        <v>280</v>
      </c>
      <c r="AF133" s="4">
        <f>knicks_players_all_stats[[#This Row],[STL]]/knicks_players_all_stats[[#This Row],[GP]]</f>
        <v>0.7567567567567568</v>
      </c>
      <c r="AG133">
        <v>30</v>
      </c>
      <c r="AH133" s="1">
        <f>knicks_players_all_stats[[#This Row],[BLK2]]/10</f>
        <v>3</v>
      </c>
      <c r="AI133" s="4">
        <f>knicks_players_all_stats[[#This Row],[BLK]]/knicks_players_all_stats[[#This Row],[GP]]</f>
        <v>8.1081081081081086E-2</v>
      </c>
      <c r="AJ133">
        <v>500</v>
      </c>
      <c r="AK133" s="4">
        <f>knicks_players_all_stats[[#This Row],[BLKPG]]+knicks_players_all_stats[[#This Row],[STLPG]]+knicks_players_all_stats[[#This Row],[REBPG]]</f>
        <v>3.243243243243243</v>
      </c>
      <c r="AL133" s="1">
        <f>knicks_players_all_stats[[#This Row],[TOV2]]/10</f>
        <v>50</v>
      </c>
      <c r="AM133" s="4">
        <f>knicks_players_all_stats[[#This Row],[TOV]]/knicks_players_all_stats[[#This Row],[GP]]</f>
        <v>1.3513513513513513</v>
      </c>
      <c r="AN133" s="1">
        <v>79</v>
      </c>
      <c r="AO133" s="1">
        <f>knicks_players_all_stats[[#This Row],[PF]]/knicks_players_all_stats[[#This Row],[GP]]</f>
        <v>2.1351351351351351</v>
      </c>
      <c r="AP133" s="1">
        <v>269</v>
      </c>
      <c r="AQ133" s="4">
        <f>knicks_players_all_stats[[#This Row],[PTS]]/knicks_players_all_stats[[#This Row],[GP]]</f>
        <v>7.2702702702702702</v>
      </c>
    </row>
    <row r="134" spans="1:43" customFormat="1" x14ac:dyDescent="0.3">
      <c r="A134" s="1" t="s">
        <v>1612</v>
      </c>
      <c r="B134" s="1" t="s">
        <v>1300</v>
      </c>
      <c r="C134" s="1" t="str">
        <f>knicks_players_all_stats[[#This Row],[NAME]]&amp;" ("&amp;knicks_players_all_stats[[#This Row],[SEASON]]&amp;")"</f>
        <v>Anfernee Hardaway (2005-06)</v>
      </c>
      <c r="D134" s="1">
        <f>knicks_players_all_stats[[#This Row],[PLAYER_AGE]]/10</f>
        <v>34</v>
      </c>
      <c r="E134">
        <v>340</v>
      </c>
      <c r="F134" s="1">
        <v>4</v>
      </c>
      <c r="G134" s="1">
        <v>720</v>
      </c>
      <c r="H1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134" s="4">
        <f>knicks_players_all_stats[[#This Row],[VALORATION]]/knicks_players_all_stats[[#This Row],[GP]]</f>
        <v>1.75</v>
      </c>
      <c r="J134" s="1">
        <v>4</v>
      </c>
      <c r="K134" s="1">
        <v>14</v>
      </c>
      <c r="L134" s="2">
        <f>knicks_players_all_stats[[#This Row],[FGM]]/knicks_players_all_stats[[#This Row],[FGA]]</f>
        <v>0.2857142857142857</v>
      </c>
      <c r="M134" s="16">
        <f>knicks_players_all_stats[[#This Row],[FG3M2]]/10</f>
        <v>0</v>
      </c>
      <c r="N134" s="1">
        <v>0</v>
      </c>
      <c r="O134" s="1">
        <f>knicks_players_all_stats[[#This Row],[FG3A2]]/10</f>
        <v>1</v>
      </c>
      <c r="P134" s="1">
        <v>10</v>
      </c>
      <c r="Q134" s="2">
        <f>knicks_players_all_stats[[#This Row],[FG3M2]]/knicks_players_all_stats[[#This Row],[FG3A2]]</f>
        <v>0</v>
      </c>
      <c r="R134" s="1">
        <v>2</v>
      </c>
      <c r="S134" s="1">
        <v>2</v>
      </c>
      <c r="T134" s="3">
        <f>knicks_players_all_stats[[#This Row],[FTM]]/knicks_players_all_stats[[#This Row],[FTA]]</f>
        <v>1</v>
      </c>
      <c r="U134" s="1">
        <f>knicks_players_all_stats[[#This Row],[OREB22]]/10</f>
        <v>0</v>
      </c>
      <c r="V134" s="1">
        <f>knicks_players_all_stats[[#This Row],[DREB33]]/10</f>
        <v>10</v>
      </c>
      <c r="W134" s="1">
        <f>knicks_players_all_stats[[#This Row],[REB44]]/10</f>
        <v>10</v>
      </c>
      <c r="X134">
        <v>0</v>
      </c>
      <c r="Y134">
        <v>100</v>
      </c>
      <c r="Z134">
        <v>100</v>
      </c>
      <c r="AA134" s="14">
        <f>knicks_players_all_stats[[#This Row],[REB]]/knicks_players_all_stats[[#This Row],[GP]]</f>
        <v>2.5</v>
      </c>
      <c r="AB134" s="1">
        <v>8</v>
      </c>
      <c r="AC134" s="4">
        <f>knicks_players_all_stats[[#This Row],[AST]]/knicks_players_all_stats[[#This Row],[GP]]</f>
        <v>2</v>
      </c>
      <c r="AD134" s="1">
        <f>knicks_players_all_stats[[#This Row],[STL2]]/10</f>
        <v>2</v>
      </c>
      <c r="AE134" s="1">
        <v>20</v>
      </c>
      <c r="AF134" s="4">
        <f>knicks_players_all_stats[[#This Row],[STL]]/knicks_players_all_stats[[#This Row],[GP]]</f>
        <v>0.5</v>
      </c>
      <c r="AG134">
        <v>0</v>
      </c>
      <c r="AH134" s="1">
        <f>knicks_players_all_stats[[#This Row],[BLK2]]/10</f>
        <v>0</v>
      </c>
      <c r="AI134" s="4">
        <f>knicks_players_all_stats[[#This Row],[BLK]]/knicks_players_all_stats[[#This Row],[GP]]</f>
        <v>0</v>
      </c>
      <c r="AJ134">
        <v>60</v>
      </c>
      <c r="AK134" s="4">
        <f>knicks_players_all_stats[[#This Row],[BLKPG]]+knicks_players_all_stats[[#This Row],[STLPG]]+knicks_players_all_stats[[#This Row],[REBPG]]</f>
        <v>3</v>
      </c>
      <c r="AL134" s="1">
        <f>knicks_players_all_stats[[#This Row],[TOV2]]/10</f>
        <v>6</v>
      </c>
      <c r="AM134" s="4">
        <f>knicks_players_all_stats[[#This Row],[TOV]]/knicks_players_all_stats[[#This Row],[GP]]</f>
        <v>1.5</v>
      </c>
      <c r="AN134" s="1">
        <v>7</v>
      </c>
      <c r="AO134" s="1">
        <f>knicks_players_all_stats[[#This Row],[PF]]/knicks_players_all_stats[[#This Row],[GP]]</f>
        <v>1.75</v>
      </c>
      <c r="AP134" s="1">
        <v>10</v>
      </c>
      <c r="AQ134" s="4">
        <f>knicks_players_all_stats[[#This Row],[PTS]]/knicks_players_all_stats[[#This Row],[GP]]</f>
        <v>2.5</v>
      </c>
    </row>
    <row r="135" spans="1:43" customFormat="1" x14ac:dyDescent="0.3">
      <c r="A135" s="1" t="s">
        <v>1496</v>
      </c>
      <c r="B135" s="1" t="s">
        <v>1289</v>
      </c>
      <c r="C135" s="1" t="str">
        <f>knicks_players_all_stats[[#This Row],[NAME]]&amp;" ("&amp;knicks_players_all_stats[[#This Row],[SEASON]]&amp;")"</f>
        <v>Immanuel Quickley (2020-21)</v>
      </c>
      <c r="D135" s="1">
        <f>knicks_players_all_stats[[#This Row],[PLAYER_AGE]]/10</f>
        <v>22</v>
      </c>
      <c r="E135">
        <v>220</v>
      </c>
      <c r="F135" s="1">
        <v>64</v>
      </c>
      <c r="G135" s="1">
        <v>12440</v>
      </c>
      <c r="H1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495</v>
      </c>
      <c r="I135" s="4">
        <f>knicks_players_all_stats[[#This Row],[VALORATION]]/knicks_players_all_stats[[#This Row],[GP]]</f>
        <v>7.734375</v>
      </c>
      <c r="J135" s="1">
        <v>229</v>
      </c>
      <c r="K135" s="1">
        <v>580</v>
      </c>
      <c r="L135" s="2">
        <f>knicks_players_all_stats[[#This Row],[FGM]]/knicks_players_all_stats[[#This Row],[FGA]]</f>
        <v>0.39482758620689656</v>
      </c>
      <c r="M135" s="16">
        <f>knicks_players_all_stats[[#This Row],[FG3M2]]/10</f>
        <v>118</v>
      </c>
      <c r="N135" s="1">
        <v>1180</v>
      </c>
      <c r="O135" s="1">
        <f>knicks_players_all_stats[[#This Row],[FG3A2]]/10</f>
        <v>303</v>
      </c>
      <c r="P135" s="1">
        <v>3030</v>
      </c>
      <c r="Q135" s="2">
        <f>knicks_players_all_stats[[#This Row],[FG3M2]]/knicks_players_all_stats[[#This Row],[FG3A2]]</f>
        <v>0.38943894389438943</v>
      </c>
      <c r="R135" s="1">
        <v>155</v>
      </c>
      <c r="S135" s="1">
        <v>174</v>
      </c>
      <c r="T135" s="3">
        <f>knicks_players_all_stats[[#This Row],[FTM]]/knicks_players_all_stats[[#This Row],[FTA]]</f>
        <v>0.89080459770114939</v>
      </c>
      <c r="U135" s="1">
        <f>knicks_players_all_stats[[#This Row],[OREB22]]/10</f>
        <v>25</v>
      </c>
      <c r="V135" s="1">
        <f>knicks_players_all_stats[[#This Row],[DREB33]]/10</f>
        <v>112</v>
      </c>
      <c r="W135" s="1">
        <f>knicks_players_all_stats[[#This Row],[REB44]]/10</f>
        <v>137</v>
      </c>
      <c r="X135">
        <v>250</v>
      </c>
      <c r="Y135">
        <v>1120</v>
      </c>
      <c r="Z135">
        <v>1370</v>
      </c>
      <c r="AA135" s="14">
        <f>knicks_players_all_stats[[#This Row],[REB]]/knicks_players_all_stats[[#This Row],[GP]]</f>
        <v>2.140625</v>
      </c>
      <c r="AB135" s="1">
        <v>127</v>
      </c>
      <c r="AC135" s="4">
        <f>knicks_players_all_stats[[#This Row],[AST]]/knicks_players_all_stats[[#This Row],[GP]]</f>
        <v>1.984375</v>
      </c>
      <c r="AD135" s="1">
        <f>knicks_players_all_stats[[#This Row],[STL2]]/10</f>
        <v>30</v>
      </c>
      <c r="AE135" s="1">
        <v>300</v>
      </c>
      <c r="AF135" s="4">
        <f>knicks_players_all_stats[[#This Row],[STL]]/knicks_players_all_stats[[#This Row],[GP]]</f>
        <v>0.46875</v>
      </c>
      <c r="AG135">
        <v>120</v>
      </c>
      <c r="AH135" s="1">
        <f>knicks_players_all_stats[[#This Row],[BLK2]]/10</f>
        <v>12</v>
      </c>
      <c r="AI135" s="4">
        <f>knicks_players_all_stats[[#This Row],[BLK]]/knicks_players_all_stats[[#This Row],[GP]]</f>
        <v>0.1875</v>
      </c>
      <c r="AJ135">
        <v>580</v>
      </c>
      <c r="AK135" s="4">
        <f>knicks_players_all_stats[[#This Row],[BLKPG]]+knicks_players_all_stats[[#This Row],[STLPG]]+knicks_players_all_stats[[#This Row],[REBPG]]</f>
        <v>2.796875</v>
      </c>
      <c r="AL135" s="1">
        <f>knicks_players_all_stats[[#This Row],[TOV2]]/10</f>
        <v>58</v>
      </c>
      <c r="AM135" s="4">
        <f>knicks_players_all_stats[[#This Row],[TOV]]/knicks_players_all_stats[[#This Row],[GP]]</f>
        <v>0.90625</v>
      </c>
      <c r="AN135" s="1">
        <v>114</v>
      </c>
      <c r="AO135" s="1">
        <f>knicks_players_all_stats[[#This Row],[PF]]/knicks_players_all_stats[[#This Row],[GP]]</f>
        <v>1.78125</v>
      </c>
      <c r="AP135" s="1">
        <v>731</v>
      </c>
      <c r="AQ135" s="4">
        <f>knicks_players_all_stats[[#This Row],[PTS]]/knicks_players_all_stats[[#This Row],[GP]]</f>
        <v>11.421875</v>
      </c>
    </row>
    <row r="136" spans="1:43" customFormat="1" x14ac:dyDescent="0.3">
      <c r="A136" s="1" t="s">
        <v>1463</v>
      </c>
      <c r="B136" s="1" t="s">
        <v>1293</v>
      </c>
      <c r="C136" s="1" t="str">
        <f>knicks_players_all_stats[[#This Row],[NAME]]&amp;" ("&amp;knicks_players_all_stats[[#This Row],[SEASON]]&amp;")"</f>
        <v>Allan Houston (2003-04)</v>
      </c>
      <c r="D136" s="1">
        <f>knicks_players_all_stats[[#This Row],[PLAYER_AGE]]/10</f>
        <v>33</v>
      </c>
      <c r="E136">
        <v>330</v>
      </c>
      <c r="F136" s="1">
        <v>50</v>
      </c>
      <c r="G136" s="1">
        <v>17970</v>
      </c>
      <c r="H1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521</v>
      </c>
      <c r="I136" s="4">
        <f>knicks_players_all_stats[[#This Row],[VALORATION]]/knicks_players_all_stats[[#This Row],[GP]]</f>
        <v>10.42</v>
      </c>
      <c r="J136" s="1">
        <v>340</v>
      </c>
      <c r="K136" s="1">
        <v>781</v>
      </c>
      <c r="L136" s="2">
        <f>knicks_players_all_stats[[#This Row],[FGM]]/knicks_players_all_stats[[#This Row],[FGA]]</f>
        <v>0.4353393085787452</v>
      </c>
      <c r="M136" s="16">
        <f>knicks_players_all_stats[[#This Row],[FG3M2]]/10</f>
        <v>87</v>
      </c>
      <c r="N136" s="1">
        <v>870</v>
      </c>
      <c r="O136" s="1">
        <f>knicks_players_all_stats[[#This Row],[FG3A2]]/10</f>
        <v>202</v>
      </c>
      <c r="P136" s="1">
        <v>2020</v>
      </c>
      <c r="Q136" s="2">
        <f>knicks_players_all_stats[[#This Row],[FG3M2]]/knicks_players_all_stats[[#This Row],[FG3A2]]</f>
        <v>0.43069306930693069</v>
      </c>
      <c r="R136" s="1">
        <v>157</v>
      </c>
      <c r="S136" s="1">
        <v>172</v>
      </c>
      <c r="T136" s="3">
        <f>knicks_players_all_stats[[#This Row],[FTM]]/knicks_players_all_stats[[#This Row],[FTA]]</f>
        <v>0.91279069767441856</v>
      </c>
      <c r="U136" s="1">
        <f>knicks_players_all_stats[[#This Row],[OREB22]]/10</f>
        <v>20</v>
      </c>
      <c r="V136" s="1">
        <f>knicks_players_all_stats[[#This Row],[DREB33]]/10</f>
        <v>101</v>
      </c>
      <c r="W136" s="1">
        <f>knicks_players_all_stats[[#This Row],[REB44]]/10</f>
        <v>121</v>
      </c>
      <c r="X136">
        <v>200</v>
      </c>
      <c r="Y136">
        <v>1010</v>
      </c>
      <c r="Z136">
        <v>1210</v>
      </c>
      <c r="AA136" s="14">
        <f>knicks_players_all_stats[[#This Row],[REB]]/knicks_players_all_stats[[#This Row],[GP]]</f>
        <v>2.42</v>
      </c>
      <c r="AB136" s="1">
        <v>99</v>
      </c>
      <c r="AC136" s="4">
        <f>knicks_players_all_stats[[#This Row],[AST]]/knicks_players_all_stats[[#This Row],[GP]]</f>
        <v>1.98</v>
      </c>
      <c r="AD136" s="1">
        <f>knicks_players_all_stats[[#This Row],[STL2]]/10</f>
        <v>38</v>
      </c>
      <c r="AE136" s="1">
        <v>380</v>
      </c>
      <c r="AF136" s="4">
        <f>knicks_players_all_stats[[#This Row],[STL]]/knicks_players_all_stats[[#This Row],[GP]]</f>
        <v>0.76</v>
      </c>
      <c r="AG136">
        <v>20</v>
      </c>
      <c r="AH136" s="1">
        <f>knicks_players_all_stats[[#This Row],[BLK2]]/10</f>
        <v>2</v>
      </c>
      <c r="AI136" s="4">
        <f>knicks_players_all_stats[[#This Row],[BLK]]/knicks_players_all_stats[[#This Row],[GP]]</f>
        <v>0.04</v>
      </c>
      <c r="AJ136">
        <v>1020</v>
      </c>
      <c r="AK136" s="4">
        <f>knicks_players_all_stats[[#This Row],[BLKPG]]+knicks_players_all_stats[[#This Row],[STLPG]]+knicks_players_all_stats[[#This Row],[REBPG]]</f>
        <v>3.2199999999999998</v>
      </c>
      <c r="AL136" s="1">
        <f>knicks_players_all_stats[[#This Row],[TOV2]]/10</f>
        <v>102</v>
      </c>
      <c r="AM136" s="4">
        <f>knicks_players_all_stats[[#This Row],[TOV]]/knicks_players_all_stats[[#This Row],[GP]]</f>
        <v>2.04</v>
      </c>
      <c r="AN136" s="1">
        <v>105</v>
      </c>
      <c r="AO136" s="1">
        <f>knicks_players_all_stats[[#This Row],[PF]]/knicks_players_all_stats[[#This Row],[GP]]</f>
        <v>2.1</v>
      </c>
      <c r="AP136" s="1">
        <v>924</v>
      </c>
      <c r="AQ136" s="4">
        <f>knicks_players_all_stats[[#This Row],[PTS]]/knicks_players_all_stats[[#This Row],[GP]]</f>
        <v>18.48</v>
      </c>
    </row>
    <row r="137" spans="1:43" x14ac:dyDescent="0.3">
      <c r="A137" s="1" t="s">
        <v>1709</v>
      </c>
      <c r="B137" s="1" t="s">
        <v>1465</v>
      </c>
      <c r="C137" s="1" t="str">
        <f>knicks_players_all_stats[[#This Row],[NAME]]&amp;" ("&amp;knicks_players_all_stats[[#This Row],[SEASON]]&amp;")"</f>
        <v>Larry Johnson (2000-01)</v>
      </c>
      <c r="D137" s="1">
        <f>knicks_players_all_stats[[#This Row],[PLAYER_AGE]]/10</f>
        <v>32</v>
      </c>
      <c r="E137">
        <v>320</v>
      </c>
      <c r="F137" s="1">
        <v>65</v>
      </c>
      <c r="G137" s="1">
        <v>21080</v>
      </c>
      <c r="H1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519</v>
      </c>
      <c r="I137" s="4">
        <f>knicks_players_all_stats[[#This Row],[VALORATION]]/knicks_players_all_stats[[#This Row],[GP]]</f>
        <v>7.9846153846153847</v>
      </c>
      <c r="J137" s="1">
        <v>246</v>
      </c>
      <c r="K137" s="1">
        <v>598</v>
      </c>
      <c r="L137" s="1">
        <v>411</v>
      </c>
      <c r="M137" s="4">
        <f>knicks_players_all_stats[[#This Row],[FG3M2]]/10</f>
        <v>51</v>
      </c>
      <c r="N137" s="1">
        <v>510</v>
      </c>
      <c r="O137" s="1">
        <f>knicks_players_all_stats[[#This Row],[FG3A2]]/10</f>
        <v>163</v>
      </c>
      <c r="P137" s="1">
        <v>1630</v>
      </c>
      <c r="Q137" s="2">
        <f>knicks_players_all_stats[[#This Row],[FG3M2]]/knicks_players_all_stats[[#This Row],[FG3A2]]</f>
        <v>0.31288343558282211</v>
      </c>
      <c r="R137" s="1">
        <v>102</v>
      </c>
      <c r="S137" s="1">
        <v>128</v>
      </c>
      <c r="T137" s="3">
        <f>knicks_players_all_stats[[#This Row],[FTM]]/knicks_players_all_stats[[#This Row],[FTA]]</f>
        <v>0.796875</v>
      </c>
      <c r="U137" s="1">
        <f>knicks_players_all_stats[[#This Row],[OREB22]]/10</f>
        <v>90</v>
      </c>
      <c r="V137" s="1">
        <f>knicks_players_all_stats[[#This Row],[DREB33]]/10</f>
        <v>273</v>
      </c>
      <c r="W137" s="1">
        <f>knicks_players_all_stats[[#This Row],[REB44]]/10</f>
        <v>363</v>
      </c>
      <c r="X137">
        <v>900</v>
      </c>
      <c r="Y137">
        <v>2730</v>
      </c>
      <c r="Z137">
        <v>3630</v>
      </c>
      <c r="AA137" s="14">
        <f>knicks_players_all_stats[[#This Row],[REB]]/knicks_players_all_stats[[#This Row],[GP]]</f>
        <v>5.5846153846153843</v>
      </c>
      <c r="AB137" s="1">
        <v>127</v>
      </c>
      <c r="AC137" s="4">
        <f>knicks_players_all_stats[[#This Row],[AST]]/knicks_players_all_stats[[#This Row],[GP]]</f>
        <v>1.9538461538461538</v>
      </c>
      <c r="AD137" s="1">
        <f>knicks_players_all_stats[[#This Row],[STL2]]/10</f>
        <v>39</v>
      </c>
      <c r="AE137" s="1">
        <v>390</v>
      </c>
      <c r="AF137" s="4">
        <f>knicks_players_all_stats[[#This Row],[STL]]/knicks_players_all_stats[[#This Row],[GP]]</f>
        <v>0.6</v>
      </c>
      <c r="AG137">
        <v>290</v>
      </c>
      <c r="AH137" s="1">
        <f>knicks_players_all_stats[[#This Row],[BLK2]]/10</f>
        <v>29</v>
      </c>
      <c r="AI137" s="4">
        <f>knicks_players_all_stats[[#This Row],[BLK]]/knicks_players_all_stats[[#This Row],[GP]]</f>
        <v>0.44615384615384618</v>
      </c>
      <c r="AJ137">
        <v>970</v>
      </c>
      <c r="AK137" s="4">
        <f>knicks_players_all_stats[[#This Row],[BLKPG]]+knicks_players_all_stats[[#This Row],[STLPG]]+knicks_players_all_stats[[#This Row],[REBPG]]</f>
        <v>6.6307692307692303</v>
      </c>
      <c r="AL137" s="1">
        <f>knicks_players_all_stats[[#This Row],[TOV2]]/10</f>
        <v>97</v>
      </c>
      <c r="AM137" s="4">
        <f>knicks_players_all_stats[[#This Row],[TOV]]/knicks_players_all_stats[[#This Row],[GP]]</f>
        <v>1.4923076923076923</v>
      </c>
      <c r="AN137" s="1">
        <v>209</v>
      </c>
      <c r="AO137" s="1">
        <f>knicks_players_all_stats[[#This Row],[PF]]/knicks_players_all_stats[[#This Row],[GP]]</f>
        <v>3.2153846153846155</v>
      </c>
      <c r="AP137" s="1">
        <v>645</v>
      </c>
      <c r="AQ137" s="4">
        <f>knicks_players_all_stats[[#This Row],[PTS]]/knicks_players_all_stats[[#This Row],[GP]]</f>
        <v>9.9230769230769234</v>
      </c>
    </row>
    <row r="138" spans="1:43" customFormat="1" x14ac:dyDescent="0.3">
      <c r="A138" s="1" t="s">
        <v>1727</v>
      </c>
      <c r="B138" s="1" t="s">
        <v>1303</v>
      </c>
      <c r="C138" s="1" t="str">
        <f>knicks_players_all_stats[[#This Row],[NAME]]&amp;" ("&amp;knicks_players_all_stats[[#This Row],[SEASON]]&amp;")"</f>
        <v>Mardy Collins (2007-08)</v>
      </c>
      <c r="D138" s="1">
        <f>knicks_players_all_stats[[#This Row],[PLAYER_AGE]]/10</f>
        <v>23</v>
      </c>
      <c r="E138">
        <v>230</v>
      </c>
      <c r="F138" s="1">
        <v>46</v>
      </c>
      <c r="G138" s="1">
        <v>6340</v>
      </c>
      <c r="H1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96</v>
      </c>
      <c r="I138" s="4">
        <f>knicks_players_all_stats[[#This Row],[VALORATION]]/knicks_players_all_stats[[#This Row],[GP]]</f>
        <v>2.0869565217391304</v>
      </c>
      <c r="J138" s="1">
        <v>57</v>
      </c>
      <c r="K138" s="1">
        <v>175</v>
      </c>
      <c r="L138" s="1">
        <v>326</v>
      </c>
      <c r="M138" s="4">
        <f>knicks_players_all_stats[[#This Row],[FG3M2]]/10</f>
        <v>8</v>
      </c>
      <c r="N138" s="1">
        <v>80</v>
      </c>
      <c r="O138" s="1">
        <f>knicks_players_all_stats[[#This Row],[FG3A2]]/10</f>
        <v>32</v>
      </c>
      <c r="P138" s="1">
        <v>320</v>
      </c>
      <c r="Q138" s="2">
        <f>knicks_players_all_stats[[#This Row],[FG3M2]]/knicks_players_all_stats[[#This Row],[FG3A2]]</f>
        <v>0.25</v>
      </c>
      <c r="R138" s="1">
        <v>23</v>
      </c>
      <c r="S138" s="1">
        <v>38</v>
      </c>
      <c r="T138" s="3">
        <f>knicks_players_all_stats[[#This Row],[FTM]]/knicks_players_all_stats[[#This Row],[FTA]]</f>
        <v>0.60526315789473684</v>
      </c>
      <c r="U138" s="1">
        <f>knicks_players_all_stats[[#This Row],[OREB22]]/10</f>
        <v>19</v>
      </c>
      <c r="V138" s="1">
        <f>knicks_players_all_stats[[#This Row],[DREB33]]/10</f>
        <v>56</v>
      </c>
      <c r="W138" s="1">
        <f>knicks_players_all_stats[[#This Row],[REB44]]/10</f>
        <v>75</v>
      </c>
      <c r="X138">
        <v>190</v>
      </c>
      <c r="Y138">
        <v>560</v>
      </c>
      <c r="Z138">
        <v>750</v>
      </c>
      <c r="AA138" s="14">
        <f>knicks_players_all_stats[[#This Row],[REB]]/knicks_players_all_stats[[#This Row],[GP]]</f>
        <v>1.6304347826086956</v>
      </c>
      <c r="AB138" s="1">
        <v>89</v>
      </c>
      <c r="AC138" s="4">
        <f>knicks_players_all_stats[[#This Row],[AST]]/knicks_players_all_stats[[#This Row],[GP]]</f>
        <v>1.9347826086956521</v>
      </c>
      <c r="AD138" s="1">
        <f>knicks_players_all_stats[[#This Row],[STL2]]/10</f>
        <v>24</v>
      </c>
      <c r="AE138" s="1">
        <v>240</v>
      </c>
      <c r="AF138" s="4">
        <f>knicks_players_all_stats[[#This Row],[STL]]/knicks_players_all_stats[[#This Row],[GP]]</f>
        <v>0.52173913043478259</v>
      </c>
      <c r="AG138">
        <v>80</v>
      </c>
      <c r="AH138" s="1">
        <f>knicks_players_all_stats[[#This Row],[BLK2]]/10</f>
        <v>8</v>
      </c>
      <c r="AI138" s="4">
        <f>knicks_players_all_stats[[#This Row],[BLK]]/knicks_players_all_stats[[#This Row],[GP]]</f>
        <v>0.17391304347826086</v>
      </c>
      <c r="AJ138">
        <v>560</v>
      </c>
      <c r="AK138" s="4">
        <f>knicks_players_all_stats[[#This Row],[BLKPG]]+knicks_players_all_stats[[#This Row],[STLPG]]+knicks_players_all_stats[[#This Row],[REBPG]]</f>
        <v>2.3260869565217392</v>
      </c>
      <c r="AL138" s="1">
        <f>knicks_players_all_stats[[#This Row],[TOV2]]/10</f>
        <v>56</v>
      </c>
      <c r="AM138" s="4">
        <f>knicks_players_all_stats[[#This Row],[TOV]]/knicks_players_all_stats[[#This Row],[GP]]</f>
        <v>1.2173913043478262</v>
      </c>
      <c r="AN138" s="1">
        <v>56</v>
      </c>
      <c r="AO138" s="1">
        <f>knicks_players_all_stats[[#This Row],[PF]]/knicks_players_all_stats[[#This Row],[GP]]</f>
        <v>1.2173913043478262</v>
      </c>
      <c r="AP138" s="1">
        <v>145</v>
      </c>
      <c r="AQ138" s="4">
        <f>knicks_players_all_stats[[#This Row],[PTS]]/knicks_players_all_stats[[#This Row],[GP]]</f>
        <v>3.152173913043478</v>
      </c>
    </row>
    <row r="139" spans="1:43" customFormat="1" x14ac:dyDescent="0.3">
      <c r="A139" s="1" t="s">
        <v>1494</v>
      </c>
      <c r="B139" s="1" t="s">
        <v>1312</v>
      </c>
      <c r="C139" s="1" t="str">
        <f>knicks_players_all_stats[[#This Row],[NAME]]&amp;" ("&amp;knicks_players_all_stats[[#This Row],[SEASON]]&amp;")"</f>
        <v>Landry Fields (2010-11)</v>
      </c>
      <c r="D139" s="1">
        <f>knicks_players_all_stats[[#This Row],[PLAYER_AGE]]/10</f>
        <v>23</v>
      </c>
      <c r="E139">
        <v>230</v>
      </c>
      <c r="F139" s="1">
        <v>82</v>
      </c>
      <c r="G139" s="1">
        <v>25410</v>
      </c>
      <c r="H1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1012</v>
      </c>
      <c r="I139" s="4">
        <f>knicks_players_all_stats[[#This Row],[VALORATION]]/knicks_players_all_stats[[#This Row],[GP]]</f>
        <v>12.341463414634147</v>
      </c>
      <c r="J139" s="1">
        <v>299</v>
      </c>
      <c r="K139" s="1">
        <v>602</v>
      </c>
      <c r="L139" s="2">
        <f>knicks_players_all_stats[[#This Row],[FGM]]/knicks_players_all_stats[[#This Row],[FGA]]</f>
        <v>0.49667774086378735</v>
      </c>
      <c r="M139" s="16">
        <f>knicks_players_all_stats[[#This Row],[FG3M2]]/10</f>
        <v>86</v>
      </c>
      <c r="N139" s="1">
        <v>860</v>
      </c>
      <c r="O139" s="1">
        <f>knicks_players_all_stats[[#This Row],[FG3A2]]/10</f>
        <v>219</v>
      </c>
      <c r="P139" s="1">
        <v>2190</v>
      </c>
      <c r="Q139" s="2">
        <f>knicks_players_all_stats[[#This Row],[FG3M2]]/knicks_players_all_stats[[#This Row],[FG3A2]]</f>
        <v>0.39269406392694062</v>
      </c>
      <c r="R139" s="1">
        <v>113</v>
      </c>
      <c r="S139" s="1">
        <v>147</v>
      </c>
      <c r="T139" s="3">
        <f>knicks_players_all_stats[[#This Row],[FTM]]/knicks_players_all_stats[[#This Row],[FTA]]</f>
        <v>0.76870748299319724</v>
      </c>
      <c r="U139" s="1">
        <f>knicks_players_all_stats[[#This Row],[OREB22]]/10</f>
        <v>105</v>
      </c>
      <c r="V139" s="1">
        <f>knicks_players_all_stats[[#This Row],[DREB33]]/10</f>
        <v>416</v>
      </c>
      <c r="W139" s="1">
        <f>knicks_players_all_stats[[#This Row],[REB44]]/10</f>
        <v>521</v>
      </c>
      <c r="X139">
        <v>1050</v>
      </c>
      <c r="Y139">
        <v>4160</v>
      </c>
      <c r="Z139">
        <v>5210</v>
      </c>
      <c r="AA139" s="14">
        <f>knicks_players_all_stats[[#This Row],[REB]]/knicks_players_all_stats[[#This Row],[GP]]</f>
        <v>6.3536585365853657</v>
      </c>
      <c r="AB139" s="1">
        <v>155</v>
      </c>
      <c r="AC139" s="4">
        <f>knicks_players_all_stats[[#This Row],[AST]]/knicks_players_all_stats[[#This Row],[GP]]</f>
        <v>1.8902439024390243</v>
      </c>
      <c r="AD139" s="1">
        <f>knicks_players_all_stats[[#This Row],[STL2]]/10</f>
        <v>80</v>
      </c>
      <c r="AE139" s="1">
        <v>800</v>
      </c>
      <c r="AF139" s="4">
        <f>knicks_players_all_stats[[#This Row],[STL]]/knicks_players_all_stats[[#This Row],[GP]]</f>
        <v>0.97560975609756095</v>
      </c>
      <c r="AG139">
        <v>170</v>
      </c>
      <c r="AH139" s="1">
        <f>knicks_players_all_stats[[#This Row],[BLK2]]/10</f>
        <v>17</v>
      </c>
      <c r="AI139" s="4">
        <f>knicks_players_all_stats[[#This Row],[BLK]]/knicks_players_all_stats[[#This Row],[GP]]</f>
        <v>0.2073170731707317</v>
      </c>
      <c r="AJ139">
        <v>1070</v>
      </c>
      <c r="AK139" s="4">
        <f>knicks_players_all_stats[[#This Row],[BLKPG]]+knicks_players_all_stats[[#This Row],[STLPG]]+knicks_players_all_stats[[#This Row],[REBPG]]</f>
        <v>7.5365853658536581</v>
      </c>
      <c r="AL139" s="1">
        <f>knicks_players_all_stats[[#This Row],[TOV2]]/10</f>
        <v>107</v>
      </c>
      <c r="AM139" s="4">
        <f>knicks_players_all_stats[[#This Row],[TOV]]/knicks_players_all_stats[[#This Row],[GP]]</f>
        <v>1.3048780487804879</v>
      </c>
      <c r="AN139" s="1">
        <v>114</v>
      </c>
      <c r="AO139" s="1">
        <f>knicks_players_all_stats[[#This Row],[PF]]/knicks_players_all_stats[[#This Row],[GP]]</f>
        <v>1.3902439024390243</v>
      </c>
      <c r="AP139" s="1">
        <v>797</v>
      </c>
      <c r="AQ139" s="4">
        <f>knicks_players_all_stats[[#This Row],[PTS]]/knicks_players_all_stats[[#This Row],[GP]]</f>
        <v>9.7195121951219505</v>
      </c>
    </row>
    <row r="140" spans="1:43" customFormat="1" x14ac:dyDescent="0.3">
      <c r="A140" s="1" t="s">
        <v>1612</v>
      </c>
      <c r="B140" s="1" t="s">
        <v>1293</v>
      </c>
      <c r="C140" s="1" t="str">
        <f>knicks_players_all_stats[[#This Row],[NAME]]&amp;" ("&amp;knicks_players_all_stats[[#This Row],[SEASON]]&amp;")"</f>
        <v>Anfernee Hardaway (2003-04)</v>
      </c>
      <c r="D140" s="1">
        <f>knicks_players_all_stats[[#This Row],[PLAYER_AGE]]/10</f>
        <v>32</v>
      </c>
      <c r="E140">
        <v>320</v>
      </c>
      <c r="F140" s="1">
        <v>42</v>
      </c>
      <c r="G140" s="1">
        <v>12190</v>
      </c>
      <c r="H1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310</v>
      </c>
      <c r="I140" s="4">
        <f>knicks_players_all_stats[[#This Row],[VALORATION]]/knicks_players_all_stats[[#This Row],[GP]]</f>
        <v>7.3809523809523814</v>
      </c>
      <c r="J140" s="1">
        <v>159</v>
      </c>
      <c r="K140" s="1">
        <v>408</v>
      </c>
      <c r="L140" s="2">
        <f>knicks_players_all_stats[[#This Row],[FGM]]/knicks_players_all_stats[[#This Row],[FGA]]</f>
        <v>0.38970588235294118</v>
      </c>
      <c r="M140" s="16">
        <f>knicks_players_all_stats[[#This Row],[FG3M2]]/10</f>
        <v>16</v>
      </c>
      <c r="N140" s="1">
        <v>160</v>
      </c>
      <c r="O140" s="1">
        <f>knicks_players_all_stats[[#This Row],[FG3A2]]/10</f>
        <v>44</v>
      </c>
      <c r="P140" s="1">
        <v>440</v>
      </c>
      <c r="Q140" s="2">
        <f>knicks_players_all_stats[[#This Row],[FG3M2]]/knicks_players_all_stats[[#This Row],[FG3A2]]</f>
        <v>0.36363636363636365</v>
      </c>
      <c r="R140" s="1">
        <v>69</v>
      </c>
      <c r="S140" s="1">
        <v>89</v>
      </c>
      <c r="T140" s="3">
        <f>knicks_players_all_stats[[#This Row],[FTM]]/knicks_players_all_stats[[#This Row],[FTA]]</f>
        <v>0.7752808988764045</v>
      </c>
      <c r="U140" s="1">
        <f>knicks_players_all_stats[[#This Row],[OREB22]]/10</f>
        <v>42</v>
      </c>
      <c r="V140" s="1">
        <f>knicks_players_all_stats[[#This Row],[DREB33]]/10</f>
        <v>147</v>
      </c>
      <c r="W140" s="1">
        <f>knicks_players_all_stats[[#This Row],[REB44]]/10</f>
        <v>189</v>
      </c>
      <c r="X140">
        <v>420</v>
      </c>
      <c r="Y140">
        <v>1470</v>
      </c>
      <c r="Z140">
        <v>1890</v>
      </c>
      <c r="AA140" s="14">
        <f>knicks_players_all_stats[[#This Row],[REB]]/knicks_players_all_stats[[#This Row],[GP]]</f>
        <v>4.5</v>
      </c>
      <c r="AB140" s="1">
        <v>79</v>
      </c>
      <c r="AC140" s="4">
        <f>knicks_players_all_stats[[#This Row],[AST]]/knicks_players_all_stats[[#This Row],[GP]]</f>
        <v>1.8809523809523809</v>
      </c>
      <c r="AD140" s="1">
        <f>knicks_players_all_stats[[#This Row],[STL2]]/10</f>
        <v>42</v>
      </c>
      <c r="AE140" s="1">
        <v>420</v>
      </c>
      <c r="AF140" s="4">
        <f>knicks_players_all_stats[[#This Row],[STL]]/knicks_players_all_stats[[#This Row],[GP]]</f>
        <v>1</v>
      </c>
      <c r="AG140">
        <v>120</v>
      </c>
      <c r="AH140" s="1">
        <f>knicks_players_all_stats[[#This Row],[BLK2]]/10</f>
        <v>12</v>
      </c>
      <c r="AI140" s="4">
        <f>knicks_players_all_stats[[#This Row],[BLK]]/knicks_players_all_stats[[#This Row],[GP]]</f>
        <v>0.2857142857142857</v>
      </c>
      <c r="AJ140">
        <v>650</v>
      </c>
      <c r="AK140" s="4">
        <f>knicks_players_all_stats[[#This Row],[BLKPG]]+knicks_players_all_stats[[#This Row],[STLPG]]+knicks_players_all_stats[[#This Row],[REBPG]]</f>
        <v>5.7857142857142856</v>
      </c>
      <c r="AL140" s="1">
        <f>knicks_players_all_stats[[#This Row],[TOV2]]/10</f>
        <v>65</v>
      </c>
      <c r="AM140" s="4">
        <f>knicks_players_all_stats[[#This Row],[TOV]]/knicks_players_all_stats[[#This Row],[GP]]</f>
        <v>1.5476190476190477</v>
      </c>
      <c r="AN140" s="1">
        <v>81</v>
      </c>
      <c r="AO140" s="1">
        <f>knicks_players_all_stats[[#This Row],[PF]]/knicks_players_all_stats[[#This Row],[GP]]</f>
        <v>1.9285714285714286</v>
      </c>
      <c r="AP140" s="1">
        <v>403</v>
      </c>
      <c r="AQ140" s="4">
        <f>knicks_players_all_stats[[#This Row],[PTS]]/knicks_players_all_stats[[#This Row],[GP]]</f>
        <v>9.5952380952380949</v>
      </c>
    </row>
    <row r="141" spans="1:43" customFormat="1" x14ac:dyDescent="0.3">
      <c r="A141" s="1" t="s">
        <v>1790</v>
      </c>
      <c r="B141" s="1" t="s">
        <v>1293</v>
      </c>
      <c r="C141" s="1" t="str">
        <f>knicks_players_all_stats[[#This Row],[NAME]]&amp;" ("&amp;knicks_players_all_stats[[#This Row],[SEASON]]&amp;")"</f>
        <v>Kurt Thomas (2003-04)</v>
      </c>
      <c r="D141" s="1">
        <f>knicks_players_all_stats[[#This Row],[PLAYER_AGE]]/10</f>
        <v>31</v>
      </c>
      <c r="E141">
        <v>310</v>
      </c>
      <c r="F141" s="1">
        <v>80</v>
      </c>
      <c r="G141" s="1">
        <v>25490</v>
      </c>
      <c r="H1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949</v>
      </c>
      <c r="I141" s="4">
        <f>knicks_players_all_stats[[#This Row],[VALORATION]]/knicks_players_all_stats[[#This Row],[GP]]</f>
        <v>11.862500000000001</v>
      </c>
      <c r="J141" s="1">
        <v>392</v>
      </c>
      <c r="K141" s="1">
        <v>829</v>
      </c>
      <c r="L141" s="1">
        <v>473</v>
      </c>
      <c r="M141" s="4">
        <f>knicks_players_all_stats[[#This Row],[FG3M2]]/10</f>
        <v>0</v>
      </c>
      <c r="N141" s="1">
        <v>0</v>
      </c>
      <c r="O141" s="1">
        <f>knicks_players_all_stats[[#This Row],[FG3A2]]/10</f>
        <v>3</v>
      </c>
      <c r="P141" s="1">
        <v>30</v>
      </c>
      <c r="Q141" s="2">
        <f>knicks_players_all_stats[[#This Row],[FG3M2]]/knicks_players_all_stats[[#This Row],[FG3A2]]</f>
        <v>0</v>
      </c>
      <c r="R141" s="1">
        <v>106</v>
      </c>
      <c r="S141" s="1">
        <v>127</v>
      </c>
      <c r="T141" s="3">
        <f>knicks_players_all_stats[[#This Row],[FTM]]/knicks_players_all_stats[[#This Row],[FTA]]</f>
        <v>0.83464566929133854</v>
      </c>
      <c r="U141" s="1">
        <f>knicks_players_all_stats[[#This Row],[OREB22]]/10</f>
        <v>145</v>
      </c>
      <c r="V141" s="1">
        <f>knicks_players_all_stats[[#This Row],[DREB33]]/10</f>
        <v>517</v>
      </c>
      <c r="W141" s="1">
        <f>knicks_players_all_stats[[#This Row],[REB44]]/10</f>
        <v>662</v>
      </c>
      <c r="X141">
        <v>1450</v>
      </c>
      <c r="Y141">
        <v>5170</v>
      </c>
      <c r="Z141">
        <v>6620</v>
      </c>
      <c r="AA141" s="14">
        <f>knicks_players_all_stats[[#This Row],[REB]]/knicks_players_all_stats[[#This Row],[GP]]</f>
        <v>8.2750000000000004</v>
      </c>
      <c r="AB141" s="1">
        <v>149</v>
      </c>
      <c r="AC141" s="4">
        <f>knicks_players_all_stats[[#This Row],[AST]]/knicks_players_all_stats[[#This Row],[GP]]</f>
        <v>1.8625</v>
      </c>
      <c r="AD141" s="1">
        <f>knicks_players_all_stats[[#This Row],[STL2]]/10</f>
        <v>56</v>
      </c>
      <c r="AE141" s="1">
        <v>560</v>
      </c>
      <c r="AF141" s="4">
        <f>knicks_players_all_stats[[#This Row],[STL]]/knicks_players_all_stats[[#This Row],[GP]]</f>
        <v>0.7</v>
      </c>
      <c r="AG141">
        <v>800</v>
      </c>
      <c r="AH141" s="1">
        <f>knicks_players_all_stats[[#This Row],[BLK2]]/10</f>
        <v>80</v>
      </c>
      <c r="AI141" s="4">
        <f>knicks_players_all_stats[[#This Row],[BLK]]/knicks_players_all_stats[[#This Row],[GP]]</f>
        <v>1</v>
      </c>
      <c r="AJ141">
        <v>1320</v>
      </c>
      <c r="AK141" s="4">
        <f>knicks_players_all_stats[[#This Row],[BLKPG]]+knicks_players_all_stats[[#This Row],[STLPG]]+knicks_players_all_stats[[#This Row],[REBPG]]</f>
        <v>9.9749999999999996</v>
      </c>
      <c r="AL141" s="1">
        <f>knicks_players_all_stats[[#This Row],[TOV2]]/10</f>
        <v>132</v>
      </c>
      <c r="AM141" s="4">
        <f>knicks_players_all_stats[[#This Row],[TOV]]/knicks_players_all_stats[[#This Row],[GP]]</f>
        <v>1.65</v>
      </c>
      <c r="AN141" s="1">
        <v>298</v>
      </c>
      <c r="AO141" s="1">
        <f>knicks_players_all_stats[[#This Row],[PF]]/knicks_players_all_stats[[#This Row],[GP]]</f>
        <v>3.7250000000000001</v>
      </c>
      <c r="AP141" s="1">
        <v>890</v>
      </c>
      <c r="AQ141" s="4">
        <f>knicks_players_all_stats[[#This Row],[PTS]]/knicks_players_all_stats[[#This Row],[GP]]</f>
        <v>11.125</v>
      </c>
    </row>
    <row r="142" spans="1:43" customFormat="1" x14ac:dyDescent="0.3">
      <c r="A142" s="1" t="s">
        <v>1607</v>
      </c>
      <c r="B142" s="1" t="s">
        <v>1343</v>
      </c>
      <c r="C142" s="1" t="str">
        <f>knicks_players_all_stats[[#This Row],[NAME]]&amp;" ("&amp;knicks_players_all_stats[[#This Row],[SEASON]]&amp;")"</f>
        <v>Tim Hardaway Jr. (2014-15)</v>
      </c>
      <c r="D142" s="1">
        <f>knicks_players_all_stats[[#This Row],[PLAYER_AGE]]/10</f>
        <v>23</v>
      </c>
      <c r="E142">
        <v>230</v>
      </c>
      <c r="F142" s="1">
        <v>70</v>
      </c>
      <c r="G142" s="1">
        <v>16810</v>
      </c>
      <c r="H1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451</v>
      </c>
      <c r="I142" s="4">
        <f>knicks_players_all_stats[[#This Row],[VALORATION]]/knicks_players_all_stats[[#This Row],[GP]]</f>
        <v>6.4428571428571431</v>
      </c>
      <c r="J142" s="1">
        <v>279</v>
      </c>
      <c r="K142" s="1">
        <v>717</v>
      </c>
      <c r="L142" s="2">
        <f>knicks_players_all_stats[[#This Row],[FGM]]/knicks_players_all_stats[[#This Row],[FGA]]</f>
        <v>0.38912133891213391</v>
      </c>
      <c r="M142" s="16">
        <f>knicks_players_all_stats[[#This Row],[FG3M2]]/10</f>
        <v>121</v>
      </c>
      <c r="N142" s="1">
        <v>1210</v>
      </c>
      <c r="O142" s="1">
        <f>knicks_players_all_stats[[#This Row],[FG3A2]]/10</f>
        <v>354</v>
      </c>
      <c r="P142" s="1">
        <v>3540</v>
      </c>
      <c r="Q142" s="2">
        <f>knicks_players_all_stats[[#This Row],[FG3M2]]/knicks_players_all_stats[[#This Row],[FG3A2]]</f>
        <v>0.34180790960451979</v>
      </c>
      <c r="R142" s="1">
        <v>125</v>
      </c>
      <c r="S142" s="1">
        <v>156</v>
      </c>
      <c r="T142" s="3">
        <f>knicks_players_all_stats[[#This Row],[FTM]]/knicks_players_all_stats[[#This Row],[FTA]]</f>
        <v>0.80128205128205132</v>
      </c>
      <c r="U142" s="1">
        <f>knicks_players_all_stats[[#This Row],[OREB22]]/10</f>
        <v>12</v>
      </c>
      <c r="V142" s="1">
        <f>knicks_players_all_stats[[#This Row],[DREB33]]/10</f>
        <v>144</v>
      </c>
      <c r="W142" s="1">
        <f>knicks_players_all_stats[[#This Row],[REB44]]/10</f>
        <v>156</v>
      </c>
      <c r="X142">
        <v>120</v>
      </c>
      <c r="Y142">
        <v>1440</v>
      </c>
      <c r="Z142">
        <v>1560</v>
      </c>
      <c r="AA142" s="14">
        <f>knicks_players_all_stats[[#This Row],[REB]]/knicks_players_all_stats[[#This Row],[GP]]</f>
        <v>2.2285714285714286</v>
      </c>
      <c r="AB142" s="1">
        <v>127</v>
      </c>
      <c r="AC142" s="4">
        <f>knicks_players_all_stats[[#This Row],[AST]]/knicks_players_all_stats[[#This Row],[GP]]</f>
        <v>1.8142857142857143</v>
      </c>
      <c r="AD142" s="1">
        <f>knicks_players_all_stats[[#This Row],[STL2]]/10</f>
        <v>20</v>
      </c>
      <c r="AE142" s="1">
        <v>200</v>
      </c>
      <c r="AF142" s="4">
        <f>knicks_players_all_stats[[#This Row],[STL]]/knicks_players_all_stats[[#This Row],[GP]]</f>
        <v>0.2857142857142857</v>
      </c>
      <c r="AG142">
        <v>140</v>
      </c>
      <c r="AH142" s="1">
        <f>knicks_players_all_stats[[#This Row],[BLK2]]/10</f>
        <v>14</v>
      </c>
      <c r="AI142" s="4">
        <f>knicks_players_all_stats[[#This Row],[BLK]]/knicks_players_all_stats[[#This Row],[GP]]</f>
        <v>0.2</v>
      </c>
      <c r="AJ142">
        <v>820</v>
      </c>
      <c r="AK142" s="4">
        <f>knicks_players_all_stats[[#This Row],[BLKPG]]+knicks_players_all_stats[[#This Row],[STLPG]]+knicks_players_all_stats[[#This Row],[REBPG]]</f>
        <v>2.7142857142857144</v>
      </c>
      <c r="AL142" s="1">
        <f>knicks_players_all_stats[[#This Row],[TOV2]]/10</f>
        <v>82</v>
      </c>
      <c r="AM142" s="4">
        <f>knicks_players_all_stats[[#This Row],[TOV]]/knicks_players_all_stats[[#This Row],[GP]]</f>
        <v>1.1714285714285715</v>
      </c>
      <c r="AN142" s="1">
        <v>119</v>
      </c>
      <c r="AO142" s="1">
        <f>knicks_players_all_stats[[#This Row],[PF]]/knicks_players_all_stats[[#This Row],[GP]]</f>
        <v>1.7</v>
      </c>
      <c r="AP142" s="1">
        <v>804</v>
      </c>
      <c r="AQ142" s="4">
        <f>knicks_players_all_stats[[#This Row],[PTS]]/knicks_players_all_stats[[#This Row],[GP]]</f>
        <v>11.485714285714286</v>
      </c>
    </row>
    <row r="143" spans="1:43" customFormat="1" x14ac:dyDescent="0.3">
      <c r="A143" s="1" t="s">
        <v>1547</v>
      </c>
      <c r="B143" s="1" t="s">
        <v>1302</v>
      </c>
      <c r="C143" s="1" t="str">
        <f>knicks_players_all_stats[[#This Row],[NAME]]&amp;" ("&amp;knicks_players_all_stats[[#This Row],[SEASON]]&amp;")"</f>
        <v>David Lee (2006-07)</v>
      </c>
      <c r="D143" s="1">
        <f>knicks_players_all_stats[[#This Row],[PLAYER_AGE]]/10</f>
        <v>24</v>
      </c>
      <c r="E143">
        <v>240</v>
      </c>
      <c r="F143" s="1">
        <v>58</v>
      </c>
      <c r="G143" s="1">
        <v>17270</v>
      </c>
      <c r="H1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959</v>
      </c>
      <c r="I143" s="4">
        <f>knicks_players_all_stats[[#This Row],[VALORATION]]/knicks_players_all_stats[[#This Row],[GP]]</f>
        <v>16.53448275862069</v>
      </c>
      <c r="J143" s="1">
        <v>240</v>
      </c>
      <c r="K143" s="1">
        <v>400</v>
      </c>
      <c r="L143" s="2">
        <f>knicks_players_all_stats[[#This Row],[FGM]]/knicks_players_all_stats[[#This Row],[FGA]]</f>
        <v>0.6</v>
      </c>
      <c r="M143" s="16">
        <f>knicks_players_all_stats[[#This Row],[FG3M2]]/10</f>
        <v>0</v>
      </c>
      <c r="N143" s="1">
        <v>0</v>
      </c>
      <c r="O143" s="1">
        <f>knicks_players_all_stats[[#This Row],[FG3A2]]/10</f>
        <v>0</v>
      </c>
      <c r="P143" s="1">
        <v>0</v>
      </c>
      <c r="Q143" s="2" t="e">
        <f>knicks_players_all_stats[[#This Row],[FG3M2]]/knicks_players_all_stats[[#This Row],[FG3A2]]</f>
        <v>#DIV/0!</v>
      </c>
      <c r="R143" s="1">
        <v>141</v>
      </c>
      <c r="S143" s="1">
        <v>173</v>
      </c>
      <c r="T143" s="3">
        <f>knicks_players_all_stats[[#This Row],[FTM]]/knicks_players_all_stats[[#This Row],[FTA]]</f>
        <v>0.81502890173410403</v>
      </c>
      <c r="U143" s="1">
        <f>knicks_players_all_stats[[#This Row],[OREB22]]/10</f>
        <v>196</v>
      </c>
      <c r="V143" s="1">
        <f>knicks_players_all_stats[[#This Row],[DREB33]]/10</f>
        <v>406</v>
      </c>
      <c r="W143" s="1">
        <f>knicks_players_all_stats[[#This Row],[REB44]]/10</f>
        <v>602</v>
      </c>
      <c r="X143">
        <v>1960</v>
      </c>
      <c r="Y143">
        <v>4060</v>
      </c>
      <c r="Z143">
        <v>6020</v>
      </c>
      <c r="AA143" s="14">
        <f>knicks_players_all_stats[[#This Row],[REB]]/knicks_players_all_stats[[#This Row],[GP]]</f>
        <v>10.379310344827585</v>
      </c>
      <c r="AB143" s="1">
        <v>104</v>
      </c>
      <c r="AC143" s="4">
        <f>knicks_players_all_stats[[#This Row],[AST]]/knicks_players_all_stats[[#This Row],[GP]]</f>
        <v>1.7931034482758621</v>
      </c>
      <c r="AD143" s="1">
        <f>knicks_players_all_stats[[#This Row],[STL2]]/10</f>
        <v>48</v>
      </c>
      <c r="AE143" s="1">
        <v>480</v>
      </c>
      <c r="AF143" s="4">
        <f>knicks_players_all_stats[[#This Row],[STL]]/knicks_players_all_stats[[#This Row],[GP]]</f>
        <v>0.82758620689655171</v>
      </c>
      <c r="AG143">
        <v>230</v>
      </c>
      <c r="AH143" s="1">
        <f>knicks_players_all_stats[[#This Row],[BLK2]]/10</f>
        <v>23</v>
      </c>
      <c r="AI143" s="4">
        <f>knicks_players_all_stats[[#This Row],[BLK]]/knicks_players_all_stats[[#This Row],[GP]]</f>
        <v>0.39655172413793105</v>
      </c>
      <c r="AJ143">
        <v>920</v>
      </c>
      <c r="AK143" s="4">
        <f>knicks_players_all_stats[[#This Row],[BLKPG]]+knicks_players_all_stats[[#This Row],[STLPG]]+knicks_players_all_stats[[#This Row],[REBPG]]</f>
        <v>11.603448275862068</v>
      </c>
      <c r="AL143" s="1">
        <f>knicks_players_all_stats[[#This Row],[TOV2]]/10</f>
        <v>92</v>
      </c>
      <c r="AM143" s="4">
        <f>knicks_players_all_stats[[#This Row],[TOV]]/knicks_players_all_stats[[#This Row],[GP]]</f>
        <v>1.5862068965517242</v>
      </c>
      <c r="AN143" s="1">
        <v>155</v>
      </c>
      <c r="AO143" s="1">
        <f>knicks_players_all_stats[[#This Row],[PF]]/knicks_players_all_stats[[#This Row],[GP]]</f>
        <v>2.6724137931034484</v>
      </c>
      <c r="AP143" s="1">
        <v>621</v>
      </c>
      <c r="AQ143" s="4">
        <f>knicks_players_all_stats[[#This Row],[PTS]]/knicks_players_all_stats[[#This Row],[GP]]</f>
        <v>10.706896551724139</v>
      </c>
    </row>
    <row r="144" spans="1:43" x14ac:dyDescent="0.3">
      <c r="A144" s="1" t="s">
        <v>1773</v>
      </c>
      <c r="B144" s="1" t="s">
        <v>1303</v>
      </c>
      <c r="C144" s="1" t="str">
        <f>knicks_players_all_stats[[#This Row],[NAME]]&amp;" ("&amp;knicks_players_all_stats[[#This Row],[SEASON]]&amp;")"</f>
        <v>Quentin Richardson (2007-08)</v>
      </c>
      <c r="D144" s="1">
        <f>knicks_players_all_stats[[#This Row],[PLAYER_AGE]]/10</f>
        <v>28</v>
      </c>
      <c r="E144">
        <v>280</v>
      </c>
      <c r="F144" s="1">
        <v>65</v>
      </c>
      <c r="G144" s="1">
        <v>18410</v>
      </c>
      <c r="H1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411</v>
      </c>
      <c r="I144" s="4">
        <f>knicks_players_all_stats[[#This Row],[VALORATION]]/knicks_players_all_stats[[#This Row],[GP]]</f>
        <v>6.3230769230769228</v>
      </c>
      <c r="J144" s="1">
        <v>199</v>
      </c>
      <c r="K144" s="1">
        <v>555</v>
      </c>
      <c r="L144" s="1">
        <v>359</v>
      </c>
      <c r="M144" s="4">
        <f>knicks_players_all_stats[[#This Row],[FG3M2]]/10</f>
        <v>69</v>
      </c>
      <c r="N144" s="1">
        <v>690</v>
      </c>
      <c r="O144" s="1">
        <f>knicks_players_all_stats[[#This Row],[FG3A2]]/10</f>
        <v>214</v>
      </c>
      <c r="P144" s="1">
        <v>2140</v>
      </c>
      <c r="Q144" s="2">
        <f>knicks_players_all_stats[[#This Row],[FG3M2]]/knicks_players_all_stats[[#This Row],[FG3A2]]</f>
        <v>0.32242990654205606</v>
      </c>
      <c r="R144" s="1">
        <v>60</v>
      </c>
      <c r="S144" s="1">
        <v>88</v>
      </c>
      <c r="T144" s="3">
        <f>knicks_players_all_stats[[#This Row],[FTM]]/knicks_players_all_stats[[#This Row],[FTA]]</f>
        <v>0.68181818181818177</v>
      </c>
      <c r="U144" s="1">
        <f>knicks_players_all_stats[[#This Row],[OREB22]]/10</f>
        <v>56</v>
      </c>
      <c r="V144" s="1">
        <f>knicks_players_all_stats[[#This Row],[DREB33]]/10</f>
        <v>259</v>
      </c>
      <c r="W144" s="1">
        <f>knicks_players_all_stats[[#This Row],[REB44]]/10</f>
        <v>315</v>
      </c>
      <c r="X144">
        <v>560</v>
      </c>
      <c r="Y144">
        <v>2590</v>
      </c>
      <c r="Z144">
        <v>3150</v>
      </c>
      <c r="AA144" s="14">
        <f>knicks_players_all_stats[[#This Row],[REB]]/knicks_players_all_stats[[#This Row],[GP]]</f>
        <v>4.8461538461538458</v>
      </c>
      <c r="AB144" s="1">
        <v>116</v>
      </c>
      <c r="AC144" s="4">
        <f>knicks_players_all_stats[[#This Row],[AST]]/knicks_players_all_stats[[#This Row],[GP]]</f>
        <v>1.7846153846153847</v>
      </c>
      <c r="AD144" s="1">
        <f>knicks_players_all_stats[[#This Row],[STL2]]/10</f>
        <v>44</v>
      </c>
      <c r="AE144" s="1">
        <v>440</v>
      </c>
      <c r="AF144" s="4">
        <f>knicks_players_all_stats[[#This Row],[STL]]/knicks_players_all_stats[[#This Row],[GP]]</f>
        <v>0.67692307692307696</v>
      </c>
      <c r="AG144">
        <v>150</v>
      </c>
      <c r="AH144" s="1">
        <f>knicks_players_all_stats[[#This Row],[BLK2]]/10</f>
        <v>15</v>
      </c>
      <c r="AI144" s="4">
        <f>knicks_players_all_stats[[#This Row],[BLK]]/knicks_players_all_stats[[#This Row],[GP]]</f>
        <v>0.23076923076923078</v>
      </c>
      <c r="AJ144">
        <v>690</v>
      </c>
      <c r="AK144" s="4">
        <f>knicks_players_all_stats[[#This Row],[BLKPG]]+knicks_players_all_stats[[#This Row],[STLPG]]+knicks_players_all_stats[[#This Row],[REBPG]]</f>
        <v>5.7538461538461538</v>
      </c>
      <c r="AL144" s="1">
        <f>knicks_players_all_stats[[#This Row],[TOV2]]/10</f>
        <v>69</v>
      </c>
      <c r="AM144" s="4">
        <f>knicks_players_all_stats[[#This Row],[TOV]]/knicks_players_all_stats[[#This Row],[GP]]</f>
        <v>1.0615384615384615</v>
      </c>
      <c r="AN144" s="1">
        <v>153</v>
      </c>
      <c r="AO144" s="1">
        <f>knicks_players_all_stats[[#This Row],[PF]]/knicks_players_all_stats[[#This Row],[GP]]</f>
        <v>2.3538461538461539</v>
      </c>
      <c r="AP144" s="1">
        <v>527</v>
      </c>
      <c r="AQ144" s="4">
        <f>knicks_players_all_stats[[#This Row],[PTS]]/knicks_players_all_stats[[#This Row],[GP]]</f>
        <v>8.1076923076923073</v>
      </c>
    </row>
    <row r="145" spans="1:43" x14ac:dyDescent="0.3">
      <c r="A145" s="1" t="s">
        <v>1810</v>
      </c>
      <c r="B145" s="1" t="s">
        <v>1293</v>
      </c>
      <c r="C145" s="1" t="str">
        <f>knicks_players_all_stats[[#This Row],[NAME]]&amp;" ("&amp;knicks_players_all_stats[[#This Row],[SEASON]]&amp;")"</f>
        <v>Keith Van Horn (2003-04)</v>
      </c>
      <c r="D145" s="1">
        <f>knicks_players_all_stats[[#This Row],[PLAYER_AGE]]/10</f>
        <v>28</v>
      </c>
      <c r="E145">
        <v>280</v>
      </c>
      <c r="F145" s="1">
        <v>47</v>
      </c>
      <c r="G145" s="1">
        <v>15780</v>
      </c>
      <c r="H1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619</v>
      </c>
      <c r="I145" s="4">
        <f>knicks_players_all_stats[[#This Row],[VALORATION]]/knicks_players_all_stats[[#This Row],[GP]]</f>
        <v>13.170212765957446</v>
      </c>
      <c r="J145" s="1">
        <v>273</v>
      </c>
      <c r="K145" s="1">
        <v>613</v>
      </c>
      <c r="L145" s="1">
        <v>445</v>
      </c>
      <c r="M145" s="4">
        <f>knicks_players_all_stats[[#This Row],[FG3M2]]/10</f>
        <v>60</v>
      </c>
      <c r="N145" s="1">
        <v>600</v>
      </c>
      <c r="O145" s="1">
        <f>knicks_players_all_stats[[#This Row],[FG3A2]]/10</f>
        <v>161</v>
      </c>
      <c r="P145" s="1">
        <v>1610</v>
      </c>
      <c r="Q145" s="2">
        <f>knicks_players_all_stats[[#This Row],[FG3M2]]/knicks_players_all_stats[[#This Row],[FG3A2]]</f>
        <v>0.37267080745341613</v>
      </c>
      <c r="R145" s="1">
        <v>163</v>
      </c>
      <c r="S145" s="1">
        <v>199</v>
      </c>
      <c r="T145" s="3">
        <f>knicks_players_all_stats[[#This Row],[FTM]]/knicks_players_all_stats[[#This Row],[FTA]]</f>
        <v>0.81909547738693467</v>
      </c>
      <c r="U145" s="1">
        <f>knicks_players_all_stats[[#This Row],[OREB22]]/10</f>
        <v>98</v>
      </c>
      <c r="V145" s="1">
        <f>knicks_players_all_stats[[#This Row],[DREB33]]/10</f>
        <v>245</v>
      </c>
      <c r="W145" s="1">
        <f>knicks_players_all_stats[[#This Row],[REB44]]/10</f>
        <v>343</v>
      </c>
      <c r="X145">
        <v>980</v>
      </c>
      <c r="Y145">
        <v>2450</v>
      </c>
      <c r="Z145">
        <v>3430</v>
      </c>
      <c r="AA145" s="14">
        <f>knicks_players_all_stats[[#This Row],[REB]]/knicks_players_all_stats[[#This Row],[GP]]</f>
        <v>7.2978723404255321</v>
      </c>
      <c r="AB145" s="1">
        <v>83</v>
      </c>
      <c r="AC145" s="4">
        <f>knicks_players_all_stats[[#This Row],[AST]]/knicks_players_all_stats[[#This Row],[GP]]</f>
        <v>1.7659574468085106</v>
      </c>
      <c r="AD145" s="1">
        <f>knicks_players_all_stats[[#This Row],[STL2]]/10</f>
        <v>52</v>
      </c>
      <c r="AE145" s="1">
        <v>520</v>
      </c>
      <c r="AF145" s="4">
        <f>knicks_players_all_stats[[#This Row],[STL]]/knicks_players_all_stats[[#This Row],[GP]]</f>
        <v>1.1063829787234043</v>
      </c>
      <c r="AG145">
        <v>180</v>
      </c>
      <c r="AH145" s="1">
        <f>knicks_players_all_stats[[#This Row],[BLK2]]/10</f>
        <v>18</v>
      </c>
      <c r="AI145" s="4">
        <f>knicks_players_all_stats[[#This Row],[BLK]]/knicks_players_all_stats[[#This Row],[GP]]</f>
        <v>0.38297872340425532</v>
      </c>
      <c r="AJ145">
        <v>1190</v>
      </c>
      <c r="AK145" s="4">
        <f>knicks_players_all_stats[[#This Row],[BLKPG]]+knicks_players_all_stats[[#This Row],[STLPG]]+knicks_players_all_stats[[#This Row],[REBPG]]</f>
        <v>8.787234042553191</v>
      </c>
      <c r="AL145" s="1">
        <f>knicks_players_all_stats[[#This Row],[TOV2]]/10</f>
        <v>119</v>
      </c>
      <c r="AM145" s="4">
        <f>knicks_players_all_stats[[#This Row],[TOV]]/knicks_players_all_stats[[#This Row],[GP]]</f>
        <v>2.5319148936170213</v>
      </c>
      <c r="AN145" s="1">
        <v>151</v>
      </c>
      <c r="AO145" s="1">
        <f>knicks_players_all_stats[[#This Row],[PF]]/knicks_players_all_stats[[#This Row],[GP]]</f>
        <v>3.2127659574468086</v>
      </c>
      <c r="AP145" s="1">
        <v>769</v>
      </c>
      <c r="AQ145" s="4">
        <f>knicks_players_all_stats[[#This Row],[PTS]]/knicks_players_all_stats[[#This Row],[GP]]</f>
        <v>16.361702127659573</v>
      </c>
    </row>
    <row r="146" spans="1:43" customFormat="1" x14ac:dyDescent="0.3">
      <c r="A146" s="1" t="s">
        <v>1718</v>
      </c>
      <c r="B146" s="1" t="s">
        <v>1337</v>
      </c>
      <c r="C146" s="1" t="str">
        <f>knicks_players_all_stats[[#This Row],[NAME]]&amp;" ("&amp;knicks_players_all_stats[[#This Row],[SEASON]]&amp;")"</f>
        <v>Iman Shumpert (2013-14)</v>
      </c>
      <c r="D146" s="1">
        <f>knicks_players_all_stats[[#This Row],[PLAYER_AGE]]/10</f>
        <v>24</v>
      </c>
      <c r="E146">
        <v>240</v>
      </c>
      <c r="F146" s="1">
        <v>74</v>
      </c>
      <c r="G146" s="1">
        <v>19620</v>
      </c>
      <c r="H1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430</v>
      </c>
      <c r="I146" s="4">
        <f>knicks_players_all_stats[[#This Row],[VALORATION]]/knicks_players_all_stats[[#This Row],[GP]]</f>
        <v>5.8108108108108105</v>
      </c>
      <c r="J146" s="1">
        <v>183</v>
      </c>
      <c r="K146" s="1">
        <v>484</v>
      </c>
      <c r="L146" s="1">
        <v>378</v>
      </c>
      <c r="M146" s="4">
        <f>knicks_players_all_stats[[#This Row],[FG3M2]]/10</f>
        <v>76</v>
      </c>
      <c r="N146" s="1">
        <v>760</v>
      </c>
      <c r="O146" s="1">
        <f>knicks_players_all_stats[[#This Row],[FG3A2]]/10</f>
        <v>228</v>
      </c>
      <c r="P146" s="1">
        <v>2280</v>
      </c>
      <c r="Q146" s="2">
        <f>knicks_players_all_stats[[#This Row],[FG3M2]]/knicks_players_all_stats[[#This Row],[FG3A2]]</f>
        <v>0.33333333333333331</v>
      </c>
      <c r="R146" s="1">
        <v>53</v>
      </c>
      <c r="S146" s="1">
        <v>71</v>
      </c>
      <c r="T146" s="3">
        <f>knicks_players_all_stats[[#This Row],[FTM]]/knicks_players_all_stats[[#This Row],[FTA]]</f>
        <v>0.74647887323943662</v>
      </c>
      <c r="U146" s="1">
        <f>knicks_players_all_stats[[#This Row],[OREB22]]/10</f>
        <v>81</v>
      </c>
      <c r="V146" s="1">
        <f>knicks_players_all_stats[[#This Row],[DREB33]]/10</f>
        <v>227</v>
      </c>
      <c r="W146" s="1">
        <f>knicks_players_all_stats[[#This Row],[REB44]]/10</f>
        <v>308</v>
      </c>
      <c r="X146">
        <v>810</v>
      </c>
      <c r="Y146">
        <v>2270</v>
      </c>
      <c r="Z146">
        <v>3080</v>
      </c>
      <c r="AA146" s="14">
        <f>knicks_players_all_stats[[#This Row],[REB]]/knicks_players_all_stats[[#This Row],[GP]]</f>
        <v>4.1621621621621623</v>
      </c>
      <c r="AB146" s="1">
        <v>129</v>
      </c>
      <c r="AC146" s="4">
        <f>knicks_players_all_stats[[#This Row],[AST]]/knicks_players_all_stats[[#This Row],[GP]]</f>
        <v>1.7432432432432432</v>
      </c>
      <c r="AD146" s="1">
        <f>knicks_players_all_stats[[#This Row],[STL2]]/10</f>
        <v>92</v>
      </c>
      <c r="AE146" s="1">
        <v>920</v>
      </c>
      <c r="AF146" s="4">
        <f>knicks_players_all_stats[[#This Row],[STL]]/knicks_players_all_stats[[#This Row],[GP]]</f>
        <v>1.2432432432432432</v>
      </c>
      <c r="AG146">
        <v>130</v>
      </c>
      <c r="AH146" s="1">
        <f>knicks_players_all_stats[[#This Row],[BLK2]]/10</f>
        <v>13</v>
      </c>
      <c r="AI146" s="4">
        <f>knicks_players_all_stats[[#This Row],[BLK]]/knicks_players_all_stats[[#This Row],[GP]]</f>
        <v>0.17567567567567569</v>
      </c>
      <c r="AJ146">
        <v>790</v>
      </c>
      <c r="AK146" s="4">
        <f>knicks_players_all_stats[[#This Row],[BLKPG]]+knicks_players_all_stats[[#This Row],[STLPG]]+knicks_players_all_stats[[#This Row],[REBPG]]</f>
        <v>5.5810810810810807</v>
      </c>
      <c r="AL146" s="1">
        <f>knicks_players_all_stats[[#This Row],[TOV2]]/10</f>
        <v>79</v>
      </c>
      <c r="AM146" s="4">
        <f>knicks_players_all_stats[[#This Row],[TOV]]/knicks_players_all_stats[[#This Row],[GP]]</f>
        <v>1.0675675675675675</v>
      </c>
      <c r="AN146" s="1">
        <v>209</v>
      </c>
      <c r="AO146" s="1">
        <f>knicks_players_all_stats[[#This Row],[PF]]/knicks_players_all_stats[[#This Row],[GP]]</f>
        <v>2.8243243243243241</v>
      </c>
      <c r="AP146" s="1">
        <v>495</v>
      </c>
      <c r="AQ146" s="4">
        <f>knicks_players_all_stats[[#This Row],[PTS]]/knicks_players_all_stats[[#This Row],[GP]]</f>
        <v>6.6891891891891895</v>
      </c>
    </row>
    <row r="147" spans="1:43" customFormat="1" x14ac:dyDescent="0.3">
      <c r="A147" s="1" t="s">
        <v>1740</v>
      </c>
      <c r="B147" s="1" t="s">
        <v>1312</v>
      </c>
      <c r="C147" s="1" t="str">
        <f>knicks_players_all_stats[[#This Row],[NAME]]&amp;" ("&amp;knicks_players_all_stats[[#This Row],[SEASON]]&amp;")"</f>
        <v>Danilo Gallinari (2010-11)</v>
      </c>
      <c r="D147" s="1">
        <f>knicks_players_all_stats[[#This Row],[PLAYER_AGE]]/10</f>
        <v>22</v>
      </c>
      <c r="E147">
        <v>220</v>
      </c>
      <c r="F147" s="1">
        <v>48</v>
      </c>
      <c r="G147" s="1">
        <v>16710</v>
      </c>
      <c r="H1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627</v>
      </c>
      <c r="I147" s="4">
        <f>knicks_players_all_stats[[#This Row],[VALORATION]]/knicks_players_all_stats[[#This Row],[GP]]</f>
        <v>13.0625</v>
      </c>
      <c r="J147" s="1">
        <v>211</v>
      </c>
      <c r="K147" s="1">
        <v>509</v>
      </c>
      <c r="L147" s="1">
        <v>415</v>
      </c>
      <c r="M147" s="4">
        <f>knicks_players_all_stats[[#This Row],[FG3M2]]/10</f>
        <v>83</v>
      </c>
      <c r="N147" s="1">
        <v>830</v>
      </c>
      <c r="O147" s="1">
        <f>knicks_players_all_stats[[#This Row],[FG3A2]]/10</f>
        <v>239</v>
      </c>
      <c r="P147" s="1">
        <v>2390</v>
      </c>
      <c r="Q147" s="2">
        <f>knicks_players_all_stats[[#This Row],[FG3M2]]/knicks_players_all_stats[[#This Row],[FG3A2]]</f>
        <v>0.34728033472803349</v>
      </c>
      <c r="R147" s="1">
        <v>259</v>
      </c>
      <c r="S147" s="1">
        <v>290</v>
      </c>
      <c r="T147" s="3">
        <f>knicks_players_all_stats[[#This Row],[FTM]]/knicks_players_all_stats[[#This Row],[FTA]]</f>
        <v>0.89310344827586208</v>
      </c>
      <c r="U147" s="1">
        <f>knicks_players_all_stats[[#This Row],[OREB22]]/10</f>
        <v>48</v>
      </c>
      <c r="V147" s="1">
        <f>knicks_players_all_stats[[#This Row],[DREB33]]/10</f>
        <v>181</v>
      </c>
      <c r="W147" s="1">
        <f>knicks_players_all_stats[[#This Row],[REB44]]/10</f>
        <v>229</v>
      </c>
      <c r="X147">
        <v>480</v>
      </c>
      <c r="Y147">
        <v>1810</v>
      </c>
      <c r="Z147">
        <v>2290</v>
      </c>
      <c r="AA147" s="14">
        <f>knicks_players_all_stats[[#This Row],[REB]]/knicks_players_all_stats[[#This Row],[GP]]</f>
        <v>4.770833333333333</v>
      </c>
      <c r="AB147" s="1">
        <v>82</v>
      </c>
      <c r="AC147" s="4">
        <f>knicks_players_all_stats[[#This Row],[AST]]/knicks_players_all_stats[[#This Row],[GP]]</f>
        <v>1.7083333333333333</v>
      </c>
      <c r="AD147" s="1">
        <f>knicks_players_all_stats[[#This Row],[STL2]]/10</f>
        <v>38</v>
      </c>
      <c r="AE147" s="1">
        <v>380</v>
      </c>
      <c r="AF147" s="4">
        <f>knicks_players_all_stats[[#This Row],[STL]]/knicks_players_all_stats[[#This Row],[GP]]</f>
        <v>0.79166666666666663</v>
      </c>
      <c r="AG147">
        <v>180</v>
      </c>
      <c r="AH147" s="1">
        <f>knicks_players_all_stats[[#This Row],[BLK2]]/10</f>
        <v>18</v>
      </c>
      <c r="AI147" s="4">
        <f>knicks_players_all_stats[[#This Row],[BLK]]/knicks_players_all_stats[[#This Row],[GP]]</f>
        <v>0.375</v>
      </c>
      <c r="AJ147">
        <v>580</v>
      </c>
      <c r="AK147" s="4">
        <f>knicks_players_all_stats[[#This Row],[BLKPG]]+knicks_players_all_stats[[#This Row],[STLPG]]+knicks_players_all_stats[[#This Row],[REBPG]]</f>
        <v>5.9375</v>
      </c>
      <c r="AL147" s="1">
        <f>knicks_players_all_stats[[#This Row],[TOV2]]/10</f>
        <v>58</v>
      </c>
      <c r="AM147" s="4">
        <f>knicks_players_all_stats[[#This Row],[TOV]]/knicks_players_all_stats[[#This Row],[GP]]</f>
        <v>1.2083333333333333</v>
      </c>
      <c r="AN147" s="1">
        <v>117</v>
      </c>
      <c r="AO147" s="1">
        <f>knicks_players_all_stats[[#This Row],[PF]]/knicks_players_all_stats[[#This Row],[GP]]</f>
        <v>2.4375</v>
      </c>
      <c r="AP147" s="1">
        <v>764</v>
      </c>
      <c r="AQ147" s="4">
        <f>knicks_players_all_stats[[#This Row],[PTS]]/knicks_players_all_stats[[#This Row],[GP]]</f>
        <v>15.916666666666666</v>
      </c>
    </row>
    <row r="148" spans="1:43" customFormat="1" x14ac:dyDescent="0.3">
      <c r="A148" s="1" t="s">
        <v>1533</v>
      </c>
      <c r="B148" s="1" t="s">
        <v>1343</v>
      </c>
      <c r="C148" s="1" t="str">
        <f>knicks_players_all_stats[[#This Row],[NAME]]&amp;" ("&amp;knicks_players_all_stats[[#This Row],[SEASON]]&amp;")"</f>
        <v>Jason Smith (2014-15)</v>
      </c>
      <c r="D148" s="1">
        <f>knicks_players_all_stats[[#This Row],[PLAYER_AGE]]/10</f>
        <v>29</v>
      </c>
      <c r="E148">
        <v>290</v>
      </c>
      <c r="F148" s="1">
        <v>82</v>
      </c>
      <c r="G148" s="1">
        <v>17850</v>
      </c>
      <c r="H1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526</v>
      </c>
      <c r="I148" s="4">
        <f>knicks_players_all_stats[[#This Row],[VALORATION]]/knicks_players_all_stats[[#This Row],[GP]]</f>
        <v>6.4146341463414638</v>
      </c>
      <c r="J148" s="1">
        <v>257</v>
      </c>
      <c r="K148" s="1">
        <v>592</v>
      </c>
      <c r="L148" s="2">
        <f>knicks_players_all_stats[[#This Row],[FGM]]/knicks_players_all_stats[[#This Row],[FGA]]</f>
        <v>0.4341216216216216</v>
      </c>
      <c r="M148" s="16">
        <f>knicks_players_all_stats[[#This Row],[FG3M2]]/10</f>
        <v>15</v>
      </c>
      <c r="N148" s="1">
        <v>150</v>
      </c>
      <c r="O148" s="1">
        <f>knicks_players_all_stats[[#This Row],[FG3A2]]/10</f>
        <v>42</v>
      </c>
      <c r="P148" s="1">
        <v>420</v>
      </c>
      <c r="Q148" s="2">
        <f>knicks_players_all_stats[[#This Row],[FG3M2]]/knicks_players_all_stats[[#This Row],[FG3A2]]</f>
        <v>0.35714285714285715</v>
      </c>
      <c r="R148" s="1">
        <v>127</v>
      </c>
      <c r="S148" s="1">
        <v>153</v>
      </c>
      <c r="T148" s="3">
        <f>knicks_players_all_stats[[#This Row],[FTM]]/knicks_players_all_stats[[#This Row],[FTA]]</f>
        <v>0.83006535947712423</v>
      </c>
      <c r="U148" s="1">
        <f>knicks_players_all_stats[[#This Row],[OREB22]]/10</f>
        <v>98</v>
      </c>
      <c r="V148" s="1">
        <f>knicks_players_all_stats[[#This Row],[DREB33]]/10</f>
        <v>226</v>
      </c>
      <c r="W148" s="1">
        <f>knicks_players_all_stats[[#This Row],[REB44]]/10</f>
        <v>324</v>
      </c>
      <c r="X148">
        <v>980</v>
      </c>
      <c r="Y148">
        <v>2260</v>
      </c>
      <c r="Z148">
        <v>3240</v>
      </c>
      <c r="AA148" s="14">
        <f>knicks_players_all_stats[[#This Row],[REB]]/knicks_players_all_stats[[#This Row],[GP]]</f>
        <v>3.9512195121951219</v>
      </c>
      <c r="AB148" s="1">
        <v>140</v>
      </c>
      <c r="AC148" s="4">
        <f>knicks_players_all_stats[[#This Row],[AST]]/knicks_players_all_stats[[#This Row],[GP]]</f>
        <v>1.7073170731707317</v>
      </c>
      <c r="AD148" s="1">
        <f>knicks_players_all_stats[[#This Row],[STL2]]/10</f>
        <v>32</v>
      </c>
      <c r="AE148" s="1">
        <v>320</v>
      </c>
      <c r="AF148" s="4">
        <f>knicks_players_all_stats[[#This Row],[STL]]/knicks_players_all_stats[[#This Row],[GP]]</f>
        <v>0.3902439024390244</v>
      </c>
      <c r="AG148">
        <v>440</v>
      </c>
      <c r="AH148" s="1">
        <f>knicks_players_all_stats[[#This Row],[BLK2]]/10</f>
        <v>44</v>
      </c>
      <c r="AI148" s="4">
        <f>knicks_players_all_stats[[#This Row],[BLK]]/knicks_players_all_stats[[#This Row],[GP]]</f>
        <v>0.53658536585365857</v>
      </c>
      <c r="AJ148">
        <v>1040</v>
      </c>
      <c r="AK148" s="4">
        <f>knicks_players_all_stats[[#This Row],[BLKPG]]+knicks_players_all_stats[[#This Row],[STLPG]]+knicks_players_all_stats[[#This Row],[REBPG]]</f>
        <v>4.8780487804878048</v>
      </c>
      <c r="AL148" s="1">
        <f>knicks_players_all_stats[[#This Row],[TOV2]]/10</f>
        <v>104</v>
      </c>
      <c r="AM148" s="4">
        <f>knicks_players_all_stats[[#This Row],[TOV]]/knicks_players_all_stats[[#This Row],[GP]]</f>
        <v>1.2682926829268293</v>
      </c>
      <c r="AN148" s="1">
        <v>205</v>
      </c>
      <c r="AO148" s="1">
        <f>knicks_players_all_stats[[#This Row],[PF]]/knicks_players_all_stats[[#This Row],[GP]]</f>
        <v>2.5</v>
      </c>
      <c r="AP148" s="1">
        <v>656</v>
      </c>
      <c r="AQ148" s="4">
        <f>knicks_players_all_stats[[#This Row],[PTS]]/knicks_players_all_stats[[#This Row],[GP]]</f>
        <v>8</v>
      </c>
    </row>
    <row r="149" spans="1:43" customFormat="1" x14ac:dyDescent="0.3">
      <c r="A149" s="1" t="s">
        <v>1408</v>
      </c>
      <c r="B149" s="1" t="s">
        <v>1327</v>
      </c>
      <c r="C149" s="1" t="str">
        <f>knicks_players_all_stats[[#This Row],[NAME]]&amp;" ("&amp;knicks_players_all_stats[[#This Row],[SEASON]]&amp;")"</f>
        <v>Derrick Rose (2022-23)</v>
      </c>
      <c r="D149" s="1">
        <f>knicks_players_all_stats[[#This Row],[PLAYER_AGE]]/10</f>
        <v>34</v>
      </c>
      <c r="E149">
        <v>340</v>
      </c>
      <c r="F149" s="1">
        <v>27</v>
      </c>
      <c r="G149" s="1">
        <v>3380</v>
      </c>
      <c r="H1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111</v>
      </c>
      <c r="I149" s="4">
        <f>knicks_players_all_stats[[#This Row],[VALORATION]]/knicks_players_all_stats[[#This Row],[GP]]</f>
        <v>4.1111111111111107</v>
      </c>
      <c r="J149" s="1">
        <v>61</v>
      </c>
      <c r="K149" s="1">
        <v>159</v>
      </c>
      <c r="L149" s="2">
        <f>knicks_players_all_stats[[#This Row],[FGM]]/knicks_players_all_stats[[#This Row],[FGA]]</f>
        <v>0.38364779874213839</v>
      </c>
      <c r="M149" s="16">
        <f>knicks_players_all_stats[[#This Row],[FG3M2]]/10</f>
        <v>19</v>
      </c>
      <c r="N149" s="1">
        <v>190</v>
      </c>
      <c r="O149" s="1">
        <f>knicks_players_all_stats[[#This Row],[FG3A2]]/10</f>
        <v>63</v>
      </c>
      <c r="P149" s="1">
        <v>630</v>
      </c>
      <c r="Q149" s="2">
        <f>knicks_players_all_stats[[#This Row],[FG3M2]]/knicks_players_all_stats[[#This Row],[FG3A2]]</f>
        <v>0.30158730158730157</v>
      </c>
      <c r="R149" s="1">
        <v>11</v>
      </c>
      <c r="S149" s="1">
        <v>12</v>
      </c>
      <c r="T149" s="3">
        <f>knicks_players_all_stats[[#This Row],[FTM]]/knicks_players_all_stats[[#This Row],[FTA]]</f>
        <v>0.91666666666666663</v>
      </c>
      <c r="U149" s="1">
        <f>knicks_players_all_stats[[#This Row],[OREB22]]/10</f>
        <v>8</v>
      </c>
      <c r="V149" s="1">
        <f>knicks_players_all_stats[[#This Row],[DREB33]]/10</f>
        <v>32</v>
      </c>
      <c r="W149" s="1">
        <f>knicks_players_all_stats[[#This Row],[REB44]]/10</f>
        <v>40</v>
      </c>
      <c r="X149">
        <v>80</v>
      </c>
      <c r="Y149">
        <v>320</v>
      </c>
      <c r="Z149">
        <v>400</v>
      </c>
      <c r="AA149" s="14">
        <f>knicks_players_all_stats[[#This Row],[REB]]/knicks_players_all_stats[[#This Row],[GP]]</f>
        <v>1.4814814814814814</v>
      </c>
      <c r="AB149" s="1">
        <v>46</v>
      </c>
      <c r="AC149" s="4">
        <f>knicks_players_all_stats[[#This Row],[AST]]/knicks_players_all_stats[[#This Row],[GP]]</f>
        <v>1.7037037037037037</v>
      </c>
      <c r="AD149" s="1">
        <f>knicks_players_all_stats[[#This Row],[STL2]]/10</f>
        <v>7</v>
      </c>
      <c r="AE149" s="1">
        <v>70</v>
      </c>
      <c r="AF149" s="4">
        <f>knicks_players_all_stats[[#This Row],[STL]]/knicks_players_all_stats[[#This Row],[GP]]</f>
        <v>0.25925925925925924</v>
      </c>
      <c r="AG149">
        <v>50</v>
      </c>
      <c r="AH149" s="1">
        <f>knicks_players_all_stats[[#This Row],[BLK2]]/10</f>
        <v>5</v>
      </c>
      <c r="AI149" s="4">
        <f>knicks_players_all_stats[[#This Row],[BLK]]/knicks_players_all_stats[[#This Row],[GP]]</f>
        <v>0.18518518518518517</v>
      </c>
      <c r="AJ149">
        <v>220</v>
      </c>
      <c r="AK149" s="4">
        <f>knicks_players_all_stats[[#This Row],[BLKPG]]+knicks_players_all_stats[[#This Row],[STLPG]]+knicks_players_all_stats[[#This Row],[REBPG]]</f>
        <v>1.9259259259259258</v>
      </c>
      <c r="AL149" s="1">
        <f>knicks_players_all_stats[[#This Row],[TOV2]]/10</f>
        <v>22</v>
      </c>
      <c r="AM149" s="4">
        <f>knicks_players_all_stats[[#This Row],[TOV]]/knicks_players_all_stats[[#This Row],[GP]]</f>
        <v>0.81481481481481477</v>
      </c>
      <c r="AN149" s="1">
        <v>18</v>
      </c>
      <c r="AO149" s="1">
        <f>knicks_players_all_stats[[#This Row],[PF]]/knicks_players_all_stats[[#This Row],[GP]]</f>
        <v>0.66666666666666663</v>
      </c>
      <c r="AP149" s="1">
        <v>152</v>
      </c>
      <c r="AQ149" s="4">
        <f>knicks_players_all_stats[[#This Row],[PTS]]/knicks_players_all_stats[[#This Row],[GP]]</f>
        <v>5.6296296296296298</v>
      </c>
    </row>
    <row r="150" spans="1:43" customFormat="1" x14ac:dyDescent="0.3">
      <c r="A150" s="1" t="s">
        <v>1446</v>
      </c>
      <c r="B150" s="1" t="s">
        <v>1312</v>
      </c>
      <c r="C150" s="1" t="str">
        <f>knicks_players_all_stats[[#This Row],[NAME]]&amp;" ("&amp;knicks_players_all_stats[[#This Row],[SEASON]]&amp;")"</f>
        <v>Wilson Chandler (2010-11)</v>
      </c>
      <c r="D150" s="1">
        <f>knicks_players_all_stats[[#This Row],[PLAYER_AGE]]/10</f>
        <v>24</v>
      </c>
      <c r="E150">
        <v>240</v>
      </c>
      <c r="F150" s="1">
        <v>51</v>
      </c>
      <c r="G150" s="1">
        <v>17590</v>
      </c>
      <c r="H1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705</v>
      </c>
      <c r="I150" s="4">
        <f>knicks_players_all_stats[[#This Row],[VALORATION]]/knicks_players_all_stats[[#This Row],[GP]]</f>
        <v>13.823529411764707</v>
      </c>
      <c r="J150" s="1">
        <v>328</v>
      </c>
      <c r="K150" s="1">
        <v>712</v>
      </c>
      <c r="L150" s="2">
        <f>knicks_players_all_stats[[#This Row],[FGM]]/knicks_players_all_stats[[#This Row],[FGA]]</f>
        <v>0.4606741573033708</v>
      </c>
      <c r="M150" s="16">
        <f>knicks_players_all_stats[[#This Row],[FG3M2]]/10</f>
        <v>86</v>
      </c>
      <c r="N150" s="1">
        <v>860</v>
      </c>
      <c r="O150" s="1">
        <f>knicks_players_all_stats[[#This Row],[FG3A2]]/10</f>
        <v>245</v>
      </c>
      <c r="P150" s="1">
        <v>2450</v>
      </c>
      <c r="Q150" s="2">
        <f>knicks_players_all_stats[[#This Row],[FG3M2]]/knicks_players_all_stats[[#This Row],[FG3A2]]</f>
        <v>0.3510204081632653</v>
      </c>
      <c r="R150" s="1">
        <v>96</v>
      </c>
      <c r="S150" s="1">
        <v>119</v>
      </c>
      <c r="T150" s="3">
        <f>knicks_players_all_stats[[#This Row],[FTM]]/knicks_players_all_stats[[#This Row],[FTA]]</f>
        <v>0.80672268907563027</v>
      </c>
      <c r="U150" s="1">
        <f>knicks_players_all_stats[[#This Row],[OREB22]]/10</f>
        <v>62</v>
      </c>
      <c r="V150" s="1">
        <f>knicks_players_all_stats[[#This Row],[DREB33]]/10</f>
        <v>241</v>
      </c>
      <c r="W150" s="1">
        <f>knicks_players_all_stats[[#This Row],[REB44]]/10</f>
        <v>303</v>
      </c>
      <c r="X150">
        <v>620</v>
      </c>
      <c r="Y150">
        <v>2410</v>
      </c>
      <c r="Z150">
        <v>3030</v>
      </c>
      <c r="AA150" s="14">
        <f>knicks_players_all_stats[[#This Row],[REB]]/knicks_players_all_stats[[#This Row],[GP]]</f>
        <v>5.9411764705882355</v>
      </c>
      <c r="AB150" s="1">
        <v>86</v>
      </c>
      <c r="AC150" s="4">
        <f>knicks_players_all_stats[[#This Row],[AST]]/knicks_players_all_stats[[#This Row],[GP]]</f>
        <v>1.6862745098039216</v>
      </c>
      <c r="AD150" s="1">
        <f>knicks_players_all_stats[[#This Row],[STL2]]/10</f>
        <v>34</v>
      </c>
      <c r="AE150" s="1">
        <v>340</v>
      </c>
      <c r="AF150" s="4">
        <f>knicks_players_all_stats[[#This Row],[STL]]/knicks_players_all_stats[[#This Row],[GP]]</f>
        <v>0.66666666666666663</v>
      </c>
      <c r="AG150">
        <v>700</v>
      </c>
      <c r="AH150" s="1">
        <f>knicks_players_all_stats[[#This Row],[BLK2]]/10</f>
        <v>70</v>
      </c>
      <c r="AI150" s="4">
        <f>knicks_players_all_stats[[#This Row],[BLK]]/knicks_players_all_stats[[#This Row],[GP]]</f>
        <v>1.3725490196078431</v>
      </c>
      <c r="AJ150">
        <v>670</v>
      </c>
      <c r="AK150" s="4">
        <f>knicks_players_all_stats[[#This Row],[BLKPG]]+knicks_players_all_stats[[#This Row],[STLPG]]+knicks_players_all_stats[[#This Row],[REBPG]]</f>
        <v>7.9803921568627452</v>
      </c>
      <c r="AL150" s="1">
        <f>knicks_players_all_stats[[#This Row],[TOV2]]/10</f>
        <v>67</v>
      </c>
      <c r="AM150" s="4">
        <f>knicks_players_all_stats[[#This Row],[TOV]]/knicks_players_all_stats[[#This Row],[GP]]</f>
        <v>1.3137254901960784</v>
      </c>
      <c r="AN150" s="1">
        <v>152</v>
      </c>
      <c r="AO150" s="1">
        <f>knicks_players_all_stats[[#This Row],[PF]]/knicks_players_all_stats[[#This Row],[GP]]</f>
        <v>2.9803921568627452</v>
      </c>
      <c r="AP150" s="1">
        <v>838</v>
      </c>
      <c r="AQ150" s="4">
        <f>knicks_players_all_stats[[#This Row],[PTS]]/knicks_players_all_stats[[#This Row],[GP]]</f>
        <v>16.431372549019606</v>
      </c>
    </row>
    <row r="151" spans="1:43" x14ac:dyDescent="0.3">
      <c r="A151" s="1" t="s">
        <v>1438</v>
      </c>
      <c r="B151" s="1" t="s">
        <v>1369</v>
      </c>
      <c r="C151" s="1" t="str">
        <f>knicks_players_all_stats[[#This Row],[NAME]]&amp;" ("&amp;knicks_players_all_stats[[#This Row],[SEASON]]&amp;")"</f>
        <v>Miles McBride (2023-24)</v>
      </c>
      <c r="D151" s="1">
        <f>knicks_players_all_stats[[#This Row],[PLAYER_AGE]]/10</f>
        <v>23</v>
      </c>
      <c r="E151">
        <v>230</v>
      </c>
      <c r="F151" s="1">
        <v>68</v>
      </c>
      <c r="G151" s="1">
        <v>13280</v>
      </c>
      <c r="H1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439</v>
      </c>
      <c r="I151" s="4">
        <f>knicks_players_all_stats[[#This Row],[VALORATION]]/knicks_players_all_stats[[#This Row],[GP]]</f>
        <v>6.4558823529411766</v>
      </c>
      <c r="J151" s="1">
        <v>205</v>
      </c>
      <c r="K151" s="1">
        <v>454</v>
      </c>
      <c r="L151" s="2">
        <f>knicks_players_all_stats[[#This Row],[FGM]]/knicks_players_all_stats[[#This Row],[FGA]]</f>
        <v>0.45154185022026433</v>
      </c>
      <c r="M151" s="16">
        <f>knicks_players_all_stats[[#This Row],[FG3M2]]/10</f>
        <v>109</v>
      </c>
      <c r="N151" s="1">
        <v>1090</v>
      </c>
      <c r="O151" s="1">
        <f>knicks_players_all_stats[[#This Row],[FG3A2]]/10</f>
        <v>266</v>
      </c>
      <c r="P151" s="1">
        <v>2660</v>
      </c>
      <c r="Q151" s="2">
        <f>knicks_players_all_stats[[#This Row],[FG3M2]]/knicks_players_all_stats[[#This Row],[FG3A2]]</f>
        <v>0.40977443609022557</v>
      </c>
      <c r="R151" s="1">
        <v>43</v>
      </c>
      <c r="S151" s="1">
        <v>50</v>
      </c>
      <c r="T151" s="3">
        <f>knicks_players_all_stats[[#This Row],[FTM]]/knicks_players_all_stats[[#This Row],[FTA]]</f>
        <v>0.86</v>
      </c>
      <c r="U151" s="1">
        <f>knicks_players_all_stats[[#This Row],[OREB22]]/10</f>
        <v>31</v>
      </c>
      <c r="V151" s="1">
        <f>knicks_players_all_stats[[#This Row],[DREB33]]/10</f>
        <v>69</v>
      </c>
      <c r="W151" s="1">
        <f>knicks_players_all_stats[[#This Row],[REB44]]/10</f>
        <v>100</v>
      </c>
      <c r="X151">
        <v>310</v>
      </c>
      <c r="Y151">
        <v>690</v>
      </c>
      <c r="Z151">
        <v>1000</v>
      </c>
      <c r="AA151" s="14">
        <f>knicks_players_all_stats[[#This Row],[REB]]/knicks_players_all_stats[[#This Row],[GP]]</f>
        <v>1.4705882352941178</v>
      </c>
      <c r="AB151" s="1">
        <v>114</v>
      </c>
      <c r="AC151" s="4">
        <f>knicks_players_all_stats[[#This Row],[AST]]/knicks_players_all_stats[[#This Row],[GP]]</f>
        <v>1.6764705882352942</v>
      </c>
      <c r="AD151" s="1">
        <f>knicks_players_all_stats[[#This Row],[STL2]]/10</f>
        <v>50</v>
      </c>
      <c r="AE151" s="1">
        <v>500</v>
      </c>
      <c r="AF151" s="4">
        <f>knicks_players_all_stats[[#This Row],[STL]]/knicks_players_all_stats[[#This Row],[GP]]</f>
        <v>0.73529411764705888</v>
      </c>
      <c r="AG151">
        <v>70</v>
      </c>
      <c r="AH151" s="1">
        <f>knicks_players_all_stats[[#This Row],[BLK2]]/10</f>
        <v>7</v>
      </c>
      <c r="AI151" s="4">
        <f>knicks_players_all_stats[[#This Row],[BLK]]/knicks_players_all_stats[[#This Row],[GP]]</f>
        <v>0.10294117647058823</v>
      </c>
      <c r="AJ151">
        <v>300</v>
      </c>
      <c r="AK151" s="4">
        <f>knicks_players_all_stats[[#This Row],[BLKPG]]+knicks_players_all_stats[[#This Row],[STLPG]]+knicks_players_all_stats[[#This Row],[REBPG]]</f>
        <v>2.3088235294117649</v>
      </c>
      <c r="AL151" s="1">
        <f>knicks_players_all_stats[[#This Row],[TOV2]]/10</f>
        <v>30</v>
      </c>
      <c r="AM151" s="4">
        <f>knicks_players_all_stats[[#This Row],[TOV]]/knicks_players_all_stats[[#This Row],[GP]]</f>
        <v>0.44117647058823528</v>
      </c>
      <c r="AN151" s="1">
        <v>108</v>
      </c>
      <c r="AO151" s="1">
        <f>knicks_players_all_stats[[#This Row],[PF]]/knicks_players_all_stats[[#This Row],[GP]]</f>
        <v>1.588235294117647</v>
      </c>
      <c r="AP151" s="1">
        <v>562</v>
      </c>
      <c r="AQ151" s="4">
        <f>knicks_players_all_stats[[#This Row],[PTS]]/knicks_players_all_stats[[#This Row],[GP]]</f>
        <v>8.264705882352942</v>
      </c>
    </row>
    <row r="152" spans="1:43" customFormat="1" x14ac:dyDescent="0.3">
      <c r="A152" s="1" t="s">
        <v>1740</v>
      </c>
      <c r="B152" s="1" t="s">
        <v>1305</v>
      </c>
      <c r="C152" s="1" t="str">
        <f>knicks_players_all_stats[[#This Row],[NAME]]&amp;" ("&amp;knicks_players_all_stats[[#This Row],[SEASON]]&amp;")"</f>
        <v>Danilo Gallinari (2009-10)</v>
      </c>
      <c r="D152" s="1">
        <f>knicks_players_all_stats[[#This Row],[PLAYER_AGE]]/10</f>
        <v>21</v>
      </c>
      <c r="E152">
        <v>210</v>
      </c>
      <c r="F152" s="1">
        <v>81</v>
      </c>
      <c r="G152" s="1">
        <v>27470</v>
      </c>
      <c r="H1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995</v>
      </c>
      <c r="I152" s="4">
        <f>knicks_players_all_stats[[#This Row],[VALORATION]]/knicks_players_all_stats[[#This Row],[GP]]</f>
        <v>12.283950617283951</v>
      </c>
      <c r="J152" s="1">
        <v>392</v>
      </c>
      <c r="K152" s="1">
        <v>927</v>
      </c>
      <c r="L152" s="1">
        <v>423</v>
      </c>
      <c r="M152" s="4">
        <f>knicks_players_all_stats[[#This Row],[FG3M2]]/10</f>
        <v>186</v>
      </c>
      <c r="N152" s="1">
        <v>1860</v>
      </c>
      <c r="O152" s="1">
        <f>knicks_players_all_stats[[#This Row],[FG3A2]]/10</f>
        <v>488</v>
      </c>
      <c r="P152" s="1">
        <v>4880</v>
      </c>
      <c r="Q152" s="2">
        <f>knicks_players_all_stats[[#This Row],[FG3M2]]/knicks_players_all_stats[[#This Row],[FG3A2]]</f>
        <v>0.38114754098360654</v>
      </c>
      <c r="R152" s="1">
        <v>251</v>
      </c>
      <c r="S152" s="1">
        <v>307</v>
      </c>
      <c r="T152" s="3">
        <f>knicks_players_all_stats[[#This Row],[FTM]]/knicks_players_all_stats[[#This Row],[FTA]]</f>
        <v>0.8175895765472313</v>
      </c>
      <c r="U152" s="1">
        <f>knicks_players_all_stats[[#This Row],[OREB22]]/10</f>
        <v>65</v>
      </c>
      <c r="V152" s="1">
        <f>knicks_players_all_stats[[#This Row],[DREB33]]/10</f>
        <v>333</v>
      </c>
      <c r="W152" s="1">
        <f>knicks_players_all_stats[[#This Row],[REB44]]/10</f>
        <v>398</v>
      </c>
      <c r="X152">
        <v>650</v>
      </c>
      <c r="Y152">
        <v>3330</v>
      </c>
      <c r="Z152">
        <v>3980</v>
      </c>
      <c r="AA152" s="14">
        <f>knicks_players_all_stats[[#This Row],[REB]]/knicks_players_all_stats[[#This Row],[GP]]</f>
        <v>4.9135802469135799</v>
      </c>
      <c r="AB152" s="1">
        <v>135</v>
      </c>
      <c r="AC152" s="4">
        <f>knicks_players_all_stats[[#This Row],[AST]]/knicks_players_all_stats[[#This Row],[GP]]</f>
        <v>1.6666666666666667</v>
      </c>
      <c r="AD152" s="1">
        <f>knicks_players_all_stats[[#This Row],[STL2]]/10</f>
        <v>75</v>
      </c>
      <c r="AE152" s="1">
        <v>750</v>
      </c>
      <c r="AF152" s="4">
        <f>knicks_players_all_stats[[#This Row],[STL]]/knicks_players_all_stats[[#This Row],[GP]]</f>
        <v>0.92592592592592593</v>
      </c>
      <c r="AG152">
        <v>580</v>
      </c>
      <c r="AH152" s="1">
        <f>knicks_players_all_stats[[#This Row],[BLK2]]/10</f>
        <v>58</v>
      </c>
      <c r="AI152" s="4">
        <f>knicks_players_all_stats[[#This Row],[BLK]]/knicks_players_all_stats[[#This Row],[GP]]</f>
        <v>0.71604938271604934</v>
      </c>
      <c r="AJ152">
        <v>1100</v>
      </c>
      <c r="AK152" s="4">
        <f>knicks_players_all_stats[[#This Row],[BLKPG]]+knicks_players_all_stats[[#This Row],[STLPG]]+knicks_players_all_stats[[#This Row],[REBPG]]</f>
        <v>6.5555555555555554</v>
      </c>
      <c r="AL152" s="1">
        <f>knicks_players_all_stats[[#This Row],[TOV2]]/10</f>
        <v>110</v>
      </c>
      <c r="AM152" s="4">
        <f>knicks_players_all_stats[[#This Row],[TOV]]/knicks_players_all_stats[[#This Row],[GP]]</f>
        <v>1.3580246913580247</v>
      </c>
      <c r="AN152" s="1">
        <v>191</v>
      </c>
      <c r="AO152" s="1">
        <f>knicks_players_all_stats[[#This Row],[PF]]/knicks_players_all_stats[[#This Row],[GP]]</f>
        <v>2.3580246913580245</v>
      </c>
      <c r="AP152" s="1">
        <v>1221</v>
      </c>
      <c r="AQ152" s="4">
        <f>knicks_players_all_stats[[#This Row],[PTS]]/knicks_players_all_stats[[#This Row],[GP]]</f>
        <v>15.074074074074074</v>
      </c>
    </row>
    <row r="153" spans="1:43" customFormat="1" x14ac:dyDescent="0.3">
      <c r="A153" s="1" t="s">
        <v>1718</v>
      </c>
      <c r="B153" s="1" t="s">
        <v>1292</v>
      </c>
      <c r="C153" s="1" t="str">
        <f>knicks_players_all_stats[[#This Row],[NAME]]&amp;" ("&amp;knicks_players_all_stats[[#This Row],[SEASON]]&amp;")"</f>
        <v>Iman Shumpert (2012-13)</v>
      </c>
      <c r="D153" s="1">
        <f>knicks_players_all_stats[[#This Row],[PLAYER_AGE]]/10</f>
        <v>23</v>
      </c>
      <c r="E153">
        <v>230</v>
      </c>
      <c r="F153" s="1">
        <v>45</v>
      </c>
      <c r="G153" s="1">
        <v>9960</v>
      </c>
      <c r="H1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253</v>
      </c>
      <c r="I153" s="4">
        <f>knicks_players_all_stats[[#This Row],[VALORATION]]/knicks_players_all_stats[[#This Row],[GP]]</f>
        <v>5.6222222222222218</v>
      </c>
      <c r="J153" s="1">
        <v>109</v>
      </c>
      <c r="K153" s="1">
        <v>275</v>
      </c>
      <c r="L153" s="1">
        <v>396</v>
      </c>
      <c r="M153" s="4">
        <f>knicks_players_all_stats[[#This Row],[FG3M2]]/10</f>
        <v>51</v>
      </c>
      <c r="N153" s="1">
        <v>510</v>
      </c>
      <c r="O153" s="1">
        <f>knicks_players_all_stats[[#This Row],[FG3A2]]/10</f>
        <v>127</v>
      </c>
      <c r="P153" s="1">
        <v>1270</v>
      </c>
      <c r="Q153" s="2">
        <f>knicks_players_all_stats[[#This Row],[FG3M2]]/knicks_players_all_stats[[#This Row],[FG3A2]]</f>
        <v>0.40157480314960631</v>
      </c>
      <c r="R153" s="1">
        <v>36</v>
      </c>
      <c r="S153" s="1">
        <v>47</v>
      </c>
      <c r="T153" s="3">
        <f>knicks_players_all_stats[[#This Row],[FTM]]/knicks_players_all_stats[[#This Row],[FTA]]</f>
        <v>0.76595744680851063</v>
      </c>
      <c r="U153" s="1">
        <f>knicks_players_all_stats[[#This Row],[OREB22]]/10</f>
        <v>31</v>
      </c>
      <c r="V153" s="1">
        <f>knicks_players_all_stats[[#This Row],[DREB33]]/10</f>
        <v>105</v>
      </c>
      <c r="W153" s="1">
        <f>knicks_players_all_stats[[#This Row],[REB44]]/10</f>
        <v>136</v>
      </c>
      <c r="X153">
        <v>310</v>
      </c>
      <c r="Y153">
        <v>1050</v>
      </c>
      <c r="Z153">
        <v>1360</v>
      </c>
      <c r="AA153" s="14">
        <f>knicks_players_all_stats[[#This Row],[REB]]/knicks_players_all_stats[[#This Row],[GP]]</f>
        <v>3.0222222222222221</v>
      </c>
      <c r="AB153" s="1">
        <v>75</v>
      </c>
      <c r="AC153" s="4">
        <f>knicks_players_all_stats[[#This Row],[AST]]/knicks_players_all_stats[[#This Row],[GP]]</f>
        <v>1.6666666666666667</v>
      </c>
      <c r="AD153" s="1">
        <f>knicks_players_all_stats[[#This Row],[STL2]]/10</f>
        <v>43</v>
      </c>
      <c r="AE153" s="1">
        <v>430</v>
      </c>
      <c r="AF153" s="4">
        <f>knicks_players_all_stats[[#This Row],[STL]]/knicks_players_all_stats[[#This Row],[GP]]</f>
        <v>0.9555555555555556</v>
      </c>
      <c r="AG153">
        <v>70</v>
      </c>
      <c r="AH153" s="1">
        <f>knicks_players_all_stats[[#This Row],[BLK2]]/10</f>
        <v>7</v>
      </c>
      <c r="AI153" s="4">
        <f>knicks_players_all_stats[[#This Row],[BLK]]/knicks_players_all_stats[[#This Row],[GP]]</f>
        <v>0.15555555555555556</v>
      </c>
      <c r="AJ153">
        <v>370</v>
      </c>
      <c r="AK153" s="4">
        <f>knicks_players_all_stats[[#This Row],[BLKPG]]+knicks_players_all_stats[[#This Row],[STLPG]]+knicks_players_all_stats[[#This Row],[REBPG]]</f>
        <v>4.1333333333333329</v>
      </c>
      <c r="AL153" s="1">
        <f>knicks_players_all_stats[[#This Row],[TOV2]]/10</f>
        <v>37</v>
      </c>
      <c r="AM153" s="4">
        <f>knicks_players_all_stats[[#This Row],[TOV]]/knicks_players_all_stats[[#This Row],[GP]]</f>
        <v>0.82222222222222219</v>
      </c>
      <c r="AN153" s="1">
        <v>99</v>
      </c>
      <c r="AO153" s="1">
        <f>knicks_players_all_stats[[#This Row],[PF]]/knicks_players_all_stats[[#This Row],[GP]]</f>
        <v>2.2000000000000002</v>
      </c>
      <c r="AP153" s="1">
        <v>305</v>
      </c>
      <c r="AQ153" s="4">
        <f>knicks_players_all_stats[[#This Row],[PTS]]/knicks_players_all_stats[[#This Row],[GP]]</f>
        <v>6.7777777777777777</v>
      </c>
    </row>
    <row r="154" spans="1:43" customFormat="1" x14ac:dyDescent="0.3">
      <c r="A154" s="1" t="s">
        <v>1260</v>
      </c>
      <c r="B154" s="1" t="s">
        <v>1259</v>
      </c>
      <c r="C154" s="1" t="str">
        <f>knicks_players_all_stats[[#This Row],[NAME]]&amp;" ("&amp;knicks_players_all_stats[[#This Row],[SEASON]]&amp;")"</f>
        <v>Michael Beasley (2017-18)</v>
      </c>
      <c r="D154" s="1">
        <f>knicks_players_all_stats[[#This Row],[PLAYER_AGE]]/10</f>
        <v>29</v>
      </c>
      <c r="E154">
        <v>290</v>
      </c>
      <c r="F154" s="1">
        <v>74</v>
      </c>
      <c r="G154" s="1">
        <v>16530</v>
      </c>
      <c r="H1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871</v>
      </c>
      <c r="I154" s="4">
        <f>knicks_players_all_stats[[#This Row],[VALORATION]]/knicks_players_all_stats[[#This Row],[GP]]</f>
        <v>11.77027027027027</v>
      </c>
      <c r="J154" s="1">
        <v>409</v>
      </c>
      <c r="K154" s="1">
        <v>807</v>
      </c>
      <c r="L154" s="2">
        <f>knicks_players_all_stats[[#This Row],[FGM]]/knicks_players_all_stats[[#This Row],[FGA]]</f>
        <v>0.50681536555142503</v>
      </c>
      <c r="M154" s="16">
        <f>knicks_players_all_stats[[#This Row],[FG3M2]]/10</f>
        <v>34</v>
      </c>
      <c r="N154" s="1">
        <v>340</v>
      </c>
      <c r="O154" s="1">
        <f>knicks_players_all_stats[[#This Row],[FG3A2]]/10</f>
        <v>86</v>
      </c>
      <c r="P154" s="1">
        <v>860</v>
      </c>
      <c r="Q154" s="2">
        <f>knicks_players_all_stats[[#This Row],[FG3M2]]/knicks_players_all_stats[[#This Row],[FG3A2]]</f>
        <v>0.39534883720930231</v>
      </c>
      <c r="R154" s="1">
        <v>124</v>
      </c>
      <c r="S154" s="1">
        <v>159</v>
      </c>
      <c r="T154" s="3">
        <f>knicks_players_all_stats[[#This Row],[FTM]]/knicks_players_all_stats[[#This Row],[FTA]]</f>
        <v>0.77987421383647804</v>
      </c>
      <c r="U154" s="1">
        <f>knicks_players_all_stats[[#This Row],[OREB22]]/10</f>
        <v>97</v>
      </c>
      <c r="V154" s="1">
        <f>knicks_players_all_stats[[#This Row],[DREB33]]/10</f>
        <v>317</v>
      </c>
      <c r="W154" s="1">
        <f>knicks_players_all_stats[[#This Row],[REB44]]/10</f>
        <v>414</v>
      </c>
      <c r="X154">
        <v>970</v>
      </c>
      <c r="Y154">
        <v>3170</v>
      </c>
      <c r="Z154">
        <v>4140</v>
      </c>
      <c r="AA154" s="14">
        <f>knicks_players_all_stats[[#This Row],[REB]]/knicks_players_all_stats[[#This Row],[GP]]</f>
        <v>5.5945945945945947</v>
      </c>
      <c r="AB154" s="1">
        <v>123</v>
      </c>
      <c r="AC154" s="4">
        <f>knicks_players_all_stats[[#This Row],[AST]]/knicks_players_all_stats[[#This Row],[GP]]</f>
        <v>1.6621621621621621</v>
      </c>
      <c r="AD154" s="1">
        <f>knicks_players_all_stats[[#This Row],[STL2]]/10</f>
        <v>36</v>
      </c>
      <c r="AE154" s="1">
        <v>360</v>
      </c>
      <c r="AF154" s="4">
        <f>knicks_players_all_stats[[#This Row],[STL]]/knicks_players_all_stats[[#This Row],[GP]]</f>
        <v>0.48648648648648651</v>
      </c>
      <c r="AG154">
        <v>430</v>
      </c>
      <c r="AH154" s="1">
        <f>knicks_players_all_stats[[#This Row],[BLK2]]/10</f>
        <v>43</v>
      </c>
      <c r="AI154" s="4">
        <f>knicks_players_all_stats[[#This Row],[BLK]]/knicks_players_all_stats[[#This Row],[GP]]</f>
        <v>0.58108108108108103</v>
      </c>
      <c r="AJ154">
        <v>1430</v>
      </c>
      <c r="AK154" s="4">
        <f>knicks_players_all_stats[[#This Row],[BLKPG]]+knicks_players_all_stats[[#This Row],[STLPG]]+knicks_players_all_stats[[#This Row],[REBPG]]</f>
        <v>6.6621621621621623</v>
      </c>
      <c r="AL154" s="1">
        <f>knicks_players_all_stats[[#This Row],[TOV2]]/10</f>
        <v>143</v>
      </c>
      <c r="AM154" s="4">
        <f>knicks_players_all_stats[[#This Row],[TOV]]/knicks_players_all_stats[[#This Row],[GP]]</f>
        <v>1.9324324324324325</v>
      </c>
      <c r="AN154" s="1">
        <v>145</v>
      </c>
      <c r="AO154" s="1">
        <f>knicks_players_all_stats[[#This Row],[PF]]/knicks_players_all_stats[[#This Row],[GP]]</f>
        <v>1.9594594594594594</v>
      </c>
      <c r="AP154" s="1">
        <v>976</v>
      </c>
      <c r="AQ154" s="4">
        <f>knicks_players_all_stats[[#This Row],[PTS]]/knicks_players_all_stats[[#This Row],[GP]]</f>
        <v>13.189189189189189</v>
      </c>
    </row>
    <row r="155" spans="1:43" x14ac:dyDescent="0.3">
      <c r="A155" s="1" t="s">
        <v>1773</v>
      </c>
      <c r="B155" s="1" t="s">
        <v>1304</v>
      </c>
      <c r="C155" s="1" t="str">
        <f>knicks_players_all_stats[[#This Row],[NAME]]&amp;" ("&amp;knicks_players_all_stats[[#This Row],[SEASON]]&amp;")"</f>
        <v>Quentin Richardson (2008-09)</v>
      </c>
      <c r="D155" s="1">
        <f>knicks_players_all_stats[[#This Row],[PLAYER_AGE]]/10</f>
        <v>29</v>
      </c>
      <c r="E155">
        <v>290</v>
      </c>
      <c r="F155" s="1">
        <v>72</v>
      </c>
      <c r="G155" s="1">
        <v>18940</v>
      </c>
      <c r="H1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584</v>
      </c>
      <c r="I155" s="4">
        <f>knicks_players_all_stats[[#This Row],[VALORATION]]/knicks_players_all_stats[[#This Row],[GP]]</f>
        <v>8.1111111111111107</v>
      </c>
      <c r="J155" s="1">
        <v>262</v>
      </c>
      <c r="K155" s="1">
        <v>667</v>
      </c>
      <c r="L155" s="1">
        <v>393</v>
      </c>
      <c r="M155" s="4">
        <f>knicks_players_all_stats[[#This Row],[FG3M2]]/10</f>
        <v>120</v>
      </c>
      <c r="N155" s="1">
        <v>1200</v>
      </c>
      <c r="O155" s="1">
        <f>knicks_players_all_stats[[#This Row],[FG3A2]]/10</f>
        <v>329</v>
      </c>
      <c r="P155" s="1">
        <v>3290</v>
      </c>
      <c r="Q155" s="2">
        <f>knicks_players_all_stats[[#This Row],[FG3M2]]/knicks_players_all_stats[[#This Row],[FG3A2]]</f>
        <v>0.36474164133738601</v>
      </c>
      <c r="R155" s="1">
        <v>89</v>
      </c>
      <c r="S155" s="1">
        <v>117</v>
      </c>
      <c r="T155" s="3">
        <f>knicks_players_all_stats[[#This Row],[FTM]]/knicks_players_all_stats[[#This Row],[FTA]]</f>
        <v>0.76068376068376065</v>
      </c>
      <c r="U155" s="1">
        <f>knicks_players_all_stats[[#This Row],[OREB22]]/10</f>
        <v>71</v>
      </c>
      <c r="V155" s="1">
        <f>knicks_players_all_stats[[#This Row],[DREB33]]/10</f>
        <v>248</v>
      </c>
      <c r="W155" s="1">
        <f>knicks_players_all_stats[[#This Row],[REB44]]/10</f>
        <v>319</v>
      </c>
      <c r="X155">
        <v>710</v>
      </c>
      <c r="Y155">
        <v>2480</v>
      </c>
      <c r="Z155">
        <v>3190</v>
      </c>
      <c r="AA155" s="14">
        <f>knicks_players_all_stats[[#This Row],[REB]]/knicks_players_all_stats[[#This Row],[GP]]</f>
        <v>4.4305555555555554</v>
      </c>
      <c r="AB155" s="1">
        <v>117</v>
      </c>
      <c r="AC155" s="4">
        <f>knicks_players_all_stats[[#This Row],[AST]]/knicks_players_all_stats[[#This Row],[GP]]</f>
        <v>1.625</v>
      </c>
      <c r="AD155" s="1">
        <f>knicks_players_all_stats[[#This Row],[STL2]]/10</f>
        <v>47</v>
      </c>
      <c r="AE155" s="1">
        <v>470</v>
      </c>
      <c r="AF155" s="4">
        <f>knicks_players_all_stats[[#This Row],[STL]]/knicks_players_all_stats[[#This Row],[GP]]</f>
        <v>0.65277777777777779</v>
      </c>
      <c r="AG155">
        <v>70</v>
      </c>
      <c r="AH155" s="1">
        <f>knicks_players_all_stats[[#This Row],[BLK2]]/10</f>
        <v>7</v>
      </c>
      <c r="AI155" s="4">
        <f>knicks_players_all_stats[[#This Row],[BLK]]/knicks_players_all_stats[[#This Row],[GP]]</f>
        <v>9.7222222222222224E-2</v>
      </c>
      <c r="AJ155">
        <v>740</v>
      </c>
      <c r="AK155" s="4">
        <f>knicks_players_all_stats[[#This Row],[BLKPG]]+knicks_players_all_stats[[#This Row],[STLPG]]+knicks_players_all_stats[[#This Row],[REBPG]]</f>
        <v>5.1805555555555554</v>
      </c>
      <c r="AL155" s="1">
        <f>knicks_players_all_stats[[#This Row],[TOV2]]/10</f>
        <v>74</v>
      </c>
      <c r="AM155" s="4">
        <f>knicks_players_all_stats[[#This Row],[TOV]]/knicks_players_all_stats[[#This Row],[GP]]</f>
        <v>1.0277777777777777</v>
      </c>
      <c r="AN155" s="1">
        <v>132</v>
      </c>
      <c r="AO155" s="1">
        <f>knicks_players_all_stats[[#This Row],[PF]]/knicks_players_all_stats[[#This Row],[GP]]</f>
        <v>1.8333333333333333</v>
      </c>
      <c r="AP155" s="1">
        <v>733</v>
      </c>
      <c r="AQ155" s="4">
        <f>knicks_players_all_stats[[#This Row],[PTS]]/knicks_players_all_stats[[#This Row],[GP]]</f>
        <v>10.180555555555555</v>
      </c>
    </row>
    <row r="156" spans="1:43" x14ac:dyDescent="0.3">
      <c r="A156" s="1" t="s">
        <v>1457</v>
      </c>
      <c r="B156" s="1" t="s">
        <v>1259</v>
      </c>
      <c r="C156" s="1" t="str">
        <f>knicks_players_all_stats[[#This Row],[NAME]]&amp;" ("&amp;knicks_players_all_stats[[#This Row],[SEASON]]&amp;")"</f>
        <v>Ron Baker (2017-18)</v>
      </c>
      <c r="D156" s="1">
        <f>knicks_players_all_stats[[#This Row],[PLAYER_AGE]]/10</f>
        <v>25</v>
      </c>
      <c r="E156">
        <v>250</v>
      </c>
      <c r="F156" s="1">
        <v>29</v>
      </c>
      <c r="G156" s="1">
        <v>3850</v>
      </c>
      <c r="H1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</v>
      </c>
      <c r="I156" s="4">
        <f>knicks_players_all_stats[[#This Row],[VALORATION]]/knicks_players_all_stats[[#This Row],[GP]]</f>
        <v>2.896551724137931</v>
      </c>
      <c r="J156" s="1">
        <v>20</v>
      </c>
      <c r="K156" s="1">
        <v>59</v>
      </c>
      <c r="L156" s="2">
        <f>knicks_players_all_stats[[#This Row],[FGM]]/knicks_players_all_stats[[#This Row],[FGA]]</f>
        <v>0.33898305084745761</v>
      </c>
      <c r="M156" s="16">
        <f>knicks_players_all_stats[[#This Row],[FG3M2]]/10</f>
        <v>11</v>
      </c>
      <c r="N156" s="1">
        <v>110</v>
      </c>
      <c r="O156" s="1">
        <f>knicks_players_all_stats[[#This Row],[FG3A2]]/10</f>
        <v>33</v>
      </c>
      <c r="P156" s="1">
        <v>330</v>
      </c>
      <c r="Q156" s="2">
        <f>knicks_players_all_stats[[#This Row],[FG3M2]]/knicks_players_all_stats[[#This Row],[FG3A2]]</f>
        <v>0.33333333333333331</v>
      </c>
      <c r="R156" s="1">
        <v>20</v>
      </c>
      <c r="S156" s="1">
        <v>26</v>
      </c>
      <c r="T156" s="3">
        <f>knicks_players_all_stats[[#This Row],[FTM]]/knicks_players_all_stats[[#This Row],[FTA]]</f>
        <v>0.76923076923076927</v>
      </c>
      <c r="U156" s="1">
        <f>knicks_players_all_stats[[#This Row],[OREB22]]/10</f>
        <v>5</v>
      </c>
      <c r="V156" s="1">
        <f>knicks_players_all_stats[[#This Row],[DREB33]]/10</f>
        <v>25</v>
      </c>
      <c r="W156" s="1">
        <f>knicks_players_all_stats[[#This Row],[REB44]]/10</f>
        <v>30</v>
      </c>
      <c r="X156">
        <v>50</v>
      </c>
      <c r="Y156">
        <v>250</v>
      </c>
      <c r="Z156">
        <v>300</v>
      </c>
      <c r="AA156" s="14">
        <f>knicks_players_all_stats[[#This Row],[REB]]/knicks_players_all_stats[[#This Row],[GP]]</f>
        <v>1.0344827586206897</v>
      </c>
      <c r="AB156" s="1">
        <v>47</v>
      </c>
      <c r="AC156" s="4">
        <f>knicks_players_all_stats[[#This Row],[AST]]/knicks_players_all_stats[[#This Row],[GP]]</f>
        <v>1.6206896551724137</v>
      </c>
      <c r="AD156" s="1">
        <f>knicks_players_all_stats[[#This Row],[STL2]]/10</f>
        <v>26</v>
      </c>
      <c r="AE156" s="1">
        <v>260</v>
      </c>
      <c r="AF156" s="4">
        <f>knicks_players_all_stats[[#This Row],[STL]]/knicks_players_all_stats[[#This Row],[GP]]</f>
        <v>0.89655172413793105</v>
      </c>
      <c r="AG156">
        <v>60</v>
      </c>
      <c r="AH156" s="1">
        <f>knicks_players_all_stats[[#This Row],[BLK2]]/10</f>
        <v>6</v>
      </c>
      <c r="AI156" s="4">
        <f>knicks_players_all_stats[[#This Row],[BLK]]/knicks_players_all_stats[[#This Row],[GP]]</f>
        <v>0.20689655172413793</v>
      </c>
      <c r="AJ156">
        <v>180</v>
      </c>
      <c r="AK156" s="4">
        <f>knicks_players_all_stats[[#This Row],[BLKPG]]+knicks_players_all_stats[[#This Row],[STLPG]]+knicks_players_all_stats[[#This Row],[REBPG]]</f>
        <v>2.1379310344827589</v>
      </c>
      <c r="AL156" s="1">
        <f>knicks_players_all_stats[[#This Row],[TOV2]]/10</f>
        <v>18</v>
      </c>
      <c r="AM156" s="4">
        <f>knicks_players_all_stats[[#This Row],[TOV]]/knicks_players_all_stats[[#This Row],[GP]]</f>
        <v>0.62068965517241381</v>
      </c>
      <c r="AN156" s="1">
        <v>33</v>
      </c>
      <c r="AO156" s="1">
        <f>knicks_players_all_stats[[#This Row],[PF]]/knicks_players_all_stats[[#This Row],[GP]]</f>
        <v>1.1379310344827587</v>
      </c>
      <c r="AP156" s="1">
        <v>71</v>
      </c>
      <c r="AQ156" s="4">
        <f>knicks_players_all_stats[[#This Row],[PTS]]/knicks_players_all_stats[[#This Row],[GP]]</f>
        <v>2.4482758620689653</v>
      </c>
    </row>
    <row r="157" spans="1:43" x14ac:dyDescent="0.3">
      <c r="A157" s="1" t="s">
        <v>1834</v>
      </c>
      <c r="B157" s="1" t="s">
        <v>1325</v>
      </c>
      <c r="C157" s="1" t="str">
        <f>knicks_players_all_stats[[#This Row],[NAME]]&amp;" ("&amp;knicks_players_all_stats[[#This Row],[SEASON]]&amp;")"</f>
        <v>Frank Williams (2002-03)</v>
      </c>
      <c r="D157" s="1">
        <f>knicks_players_all_stats[[#This Row],[PLAYER_AGE]]/10</f>
        <v>23</v>
      </c>
      <c r="E157">
        <v>230</v>
      </c>
      <c r="F157" s="1">
        <v>21</v>
      </c>
      <c r="G157" s="1">
        <v>1670</v>
      </c>
      <c r="H1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</v>
      </c>
      <c r="I157" s="4">
        <f>knicks_players_all_stats[[#This Row],[VALORATION]]/knicks_players_all_stats[[#This Row],[GP]]</f>
        <v>1.2380952380952381</v>
      </c>
      <c r="J157" s="1">
        <v>9</v>
      </c>
      <c r="K157" s="1">
        <v>33</v>
      </c>
      <c r="L157" s="1">
        <v>273</v>
      </c>
      <c r="M157" s="4">
        <f>knicks_players_all_stats[[#This Row],[FG3M2]]/10</f>
        <v>6</v>
      </c>
      <c r="N157" s="1">
        <v>60</v>
      </c>
      <c r="O157" s="1">
        <f>knicks_players_all_stats[[#This Row],[FG3A2]]/10</f>
        <v>16</v>
      </c>
      <c r="P157" s="1">
        <v>160</v>
      </c>
      <c r="Q157" s="2">
        <f>knicks_players_all_stats[[#This Row],[FG3M2]]/knicks_players_all_stats[[#This Row],[FG3A2]]</f>
        <v>0.375</v>
      </c>
      <c r="R157" s="1">
        <v>4</v>
      </c>
      <c r="S157" s="1">
        <v>6</v>
      </c>
      <c r="T157" s="3">
        <f>knicks_players_all_stats[[#This Row],[FTM]]/knicks_players_all_stats[[#This Row],[FTA]]</f>
        <v>0.66666666666666663</v>
      </c>
      <c r="U157" s="1">
        <f>knicks_players_all_stats[[#This Row],[OREB22]]/10</f>
        <v>3</v>
      </c>
      <c r="V157" s="1">
        <f>knicks_players_all_stats[[#This Row],[DREB33]]/10</f>
        <v>15</v>
      </c>
      <c r="W157" s="1">
        <f>knicks_players_all_stats[[#This Row],[REB44]]/10</f>
        <v>18</v>
      </c>
      <c r="X157">
        <v>30</v>
      </c>
      <c r="Y157">
        <v>150</v>
      </c>
      <c r="Z157">
        <v>180</v>
      </c>
      <c r="AA157" s="14">
        <f>knicks_players_all_stats[[#This Row],[REB]]/knicks_players_all_stats[[#This Row],[GP]]</f>
        <v>0.8571428571428571</v>
      </c>
      <c r="AB157" s="1">
        <v>34</v>
      </c>
      <c r="AC157" s="4">
        <f>knicks_players_all_stats[[#This Row],[AST]]/knicks_players_all_stats[[#This Row],[GP]]</f>
        <v>1.6190476190476191</v>
      </c>
      <c r="AD157" s="1">
        <f>knicks_players_all_stats[[#This Row],[STL2]]/10</f>
        <v>7</v>
      </c>
      <c r="AE157" s="1">
        <v>70</v>
      </c>
      <c r="AF157" s="4">
        <f>knicks_players_all_stats[[#This Row],[STL]]/knicks_players_all_stats[[#This Row],[GP]]</f>
        <v>0.33333333333333331</v>
      </c>
      <c r="AG157">
        <v>20</v>
      </c>
      <c r="AH157" s="1">
        <f>knicks_players_all_stats[[#This Row],[BLK2]]/10</f>
        <v>2</v>
      </c>
      <c r="AI157" s="4">
        <f>knicks_players_all_stats[[#This Row],[BLK]]/knicks_players_all_stats[[#This Row],[GP]]</f>
        <v>9.5238095238095233E-2</v>
      </c>
      <c r="AJ157">
        <v>170</v>
      </c>
      <c r="AK157" s="4">
        <f>knicks_players_all_stats[[#This Row],[BLKPG]]+knicks_players_all_stats[[#This Row],[STLPG]]+knicks_players_all_stats[[#This Row],[REBPG]]</f>
        <v>1.2857142857142856</v>
      </c>
      <c r="AL157" s="1">
        <f>knicks_players_all_stats[[#This Row],[TOV2]]/10</f>
        <v>17</v>
      </c>
      <c r="AM157" s="4">
        <f>knicks_players_all_stats[[#This Row],[TOV]]/knicks_players_all_stats[[#This Row],[GP]]</f>
        <v>0.80952380952380953</v>
      </c>
      <c r="AN157" s="1">
        <v>20</v>
      </c>
      <c r="AO157" s="1">
        <f>knicks_players_all_stats[[#This Row],[PF]]/knicks_players_all_stats[[#This Row],[GP]]</f>
        <v>0.95238095238095233</v>
      </c>
      <c r="AP157" s="1">
        <v>28</v>
      </c>
      <c r="AQ157" s="4">
        <f>knicks_players_all_stats[[#This Row],[PTS]]/knicks_players_all_stats[[#This Row],[GP]]</f>
        <v>1.3333333333333333</v>
      </c>
    </row>
    <row r="158" spans="1:43" x14ac:dyDescent="0.3">
      <c r="A158" s="1" t="s">
        <v>1773</v>
      </c>
      <c r="B158" s="1" t="s">
        <v>1300</v>
      </c>
      <c r="C158" s="1" t="str">
        <f>knicks_players_all_stats[[#This Row],[NAME]]&amp;" ("&amp;knicks_players_all_stats[[#This Row],[SEASON]]&amp;")"</f>
        <v>Quentin Richardson (2005-06)</v>
      </c>
      <c r="D158" s="1">
        <f>knicks_players_all_stats[[#This Row],[PLAYER_AGE]]/10</f>
        <v>26</v>
      </c>
      <c r="E158">
        <v>260</v>
      </c>
      <c r="F158" s="1">
        <v>55</v>
      </c>
      <c r="G158" s="1">
        <v>14420</v>
      </c>
      <c r="H1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298</v>
      </c>
      <c r="I158" s="4">
        <f>knicks_players_all_stats[[#This Row],[VALORATION]]/knicks_players_all_stats[[#This Row],[GP]]</f>
        <v>5.418181818181818</v>
      </c>
      <c r="J158" s="1">
        <v>163</v>
      </c>
      <c r="K158" s="1">
        <v>459</v>
      </c>
      <c r="L158" s="1">
        <v>355</v>
      </c>
      <c r="M158" s="4">
        <f>knicks_players_all_stats[[#This Row],[FG3M2]]/10</f>
        <v>64</v>
      </c>
      <c r="N158" s="1">
        <v>640</v>
      </c>
      <c r="O158" s="1">
        <f>knicks_players_all_stats[[#This Row],[FG3A2]]/10</f>
        <v>188</v>
      </c>
      <c r="P158" s="1">
        <v>1880</v>
      </c>
      <c r="Q158" s="2">
        <f>knicks_players_all_stats[[#This Row],[FG3M2]]/knicks_players_all_stats[[#This Row],[FG3A2]]</f>
        <v>0.34042553191489361</v>
      </c>
      <c r="R158" s="1">
        <v>61</v>
      </c>
      <c r="S158" s="1">
        <v>91</v>
      </c>
      <c r="T158" s="3">
        <f>knicks_players_all_stats[[#This Row],[FTM]]/knicks_players_all_stats[[#This Row],[FTA]]</f>
        <v>0.67032967032967028</v>
      </c>
      <c r="U158" s="1">
        <f>knicks_players_all_stats[[#This Row],[OREB22]]/10</f>
        <v>65</v>
      </c>
      <c r="V158" s="1">
        <f>knicks_players_all_stats[[#This Row],[DREB33]]/10</f>
        <v>165</v>
      </c>
      <c r="W158" s="1">
        <f>knicks_players_all_stats[[#This Row],[REB44]]/10</f>
        <v>230</v>
      </c>
      <c r="X158">
        <v>650</v>
      </c>
      <c r="Y158">
        <v>1650</v>
      </c>
      <c r="Z158">
        <v>2300</v>
      </c>
      <c r="AA158" s="14">
        <f>knicks_players_all_stats[[#This Row],[REB]]/knicks_players_all_stats[[#This Row],[GP]]</f>
        <v>4.1818181818181817</v>
      </c>
      <c r="AB158" s="1">
        <v>88</v>
      </c>
      <c r="AC158" s="4">
        <f>knicks_players_all_stats[[#This Row],[AST]]/knicks_players_all_stats[[#This Row],[GP]]</f>
        <v>1.6</v>
      </c>
      <c r="AD158" s="1">
        <f>knicks_players_all_stats[[#This Row],[STL2]]/10</f>
        <v>39</v>
      </c>
      <c r="AE158" s="1">
        <v>390</v>
      </c>
      <c r="AF158" s="4">
        <f>knicks_players_all_stats[[#This Row],[STL]]/knicks_players_all_stats[[#This Row],[GP]]</f>
        <v>0.70909090909090911</v>
      </c>
      <c r="AG158">
        <v>60</v>
      </c>
      <c r="AH158" s="1">
        <f>knicks_players_all_stats[[#This Row],[BLK2]]/10</f>
        <v>6</v>
      </c>
      <c r="AI158" s="4">
        <f>knicks_players_all_stats[[#This Row],[BLK]]/knicks_players_all_stats[[#This Row],[GP]]</f>
        <v>0.10909090909090909</v>
      </c>
      <c r="AJ158">
        <v>560</v>
      </c>
      <c r="AK158" s="4">
        <f>knicks_players_all_stats[[#This Row],[BLKPG]]+knicks_players_all_stats[[#This Row],[STLPG]]+knicks_players_all_stats[[#This Row],[REBPG]]</f>
        <v>5</v>
      </c>
      <c r="AL158" s="1">
        <f>knicks_players_all_stats[[#This Row],[TOV2]]/10</f>
        <v>56</v>
      </c>
      <c r="AM158" s="4">
        <f>knicks_players_all_stats[[#This Row],[TOV]]/knicks_players_all_stats[[#This Row],[GP]]</f>
        <v>1.0181818181818181</v>
      </c>
      <c r="AN158" s="1">
        <v>134</v>
      </c>
      <c r="AO158" s="1">
        <f>knicks_players_all_stats[[#This Row],[PF]]/knicks_players_all_stats[[#This Row],[GP]]</f>
        <v>2.4363636363636365</v>
      </c>
      <c r="AP158" s="1">
        <v>451</v>
      </c>
      <c r="AQ158" s="4">
        <f>knicks_players_all_stats[[#This Row],[PTS]]/knicks_players_all_stats[[#This Row],[GP]]</f>
        <v>8.1999999999999993</v>
      </c>
    </row>
    <row r="159" spans="1:43" x14ac:dyDescent="0.3">
      <c r="A159" s="1" t="s">
        <v>1734</v>
      </c>
      <c r="B159" s="1" t="s">
        <v>1305</v>
      </c>
      <c r="C159" s="1" t="str">
        <f>knicks_players_all_stats[[#This Row],[NAME]]&amp;" ("&amp;knicks_players_all_stats[[#This Row],[SEASON]]&amp;")"</f>
        <v>Jared Jeffries (2009-10)</v>
      </c>
      <c r="D159" s="1">
        <f>knicks_players_all_stats[[#This Row],[PLAYER_AGE]]/10</f>
        <v>28</v>
      </c>
      <c r="E159">
        <v>280</v>
      </c>
      <c r="F159" s="1">
        <v>52</v>
      </c>
      <c r="G159" s="1">
        <v>14620</v>
      </c>
      <c r="H1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321</v>
      </c>
      <c r="I159" s="4">
        <f>knicks_players_all_stats[[#This Row],[VALORATION]]/knicks_players_all_stats[[#This Row],[GP]]</f>
        <v>6.1730769230769234</v>
      </c>
      <c r="J159" s="1">
        <v>102</v>
      </c>
      <c r="K159" s="1">
        <v>230</v>
      </c>
      <c r="L159" s="1">
        <v>443</v>
      </c>
      <c r="M159" s="4">
        <f>knicks_players_all_stats[[#This Row],[FG3M2]]/10</f>
        <v>20</v>
      </c>
      <c r="N159" s="1">
        <v>200</v>
      </c>
      <c r="O159" s="1">
        <f>knicks_players_all_stats[[#This Row],[FG3A2]]/10</f>
        <v>62</v>
      </c>
      <c r="P159" s="1">
        <v>620</v>
      </c>
      <c r="Q159" s="2">
        <f>knicks_players_all_stats[[#This Row],[FG3M2]]/knicks_players_all_stats[[#This Row],[FG3A2]]</f>
        <v>0.32258064516129031</v>
      </c>
      <c r="R159" s="1">
        <v>60</v>
      </c>
      <c r="S159" s="1">
        <v>93</v>
      </c>
      <c r="T159" s="3">
        <f>knicks_players_all_stats[[#This Row],[FTM]]/knicks_players_all_stats[[#This Row],[FTA]]</f>
        <v>0.64516129032258063</v>
      </c>
      <c r="U159" s="1">
        <f>knicks_players_all_stats[[#This Row],[OREB22]]/10</f>
        <v>99</v>
      </c>
      <c r="V159" s="1">
        <f>knicks_players_all_stats[[#This Row],[DREB33]]/10</f>
        <v>124</v>
      </c>
      <c r="W159" s="1">
        <f>knicks_players_all_stats[[#This Row],[REB44]]/10</f>
        <v>223</v>
      </c>
      <c r="X159">
        <v>990</v>
      </c>
      <c r="Y159">
        <v>1240</v>
      </c>
      <c r="Z159">
        <v>2230</v>
      </c>
      <c r="AA159" s="14">
        <f>knicks_players_all_stats[[#This Row],[REB]]/knicks_players_all_stats[[#This Row],[GP]]</f>
        <v>4.2884615384615383</v>
      </c>
      <c r="AB159" s="1">
        <v>83</v>
      </c>
      <c r="AC159" s="4">
        <f>knicks_players_all_stats[[#This Row],[AST]]/knicks_players_all_stats[[#This Row],[GP]]</f>
        <v>1.5961538461538463</v>
      </c>
      <c r="AD159" s="1">
        <f>knicks_players_all_stats[[#This Row],[STL2]]/10</f>
        <v>53</v>
      </c>
      <c r="AE159" s="1">
        <v>530</v>
      </c>
      <c r="AF159" s="4">
        <f>knicks_players_all_stats[[#This Row],[STL]]/knicks_players_all_stats[[#This Row],[GP]]</f>
        <v>1.0192307692307692</v>
      </c>
      <c r="AG159">
        <v>580</v>
      </c>
      <c r="AH159" s="1">
        <f>knicks_players_all_stats[[#This Row],[BLK2]]/10</f>
        <v>58</v>
      </c>
      <c r="AI159" s="4">
        <f>knicks_players_all_stats[[#This Row],[BLK]]/knicks_players_all_stats[[#This Row],[GP]]</f>
        <v>1.1153846153846154</v>
      </c>
      <c r="AJ159">
        <v>620</v>
      </c>
      <c r="AK159" s="4">
        <f>knicks_players_all_stats[[#This Row],[BLKPG]]+knicks_players_all_stats[[#This Row],[STLPG]]+knicks_players_all_stats[[#This Row],[REBPG]]</f>
        <v>6.4230769230769234</v>
      </c>
      <c r="AL159" s="1">
        <f>knicks_players_all_stats[[#This Row],[TOV2]]/10</f>
        <v>62</v>
      </c>
      <c r="AM159" s="4">
        <f>knicks_players_all_stats[[#This Row],[TOV]]/knicks_players_all_stats[[#This Row],[GP]]</f>
        <v>1.1923076923076923</v>
      </c>
      <c r="AN159" s="1">
        <v>157</v>
      </c>
      <c r="AO159" s="1">
        <f>knicks_players_all_stats[[#This Row],[PF]]/knicks_players_all_stats[[#This Row],[GP]]</f>
        <v>3.0192307692307692</v>
      </c>
      <c r="AP159" s="1">
        <v>284</v>
      </c>
      <c r="AQ159" s="4">
        <f>knicks_players_all_stats[[#This Row],[PTS]]/knicks_players_all_stats[[#This Row],[GP]]</f>
        <v>5.4615384615384617</v>
      </c>
    </row>
    <row r="160" spans="1:43" customFormat="1" x14ac:dyDescent="0.3">
      <c r="A160" s="1" t="s">
        <v>1727</v>
      </c>
      <c r="B160" s="1" t="s">
        <v>1302</v>
      </c>
      <c r="C160" s="1" t="str">
        <f>knicks_players_all_stats[[#This Row],[NAME]]&amp;" ("&amp;knicks_players_all_stats[[#This Row],[SEASON]]&amp;")"</f>
        <v>Mardy Collins (2006-07)</v>
      </c>
      <c r="D160" s="1">
        <f>knicks_players_all_stats[[#This Row],[PLAYER_AGE]]/10</f>
        <v>22</v>
      </c>
      <c r="E160">
        <v>220</v>
      </c>
      <c r="F160" s="1">
        <v>52</v>
      </c>
      <c r="G160" s="1">
        <v>7770</v>
      </c>
      <c r="H1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150</v>
      </c>
      <c r="I160" s="4">
        <f>knicks_players_all_stats[[#This Row],[VALORATION]]/knicks_players_all_stats[[#This Row],[GP]]</f>
        <v>2.8846153846153846</v>
      </c>
      <c r="J160" s="1">
        <v>87</v>
      </c>
      <c r="K160" s="1">
        <v>228</v>
      </c>
      <c r="L160" s="1">
        <v>382</v>
      </c>
      <c r="M160" s="4">
        <f>knicks_players_all_stats[[#This Row],[FG3M2]]/10</f>
        <v>13</v>
      </c>
      <c r="N160" s="1">
        <v>130</v>
      </c>
      <c r="O160" s="1">
        <f>knicks_players_all_stats[[#This Row],[FG3A2]]/10</f>
        <v>47</v>
      </c>
      <c r="P160" s="1">
        <v>470</v>
      </c>
      <c r="Q160" s="2">
        <f>knicks_players_all_stats[[#This Row],[FG3M2]]/knicks_players_all_stats[[#This Row],[FG3A2]]</f>
        <v>0.27659574468085107</v>
      </c>
      <c r="R160" s="1">
        <v>48</v>
      </c>
      <c r="S160" s="1">
        <v>82</v>
      </c>
      <c r="T160" s="3">
        <f>knicks_players_all_stats[[#This Row],[FTM]]/knicks_players_all_stats[[#This Row],[FTA]]</f>
        <v>0.58536585365853655</v>
      </c>
      <c r="U160" s="1">
        <f>knicks_players_all_stats[[#This Row],[OREB22]]/10</f>
        <v>28</v>
      </c>
      <c r="V160" s="1">
        <f>knicks_players_all_stats[[#This Row],[DREB33]]/10</f>
        <v>76</v>
      </c>
      <c r="W160" s="1">
        <f>knicks_players_all_stats[[#This Row],[REB44]]/10</f>
        <v>104</v>
      </c>
      <c r="X160">
        <v>280</v>
      </c>
      <c r="Y160">
        <v>760</v>
      </c>
      <c r="Z160">
        <v>1040</v>
      </c>
      <c r="AA160" s="14">
        <f>knicks_players_all_stats[[#This Row],[REB]]/knicks_players_all_stats[[#This Row],[GP]]</f>
        <v>2</v>
      </c>
      <c r="AB160" s="1">
        <v>83</v>
      </c>
      <c r="AC160" s="4">
        <f>knicks_players_all_stats[[#This Row],[AST]]/knicks_players_all_stats[[#This Row],[GP]]</f>
        <v>1.5961538461538463</v>
      </c>
      <c r="AD160" s="1">
        <f>knicks_players_all_stats[[#This Row],[STL2]]/10</f>
        <v>32</v>
      </c>
      <c r="AE160" s="1">
        <v>320</v>
      </c>
      <c r="AF160" s="4">
        <f>knicks_players_all_stats[[#This Row],[STL]]/knicks_players_all_stats[[#This Row],[GP]]</f>
        <v>0.61538461538461542</v>
      </c>
      <c r="AG160">
        <v>30</v>
      </c>
      <c r="AH160" s="1">
        <f>knicks_players_all_stats[[#This Row],[BLK2]]/10</f>
        <v>3</v>
      </c>
      <c r="AI160" s="4">
        <f>knicks_players_all_stats[[#This Row],[BLK]]/knicks_players_all_stats[[#This Row],[GP]]</f>
        <v>5.7692307692307696E-2</v>
      </c>
      <c r="AJ160">
        <v>570</v>
      </c>
      <c r="AK160" s="4">
        <f>knicks_players_all_stats[[#This Row],[BLKPG]]+knicks_players_all_stats[[#This Row],[STLPG]]+knicks_players_all_stats[[#This Row],[REBPG]]</f>
        <v>2.6730769230769234</v>
      </c>
      <c r="AL160" s="1">
        <f>knicks_players_all_stats[[#This Row],[TOV2]]/10</f>
        <v>57</v>
      </c>
      <c r="AM160" s="4">
        <f>knicks_players_all_stats[[#This Row],[TOV]]/knicks_players_all_stats[[#This Row],[GP]]</f>
        <v>1.0961538461538463</v>
      </c>
      <c r="AN160" s="1">
        <v>75</v>
      </c>
      <c r="AO160" s="1">
        <f>knicks_players_all_stats[[#This Row],[PF]]/knicks_players_all_stats[[#This Row],[GP]]</f>
        <v>1.4423076923076923</v>
      </c>
      <c r="AP160" s="1">
        <v>235</v>
      </c>
      <c r="AQ160" s="4">
        <f>knicks_players_all_stats[[#This Row],[PTS]]/knicks_players_all_stats[[#This Row],[GP]]</f>
        <v>4.5192307692307692</v>
      </c>
    </row>
    <row r="161" spans="1:43" customFormat="1" x14ac:dyDescent="0.3">
      <c r="A161" s="1" t="s">
        <v>1342</v>
      </c>
      <c r="B161" s="1" t="s">
        <v>1343</v>
      </c>
      <c r="C161" s="1" t="str">
        <f>knicks_players_all_stats[[#This Row],[NAME]]&amp;" ("&amp;knicks_players_all_stats[[#This Row],[SEASON]]&amp;")"</f>
        <v>Andrea Bargnani (2014-15)</v>
      </c>
      <c r="D161" s="1">
        <f>knicks_players_all_stats[[#This Row],[PLAYER_AGE]]/10</f>
        <v>29</v>
      </c>
      <c r="E161">
        <v>290</v>
      </c>
      <c r="F161" s="1">
        <v>29</v>
      </c>
      <c r="G161" s="1">
        <v>7850</v>
      </c>
      <c r="H1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320</v>
      </c>
      <c r="I161" s="4">
        <f>knicks_players_all_stats[[#This Row],[VALORATION]]/knicks_players_all_stats[[#This Row],[GP]]</f>
        <v>11.03448275862069</v>
      </c>
      <c r="J161" s="1">
        <v>164</v>
      </c>
      <c r="K161" s="1">
        <v>361</v>
      </c>
      <c r="L161" s="2">
        <f>knicks_players_all_stats[[#This Row],[FGM]]/knicks_players_all_stats[[#This Row],[FGA]]</f>
        <v>0.45429362880886426</v>
      </c>
      <c r="M161" s="16">
        <f>knicks_players_all_stats[[#This Row],[FG3M2]]/10</f>
        <v>15</v>
      </c>
      <c r="N161" s="1">
        <v>150</v>
      </c>
      <c r="O161" s="1">
        <f>knicks_players_all_stats[[#This Row],[FG3A2]]/10</f>
        <v>41</v>
      </c>
      <c r="P161" s="1">
        <v>410</v>
      </c>
      <c r="Q161" s="2">
        <f>knicks_players_all_stats[[#This Row],[FG3M2]]/knicks_players_all_stats[[#This Row],[FG3A2]]</f>
        <v>0.36585365853658536</v>
      </c>
      <c r="R161" s="1">
        <v>87</v>
      </c>
      <c r="S161" s="1">
        <v>107</v>
      </c>
      <c r="T161" s="3">
        <f>knicks_players_all_stats[[#This Row],[FTM]]/knicks_players_all_stats[[#This Row],[FTA]]</f>
        <v>0.81308411214953269</v>
      </c>
      <c r="U161" s="1">
        <f>knicks_players_all_stats[[#This Row],[OREB22]]/10</f>
        <v>32</v>
      </c>
      <c r="V161" s="1">
        <f>knicks_players_all_stats[[#This Row],[DREB33]]/10</f>
        <v>95</v>
      </c>
      <c r="W161" s="1">
        <f>knicks_players_all_stats[[#This Row],[REB44]]/10</f>
        <v>127</v>
      </c>
      <c r="X161">
        <v>320</v>
      </c>
      <c r="Y161">
        <v>950</v>
      </c>
      <c r="Z161">
        <v>1270</v>
      </c>
      <c r="AA161" s="14">
        <f>knicks_players_all_stats[[#This Row],[REB]]/knicks_players_all_stats[[#This Row],[GP]]</f>
        <v>4.3793103448275863</v>
      </c>
      <c r="AB161" s="1">
        <v>46</v>
      </c>
      <c r="AC161" s="4">
        <f>knicks_players_all_stats[[#This Row],[AST]]/knicks_players_all_stats[[#This Row],[GP]]</f>
        <v>1.5862068965517242</v>
      </c>
      <c r="AD161" s="1">
        <f>knicks_players_all_stats[[#This Row],[STL2]]/10</f>
        <v>2</v>
      </c>
      <c r="AE161" s="1">
        <v>20</v>
      </c>
      <c r="AF161" s="4">
        <f>knicks_players_all_stats[[#This Row],[STL]]/knicks_players_all_stats[[#This Row],[GP]]</f>
        <v>6.8965517241379309E-2</v>
      </c>
      <c r="AG161">
        <v>270</v>
      </c>
      <c r="AH161" s="1">
        <f>knicks_players_all_stats[[#This Row],[BLK2]]/10</f>
        <v>27</v>
      </c>
      <c r="AI161" s="4">
        <f>knicks_players_all_stats[[#This Row],[BLK]]/knicks_players_all_stats[[#This Row],[GP]]</f>
        <v>0.93103448275862066</v>
      </c>
      <c r="AJ161">
        <v>420</v>
      </c>
      <c r="AK161" s="4">
        <f>knicks_players_all_stats[[#This Row],[BLKPG]]+knicks_players_all_stats[[#This Row],[STLPG]]+knicks_players_all_stats[[#This Row],[REBPG]]</f>
        <v>5.3793103448275863</v>
      </c>
      <c r="AL161" s="1">
        <f>knicks_players_all_stats[[#This Row],[TOV2]]/10</f>
        <v>42</v>
      </c>
      <c r="AM161" s="4">
        <f>knicks_players_all_stats[[#This Row],[TOV]]/knicks_players_all_stats[[#This Row],[GP]]</f>
        <v>1.4482758620689655</v>
      </c>
      <c r="AN161" s="1">
        <v>53</v>
      </c>
      <c r="AO161" s="1">
        <f>knicks_players_all_stats[[#This Row],[PF]]/knicks_players_all_stats[[#This Row],[GP]]</f>
        <v>1.8275862068965518</v>
      </c>
      <c r="AP161" s="1">
        <v>430</v>
      </c>
      <c r="AQ161" s="4">
        <f>knicks_players_all_stats[[#This Row],[PTS]]/knicks_players_all_stats[[#This Row],[GP]]</f>
        <v>14.827586206896552</v>
      </c>
    </row>
    <row r="162" spans="1:43" customFormat="1" x14ac:dyDescent="0.3">
      <c r="A162" s="1" t="s">
        <v>1772</v>
      </c>
      <c r="B162" s="1" t="s">
        <v>1343</v>
      </c>
      <c r="C162" s="1" t="str">
        <f>knicks_players_all_stats[[#This Row],[NAME]]&amp;" ("&amp;knicks_players_all_stats[[#This Row],[SEASON]]&amp;")"</f>
        <v>Lou Amundson (2014-15)</v>
      </c>
      <c r="D162" s="1">
        <f>knicks_players_all_stats[[#This Row],[PLAYER_AGE]]/10</f>
        <v>32</v>
      </c>
      <c r="E162">
        <v>320</v>
      </c>
      <c r="F162" s="1">
        <v>41</v>
      </c>
      <c r="G162" s="1">
        <v>8580</v>
      </c>
      <c r="H1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280</v>
      </c>
      <c r="I162" s="4">
        <f>knicks_players_all_stats[[#This Row],[VALORATION]]/knicks_players_all_stats[[#This Row],[GP]]</f>
        <v>6.8292682926829267</v>
      </c>
      <c r="J162" s="1">
        <v>105</v>
      </c>
      <c r="K162" s="1">
        <v>243</v>
      </c>
      <c r="L162" s="1">
        <v>432</v>
      </c>
      <c r="M162" s="4">
        <f>knicks_players_all_stats[[#This Row],[FG3M2]]/10</f>
        <v>0</v>
      </c>
      <c r="N162" s="1">
        <v>0</v>
      </c>
      <c r="O162" s="1">
        <f>knicks_players_all_stats[[#This Row],[FG3A2]]/10</f>
        <v>1</v>
      </c>
      <c r="P162" s="1">
        <v>10</v>
      </c>
      <c r="Q162" s="2">
        <f>knicks_players_all_stats[[#This Row],[FG3M2]]/knicks_players_all_stats[[#This Row],[FG3A2]]</f>
        <v>0</v>
      </c>
      <c r="R162" s="1">
        <v>38</v>
      </c>
      <c r="S162" s="1">
        <v>82</v>
      </c>
      <c r="T162" s="3">
        <f>knicks_players_all_stats[[#This Row],[FTM]]/knicks_players_all_stats[[#This Row],[FTA]]</f>
        <v>0.46341463414634149</v>
      </c>
      <c r="U162" s="1">
        <f>knicks_players_all_stats[[#This Row],[OREB22]]/10</f>
        <v>89</v>
      </c>
      <c r="V162" s="1">
        <f>knicks_players_all_stats[[#This Row],[DREB33]]/10</f>
        <v>159</v>
      </c>
      <c r="W162" s="1">
        <f>knicks_players_all_stats[[#This Row],[REB44]]/10</f>
        <v>248</v>
      </c>
      <c r="X162">
        <v>890</v>
      </c>
      <c r="Y162">
        <v>1590</v>
      </c>
      <c r="Z162">
        <v>2480</v>
      </c>
      <c r="AA162" s="14">
        <f>knicks_players_all_stats[[#This Row],[REB]]/knicks_players_all_stats[[#This Row],[GP]]</f>
        <v>6.0487804878048781</v>
      </c>
      <c r="AB162" s="1">
        <v>65</v>
      </c>
      <c r="AC162" s="4">
        <f>knicks_players_all_stats[[#This Row],[AST]]/knicks_players_all_stats[[#This Row],[GP]]</f>
        <v>1.5853658536585367</v>
      </c>
      <c r="AD162" s="1">
        <f>knicks_players_all_stats[[#This Row],[STL2]]/10</f>
        <v>21</v>
      </c>
      <c r="AE162" s="1">
        <v>210</v>
      </c>
      <c r="AF162" s="4">
        <f>knicks_players_all_stats[[#This Row],[STL]]/knicks_players_all_stats[[#This Row],[GP]]</f>
        <v>0.51219512195121952</v>
      </c>
      <c r="AG162">
        <v>520</v>
      </c>
      <c r="AH162" s="1">
        <f>knicks_players_all_stats[[#This Row],[BLK2]]/10</f>
        <v>52</v>
      </c>
      <c r="AI162" s="4">
        <f>knicks_players_all_stats[[#This Row],[BLK]]/knicks_players_all_stats[[#This Row],[GP]]</f>
        <v>1.2682926829268293</v>
      </c>
      <c r="AJ162">
        <v>570</v>
      </c>
      <c r="AK162" s="4">
        <f>knicks_players_all_stats[[#This Row],[BLKPG]]+knicks_players_all_stats[[#This Row],[STLPG]]+knicks_players_all_stats[[#This Row],[REBPG]]</f>
        <v>7.8292682926829267</v>
      </c>
      <c r="AL162" s="1">
        <f>knicks_players_all_stats[[#This Row],[TOV2]]/10</f>
        <v>57</v>
      </c>
      <c r="AM162" s="4">
        <f>knicks_players_all_stats[[#This Row],[TOV]]/knicks_players_all_stats[[#This Row],[GP]]</f>
        <v>1.3902439024390243</v>
      </c>
      <c r="AN162" s="1">
        <v>115</v>
      </c>
      <c r="AO162" s="1">
        <f>knicks_players_all_stats[[#This Row],[PF]]/knicks_players_all_stats[[#This Row],[GP]]</f>
        <v>2.8048780487804876</v>
      </c>
      <c r="AP162" s="1">
        <v>248</v>
      </c>
      <c r="AQ162" s="4">
        <f>knicks_players_all_stats[[#This Row],[PTS]]/knicks_players_all_stats[[#This Row],[GP]]</f>
        <v>6.0487804878048781</v>
      </c>
    </row>
    <row r="163" spans="1:43" customFormat="1" x14ac:dyDescent="0.3">
      <c r="A163" s="1" t="s">
        <v>1486</v>
      </c>
      <c r="B163" s="1" t="s">
        <v>1337</v>
      </c>
      <c r="C163" s="1" t="str">
        <f>knicks_players_all_stats[[#This Row],[NAME]]&amp;" ("&amp;knicks_players_all_stats[[#This Row],[SEASON]]&amp;")"</f>
        <v>Kenyon Martin (2013-14)</v>
      </c>
      <c r="D163" s="1">
        <f>knicks_players_all_stats[[#This Row],[PLAYER_AGE]]/10</f>
        <v>36</v>
      </c>
      <c r="E163">
        <v>360</v>
      </c>
      <c r="F163" s="1">
        <v>32</v>
      </c>
      <c r="G163" s="1">
        <v>6330</v>
      </c>
      <c r="H1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194</v>
      </c>
      <c r="I163" s="4">
        <f>knicks_players_all_stats[[#This Row],[VALORATION]]/knicks_players_all_stats[[#This Row],[GP]]</f>
        <v>6.0625</v>
      </c>
      <c r="J163" s="1">
        <v>63</v>
      </c>
      <c r="K163" s="1">
        <v>123</v>
      </c>
      <c r="L163" s="2">
        <f>knicks_players_all_stats[[#This Row],[FGM]]/knicks_players_all_stats[[#This Row],[FGA]]</f>
        <v>0.51219512195121952</v>
      </c>
      <c r="M163" s="16">
        <f>knicks_players_all_stats[[#This Row],[FG3M2]]/10</f>
        <v>0</v>
      </c>
      <c r="N163" s="1">
        <v>0</v>
      </c>
      <c r="O163" s="1">
        <f>knicks_players_all_stats[[#This Row],[FG3A2]]/10</f>
        <v>1</v>
      </c>
      <c r="P163" s="1">
        <v>10</v>
      </c>
      <c r="Q163" s="2">
        <f>knicks_players_all_stats[[#This Row],[FG3M2]]/knicks_players_all_stats[[#This Row],[FG3A2]]</f>
        <v>0</v>
      </c>
      <c r="R163" s="1">
        <v>11</v>
      </c>
      <c r="S163" s="1">
        <v>19</v>
      </c>
      <c r="T163" s="3">
        <f>knicks_players_all_stats[[#This Row],[FTM]]/knicks_players_all_stats[[#This Row],[FTA]]</f>
        <v>0.57894736842105265</v>
      </c>
      <c r="U163" s="1">
        <f>knicks_players_all_stats[[#This Row],[OREB22]]/10</f>
        <v>36</v>
      </c>
      <c r="V163" s="1">
        <f>knicks_players_all_stats[[#This Row],[DREB33]]/10</f>
        <v>98</v>
      </c>
      <c r="W163" s="1">
        <f>knicks_players_all_stats[[#This Row],[REB44]]/10</f>
        <v>134</v>
      </c>
      <c r="X163">
        <v>360</v>
      </c>
      <c r="Y163">
        <v>980</v>
      </c>
      <c r="Z163">
        <v>1340</v>
      </c>
      <c r="AA163" s="14">
        <f>knicks_players_all_stats[[#This Row],[REB]]/knicks_players_all_stats[[#This Row],[GP]]</f>
        <v>4.1875</v>
      </c>
      <c r="AB163" s="1">
        <v>50</v>
      </c>
      <c r="AC163" s="4">
        <f>knicks_players_all_stats[[#This Row],[AST]]/knicks_players_all_stats[[#This Row],[GP]]</f>
        <v>1.5625</v>
      </c>
      <c r="AD163" s="1">
        <f>knicks_players_all_stats[[#This Row],[STL2]]/10</f>
        <v>25</v>
      </c>
      <c r="AE163" s="1">
        <v>250</v>
      </c>
      <c r="AF163" s="4">
        <f>knicks_players_all_stats[[#This Row],[STL]]/knicks_players_all_stats[[#This Row],[GP]]</f>
        <v>0.78125</v>
      </c>
      <c r="AG163">
        <v>270</v>
      </c>
      <c r="AH163" s="1">
        <f>knicks_players_all_stats[[#This Row],[BLK2]]/10</f>
        <v>27</v>
      </c>
      <c r="AI163" s="4">
        <f>knicks_players_all_stats[[#This Row],[BLK]]/knicks_players_all_stats[[#This Row],[GP]]</f>
        <v>0.84375</v>
      </c>
      <c r="AJ163">
        <v>260</v>
      </c>
      <c r="AK163" s="4">
        <f>knicks_players_all_stats[[#This Row],[BLKPG]]+knicks_players_all_stats[[#This Row],[STLPG]]+knicks_players_all_stats[[#This Row],[REBPG]]</f>
        <v>5.8125</v>
      </c>
      <c r="AL163" s="1">
        <f>knicks_players_all_stats[[#This Row],[TOV2]]/10</f>
        <v>26</v>
      </c>
      <c r="AM163" s="4">
        <f>knicks_players_all_stats[[#This Row],[TOV]]/knicks_players_all_stats[[#This Row],[GP]]</f>
        <v>0.8125</v>
      </c>
      <c r="AN163" s="1">
        <v>85</v>
      </c>
      <c r="AO163" s="1">
        <f>knicks_players_all_stats[[#This Row],[PF]]/knicks_players_all_stats[[#This Row],[GP]]</f>
        <v>2.65625</v>
      </c>
      <c r="AP163" s="1">
        <v>137</v>
      </c>
      <c r="AQ163" s="4">
        <f>knicks_players_all_stats[[#This Row],[PTS]]/knicks_players_all_stats[[#This Row],[GP]]</f>
        <v>4.28125</v>
      </c>
    </row>
    <row r="164" spans="1:43" customFormat="1" x14ac:dyDescent="0.3">
      <c r="A164" s="1" t="s">
        <v>1586</v>
      </c>
      <c r="B164" s="1" t="s">
        <v>1281</v>
      </c>
      <c r="C164" s="1" t="str">
        <f>knicks_players_all_stats[[#This Row],[NAME]]&amp;" ("&amp;knicks_players_all_stats[[#This Row],[SEASON]]&amp;")"</f>
        <v>Chasson Randle (2016-17)</v>
      </c>
      <c r="D164" s="1">
        <f>knicks_players_all_stats[[#This Row],[PLAYER_AGE]]/10</f>
        <v>24</v>
      </c>
      <c r="E164">
        <v>240</v>
      </c>
      <c r="F164" s="1">
        <v>18</v>
      </c>
      <c r="G164" s="1">
        <v>2250</v>
      </c>
      <c r="H1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67</v>
      </c>
      <c r="I164" s="4">
        <f>knicks_players_all_stats[[#This Row],[VALORATION]]/knicks_players_all_stats[[#This Row],[GP]]</f>
        <v>3.7222222222222223</v>
      </c>
      <c r="J164" s="1">
        <v>28</v>
      </c>
      <c r="K164" s="1">
        <v>72</v>
      </c>
      <c r="L164" s="2">
        <f>knicks_players_all_stats[[#This Row],[FGM]]/knicks_players_all_stats[[#This Row],[FGA]]</f>
        <v>0.3888888888888889</v>
      </c>
      <c r="M164" s="16">
        <f>knicks_players_all_stats[[#This Row],[FG3M2]]/10</f>
        <v>10</v>
      </c>
      <c r="N164" s="1">
        <v>100</v>
      </c>
      <c r="O164" s="1">
        <f>knicks_players_all_stats[[#This Row],[FG3A2]]/10</f>
        <v>32</v>
      </c>
      <c r="P164" s="1">
        <v>320</v>
      </c>
      <c r="Q164" s="2">
        <f>knicks_players_all_stats[[#This Row],[FG3M2]]/knicks_players_all_stats[[#This Row],[FG3A2]]</f>
        <v>0.3125</v>
      </c>
      <c r="R164" s="1">
        <v>29</v>
      </c>
      <c r="S164" s="1">
        <v>31</v>
      </c>
      <c r="T164" s="3">
        <f>knicks_players_all_stats[[#This Row],[FTM]]/knicks_players_all_stats[[#This Row],[FTA]]</f>
        <v>0.93548387096774188</v>
      </c>
      <c r="U164" s="1">
        <f>knicks_players_all_stats[[#This Row],[OREB22]]/10</f>
        <v>6</v>
      </c>
      <c r="V164" s="1">
        <f>knicks_players_all_stats[[#This Row],[DREB33]]/10</f>
        <v>21</v>
      </c>
      <c r="W164" s="1">
        <f>knicks_players_all_stats[[#This Row],[REB44]]/10</f>
        <v>27</v>
      </c>
      <c r="X164">
        <v>60</v>
      </c>
      <c r="Y164">
        <v>210</v>
      </c>
      <c r="Z164">
        <v>270</v>
      </c>
      <c r="AA164" s="14">
        <f>knicks_players_all_stats[[#This Row],[REB]]/knicks_players_all_stats[[#This Row],[GP]]</f>
        <v>1.5</v>
      </c>
      <c r="AB164" s="1">
        <v>28</v>
      </c>
      <c r="AC164" s="4">
        <f>knicks_players_all_stats[[#This Row],[AST]]/knicks_players_all_stats[[#This Row],[GP]]</f>
        <v>1.5555555555555556</v>
      </c>
      <c r="AD164" s="1">
        <f>knicks_players_all_stats[[#This Row],[STL2]]/10</f>
        <v>6</v>
      </c>
      <c r="AE164" s="1">
        <v>60</v>
      </c>
      <c r="AF164" s="4">
        <f>knicks_players_all_stats[[#This Row],[STL]]/knicks_players_all_stats[[#This Row],[GP]]</f>
        <v>0.33333333333333331</v>
      </c>
      <c r="AG164">
        <v>10</v>
      </c>
      <c r="AH164" s="1">
        <f>knicks_players_all_stats[[#This Row],[BLK2]]/10</f>
        <v>1</v>
      </c>
      <c r="AI164" s="4">
        <f>knicks_players_all_stats[[#This Row],[BLK]]/knicks_players_all_stats[[#This Row],[GP]]</f>
        <v>5.5555555555555552E-2</v>
      </c>
      <c r="AJ164">
        <v>160</v>
      </c>
      <c r="AK164" s="4">
        <f>knicks_players_all_stats[[#This Row],[BLKPG]]+knicks_players_all_stats[[#This Row],[STLPG]]+knicks_players_all_stats[[#This Row],[REBPG]]</f>
        <v>1.8888888888888888</v>
      </c>
      <c r="AL164" s="1">
        <f>knicks_players_all_stats[[#This Row],[TOV2]]/10</f>
        <v>16</v>
      </c>
      <c r="AM164" s="4">
        <f>knicks_players_all_stats[[#This Row],[TOV]]/knicks_players_all_stats[[#This Row],[GP]]</f>
        <v>0.88888888888888884</v>
      </c>
      <c r="AN164" s="1">
        <v>28</v>
      </c>
      <c r="AO164" s="1">
        <f>knicks_players_all_stats[[#This Row],[PF]]/knicks_players_all_stats[[#This Row],[GP]]</f>
        <v>1.5555555555555556</v>
      </c>
      <c r="AP164" s="1">
        <v>95</v>
      </c>
      <c r="AQ164" s="4">
        <f>knicks_players_all_stats[[#This Row],[PTS]]/knicks_players_all_stats[[#This Row],[GP]]</f>
        <v>5.2777777777777777</v>
      </c>
    </row>
    <row r="165" spans="1:43" customFormat="1" x14ac:dyDescent="0.3">
      <c r="A165" s="1" t="s">
        <v>1792</v>
      </c>
      <c r="B165" s="1" t="s">
        <v>1295</v>
      </c>
      <c r="C165" s="1" t="str">
        <f>knicks_players_all_stats[[#This Row],[NAME]]&amp;" ("&amp;knicks_players_all_stats[[#This Row],[SEASON]]&amp;")"</f>
        <v>Tim Thomas (2004-05)</v>
      </c>
      <c r="D165" s="1">
        <f>knicks_players_all_stats[[#This Row],[PLAYER_AGE]]/10</f>
        <v>28</v>
      </c>
      <c r="E165">
        <v>280</v>
      </c>
      <c r="F165" s="1">
        <v>71</v>
      </c>
      <c r="G165" s="1">
        <v>19400</v>
      </c>
      <c r="H1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481</v>
      </c>
      <c r="I165" s="4">
        <f>knicks_players_all_stats[[#This Row],[VALORATION]]/knicks_players_all_stats[[#This Row],[GP]]</f>
        <v>6.774647887323944</v>
      </c>
      <c r="J165" s="1">
        <v>315</v>
      </c>
      <c r="K165" s="1">
        <v>718</v>
      </c>
      <c r="L165" s="1">
        <v>439</v>
      </c>
      <c r="M165" s="4">
        <f>knicks_players_all_stats[[#This Row],[FG3M2]]/10</f>
        <v>85</v>
      </c>
      <c r="N165" s="1">
        <v>850</v>
      </c>
      <c r="O165" s="1">
        <f>knicks_players_all_stats[[#This Row],[FG3A2]]/10</f>
        <v>208</v>
      </c>
      <c r="P165" s="1">
        <v>2080</v>
      </c>
      <c r="Q165" s="2">
        <f>knicks_players_all_stats[[#This Row],[FG3M2]]/knicks_players_all_stats[[#This Row],[FG3A2]]</f>
        <v>0.40865384615384615</v>
      </c>
      <c r="R165" s="1">
        <v>136</v>
      </c>
      <c r="S165" s="1">
        <v>173</v>
      </c>
      <c r="T165" s="3">
        <f>knicks_players_all_stats[[#This Row],[FTM]]/knicks_players_all_stats[[#This Row],[FTA]]</f>
        <v>0.78612716763005785</v>
      </c>
      <c r="U165" s="1">
        <f>knicks_players_all_stats[[#This Row],[OREB22]]/10</f>
        <v>45</v>
      </c>
      <c r="V165" s="1">
        <f>knicks_players_all_stats[[#This Row],[DREB33]]/10</f>
        <v>192</v>
      </c>
      <c r="W165" s="1">
        <f>knicks_players_all_stats[[#This Row],[REB44]]/10</f>
        <v>237</v>
      </c>
      <c r="X165">
        <v>450</v>
      </c>
      <c r="Y165">
        <v>1920</v>
      </c>
      <c r="Z165">
        <v>2370</v>
      </c>
      <c r="AA165" s="14">
        <f>knicks_players_all_stats[[#This Row],[REB]]/knicks_players_all_stats[[#This Row],[GP]]</f>
        <v>3.3380281690140845</v>
      </c>
      <c r="AB165" s="1">
        <v>110</v>
      </c>
      <c r="AC165" s="4">
        <f>knicks_players_all_stats[[#This Row],[AST]]/knicks_players_all_stats[[#This Row],[GP]]</f>
        <v>1.5492957746478873</v>
      </c>
      <c r="AD165" s="1">
        <f>knicks_players_all_stats[[#This Row],[STL2]]/10</f>
        <v>41</v>
      </c>
      <c r="AE165" s="1">
        <v>410</v>
      </c>
      <c r="AF165" s="4">
        <f>knicks_players_all_stats[[#This Row],[STL]]/knicks_players_all_stats[[#This Row],[GP]]</f>
        <v>0.57746478873239437</v>
      </c>
      <c r="AG165">
        <v>170</v>
      </c>
      <c r="AH165" s="1">
        <f>knicks_players_all_stats[[#This Row],[BLK2]]/10</f>
        <v>17</v>
      </c>
      <c r="AI165" s="4">
        <f>knicks_players_all_stats[[#This Row],[BLK]]/knicks_players_all_stats[[#This Row],[GP]]</f>
        <v>0.23943661971830985</v>
      </c>
      <c r="AJ165">
        <v>1130</v>
      </c>
      <c r="AK165" s="4">
        <f>knicks_players_all_stats[[#This Row],[BLKPG]]+knicks_players_all_stats[[#This Row],[STLPG]]+knicks_players_all_stats[[#This Row],[REBPG]]</f>
        <v>4.154929577464789</v>
      </c>
      <c r="AL165" s="1">
        <f>knicks_players_all_stats[[#This Row],[TOV2]]/10</f>
        <v>113</v>
      </c>
      <c r="AM165" s="4">
        <f>knicks_players_all_stats[[#This Row],[TOV]]/knicks_players_all_stats[[#This Row],[GP]]</f>
        <v>1.591549295774648</v>
      </c>
      <c r="AN165" s="1">
        <v>222</v>
      </c>
      <c r="AO165" s="1">
        <f>knicks_players_all_stats[[#This Row],[PF]]/knicks_players_all_stats[[#This Row],[GP]]</f>
        <v>3.1267605633802815</v>
      </c>
      <c r="AP165" s="1">
        <v>851</v>
      </c>
      <c r="AQ165" s="4">
        <f>knicks_players_all_stats[[#This Row],[PTS]]/knicks_players_all_stats[[#This Row],[GP]]</f>
        <v>11.985915492957746</v>
      </c>
    </row>
    <row r="166" spans="1:43" customFormat="1" x14ac:dyDescent="0.3">
      <c r="A166" s="1" t="s">
        <v>1571</v>
      </c>
      <c r="B166" s="1" t="s">
        <v>1305</v>
      </c>
      <c r="C166" s="1" t="str">
        <f>knicks_players_all_stats[[#This Row],[NAME]]&amp;" ("&amp;knicks_players_all_stats[[#This Row],[SEASON]]&amp;")"</f>
        <v>Al Harrington (2009-10)</v>
      </c>
      <c r="D166" s="1">
        <f>knicks_players_all_stats[[#This Row],[PLAYER_AGE]]/10</f>
        <v>30</v>
      </c>
      <c r="E166">
        <v>300</v>
      </c>
      <c r="F166" s="1">
        <v>72</v>
      </c>
      <c r="G166" s="1">
        <v>21950</v>
      </c>
      <c r="H1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879</v>
      </c>
      <c r="I166" s="4">
        <f>knicks_players_all_stats[[#This Row],[VALORATION]]/knicks_players_all_stats[[#This Row],[GP]]</f>
        <v>12.208333333333334</v>
      </c>
      <c r="J166" s="1">
        <v>448</v>
      </c>
      <c r="K166" s="1">
        <v>1030</v>
      </c>
      <c r="L166" s="2">
        <f>knicks_players_all_stats[[#This Row],[FGM]]/knicks_players_all_stats[[#This Row],[FGA]]</f>
        <v>0.43495145631067961</v>
      </c>
      <c r="M166" s="16">
        <f>knicks_players_all_stats[[#This Row],[FG3M2]]/10</f>
        <v>140</v>
      </c>
      <c r="N166" s="1">
        <v>1400</v>
      </c>
      <c r="O166" s="1">
        <f>knicks_players_all_stats[[#This Row],[FG3A2]]/10</f>
        <v>409</v>
      </c>
      <c r="P166" s="1">
        <v>4090</v>
      </c>
      <c r="Q166" s="2">
        <f>knicks_players_all_stats[[#This Row],[FG3M2]]/knicks_players_all_stats[[#This Row],[FG3A2]]</f>
        <v>0.34229828850855748</v>
      </c>
      <c r="R166" s="1">
        <v>240</v>
      </c>
      <c r="S166" s="1">
        <v>317</v>
      </c>
      <c r="T166" s="3">
        <f>knicks_players_all_stats[[#This Row],[FTM]]/knicks_players_all_stats[[#This Row],[FTA]]</f>
        <v>0.75709779179810721</v>
      </c>
      <c r="U166" s="1">
        <f>knicks_players_all_stats[[#This Row],[OREB22]]/10</f>
        <v>88</v>
      </c>
      <c r="V166" s="1">
        <f>knicks_players_all_stats[[#This Row],[DREB33]]/10</f>
        <v>317</v>
      </c>
      <c r="W166" s="1">
        <f>knicks_players_all_stats[[#This Row],[REB44]]/10</f>
        <v>405</v>
      </c>
      <c r="X166">
        <v>880</v>
      </c>
      <c r="Y166">
        <v>3170</v>
      </c>
      <c r="Z166">
        <v>4050</v>
      </c>
      <c r="AA166" s="14">
        <f>knicks_players_all_stats[[#This Row],[REB]]/knicks_players_all_stats[[#This Row],[GP]]</f>
        <v>5.625</v>
      </c>
      <c r="AB166" s="1">
        <v>110</v>
      </c>
      <c r="AC166" s="4">
        <f>knicks_players_all_stats[[#This Row],[AST]]/knicks_players_all_stats[[#This Row],[GP]]</f>
        <v>1.5277777777777777</v>
      </c>
      <c r="AD166" s="1">
        <f>knicks_players_all_stats[[#This Row],[STL2]]/10</f>
        <v>62</v>
      </c>
      <c r="AE166" s="1">
        <v>620</v>
      </c>
      <c r="AF166" s="4">
        <f>knicks_players_all_stats[[#This Row],[STL]]/knicks_players_all_stats[[#This Row],[GP]]</f>
        <v>0.86111111111111116</v>
      </c>
      <c r="AG166">
        <v>260</v>
      </c>
      <c r="AH166" s="1">
        <f>knicks_players_all_stats[[#This Row],[BLK2]]/10</f>
        <v>26</v>
      </c>
      <c r="AI166" s="4">
        <f>knicks_players_all_stats[[#This Row],[BLK]]/knicks_players_all_stats[[#This Row],[GP]]</f>
        <v>0.3611111111111111</v>
      </c>
      <c r="AJ166">
        <v>1320</v>
      </c>
      <c r="AK166" s="4">
        <f>knicks_players_all_stats[[#This Row],[BLKPG]]+knicks_players_all_stats[[#This Row],[STLPG]]+knicks_players_all_stats[[#This Row],[REBPG]]</f>
        <v>6.8472222222222223</v>
      </c>
      <c r="AL166" s="1">
        <f>knicks_players_all_stats[[#This Row],[TOV2]]/10</f>
        <v>132</v>
      </c>
      <c r="AM166" s="4">
        <f>knicks_players_all_stats[[#This Row],[TOV]]/knicks_players_all_stats[[#This Row],[GP]]</f>
        <v>1.8333333333333333</v>
      </c>
      <c r="AN166" s="1">
        <v>209</v>
      </c>
      <c r="AO166" s="1">
        <f>knicks_players_all_stats[[#This Row],[PF]]/knicks_players_all_stats[[#This Row],[GP]]</f>
        <v>2.9027777777777777</v>
      </c>
      <c r="AP166" s="1">
        <v>1276</v>
      </c>
      <c r="AQ166" s="4">
        <f>knicks_players_all_stats[[#This Row],[PTS]]/knicks_players_all_stats[[#This Row],[GP]]</f>
        <v>17.722222222222221</v>
      </c>
    </row>
    <row r="167" spans="1:43" customFormat="1" x14ac:dyDescent="0.3">
      <c r="A167" s="1" t="s">
        <v>1632</v>
      </c>
      <c r="B167" s="1" t="s">
        <v>1293</v>
      </c>
      <c r="C167" s="1" t="str">
        <f>knicks_players_all_stats[[#This Row],[NAME]]&amp;" ("&amp;knicks_players_all_stats[[#This Row],[SEASON]]&amp;")"</f>
        <v>Shandon Anderson (2003-04)</v>
      </c>
      <c r="D167" s="1">
        <f>knicks_players_all_stats[[#This Row],[PLAYER_AGE]]/10</f>
        <v>30</v>
      </c>
      <c r="E167">
        <v>300</v>
      </c>
      <c r="F167" s="1">
        <v>80</v>
      </c>
      <c r="G167" s="1">
        <v>19720</v>
      </c>
      <c r="H1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400</v>
      </c>
      <c r="I167" s="4">
        <f>knicks_players_all_stats[[#This Row],[VALORATION]]/knicks_players_all_stats[[#This Row],[GP]]</f>
        <v>5</v>
      </c>
      <c r="J167" s="1">
        <v>238</v>
      </c>
      <c r="K167" s="1">
        <v>564</v>
      </c>
      <c r="L167" s="2">
        <f>knicks_players_all_stats[[#This Row],[FGM]]/knicks_players_all_stats[[#This Row],[FGA]]</f>
        <v>0.42198581560283688</v>
      </c>
      <c r="M167" s="16">
        <f>knicks_players_all_stats[[#This Row],[FG3M2]]/10</f>
        <v>36</v>
      </c>
      <c r="N167" s="1">
        <v>360</v>
      </c>
      <c r="O167" s="1">
        <f>knicks_players_all_stats[[#This Row],[FG3A2]]/10</f>
        <v>128</v>
      </c>
      <c r="P167" s="1">
        <v>1280</v>
      </c>
      <c r="Q167" s="2">
        <f>knicks_players_all_stats[[#This Row],[FG3M2]]/knicks_players_all_stats[[#This Row],[FG3A2]]</f>
        <v>0.28125</v>
      </c>
      <c r="R167" s="1">
        <v>123</v>
      </c>
      <c r="S167" s="1">
        <v>161</v>
      </c>
      <c r="T167" s="3">
        <f>knicks_players_all_stats[[#This Row],[FTM]]/knicks_players_all_stats[[#This Row],[FTA]]</f>
        <v>0.7639751552795031</v>
      </c>
      <c r="U167" s="1">
        <f>knicks_players_all_stats[[#This Row],[OREB22]]/10</f>
        <v>53</v>
      </c>
      <c r="V167" s="1">
        <f>knicks_players_all_stats[[#This Row],[DREB33]]/10</f>
        <v>169</v>
      </c>
      <c r="W167" s="1">
        <f>knicks_players_all_stats[[#This Row],[REB44]]/10</f>
        <v>222</v>
      </c>
      <c r="X167">
        <v>530</v>
      </c>
      <c r="Y167">
        <v>1690</v>
      </c>
      <c r="Z167">
        <v>2220</v>
      </c>
      <c r="AA167" s="14">
        <f>knicks_players_all_stats[[#This Row],[REB]]/knicks_players_all_stats[[#This Row],[GP]]</f>
        <v>2.7749999999999999</v>
      </c>
      <c r="AB167" s="1">
        <v>122</v>
      </c>
      <c r="AC167" s="4">
        <f>knicks_players_all_stats[[#This Row],[AST]]/knicks_players_all_stats[[#This Row],[GP]]</f>
        <v>1.5249999999999999</v>
      </c>
      <c r="AD167" s="1">
        <f>knicks_players_all_stats[[#This Row],[STL2]]/10</f>
        <v>68</v>
      </c>
      <c r="AE167" s="1">
        <v>680</v>
      </c>
      <c r="AF167" s="4">
        <f>knicks_players_all_stats[[#This Row],[STL]]/knicks_players_all_stats[[#This Row],[GP]]</f>
        <v>0.85</v>
      </c>
      <c r="AG167">
        <v>170</v>
      </c>
      <c r="AH167" s="1">
        <f>knicks_players_all_stats[[#This Row],[BLK2]]/10</f>
        <v>17</v>
      </c>
      <c r="AI167" s="4">
        <f>knicks_players_all_stats[[#This Row],[BLK]]/knicks_players_all_stats[[#This Row],[GP]]</f>
        <v>0.21249999999999999</v>
      </c>
      <c r="AJ167">
        <v>1180</v>
      </c>
      <c r="AK167" s="4">
        <f>knicks_players_all_stats[[#This Row],[BLKPG]]+knicks_players_all_stats[[#This Row],[STLPG]]+knicks_players_all_stats[[#This Row],[REBPG]]</f>
        <v>3.8374999999999999</v>
      </c>
      <c r="AL167" s="1">
        <f>knicks_players_all_stats[[#This Row],[TOV2]]/10</f>
        <v>118</v>
      </c>
      <c r="AM167" s="4">
        <f>knicks_players_all_stats[[#This Row],[TOV]]/knicks_players_all_stats[[#This Row],[GP]]</f>
        <v>1.4750000000000001</v>
      </c>
      <c r="AN167" s="1">
        <v>182</v>
      </c>
      <c r="AO167" s="1">
        <f>knicks_players_all_stats[[#This Row],[PF]]/knicks_players_all_stats[[#This Row],[GP]]</f>
        <v>2.2749999999999999</v>
      </c>
      <c r="AP167" s="1">
        <v>635</v>
      </c>
      <c r="AQ167" s="4">
        <f>knicks_players_all_stats[[#This Row],[PTS]]/knicks_players_all_stats[[#This Row],[GP]]</f>
        <v>7.9375</v>
      </c>
    </row>
    <row r="168" spans="1:43" customFormat="1" x14ac:dyDescent="0.3">
      <c r="A168" s="1" t="s">
        <v>1564</v>
      </c>
      <c r="B168" s="1" t="s">
        <v>1289</v>
      </c>
      <c r="C168" s="1" t="str">
        <f>knicks_players_all_stats[[#This Row],[NAME]]&amp;" ("&amp;knicks_players_all_stats[[#This Row],[SEASON]]&amp;")"</f>
        <v>Reggie Bullock Jr. (2020-21)</v>
      </c>
      <c r="D168" s="1">
        <f>knicks_players_all_stats[[#This Row],[PLAYER_AGE]]/10</f>
        <v>30</v>
      </c>
      <c r="E168">
        <v>300</v>
      </c>
      <c r="F168" s="1">
        <v>65</v>
      </c>
      <c r="G168" s="1">
        <v>19490</v>
      </c>
      <c r="H1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585</v>
      </c>
      <c r="I168" s="4">
        <f>knicks_players_all_stats[[#This Row],[VALORATION]]/knicks_players_all_stats[[#This Row],[GP]]</f>
        <v>9</v>
      </c>
      <c r="J168" s="1">
        <v>248</v>
      </c>
      <c r="K168" s="1">
        <v>561</v>
      </c>
      <c r="L168" s="2">
        <f>knicks_players_all_stats[[#This Row],[FGM]]/knicks_players_all_stats[[#This Row],[FGA]]</f>
        <v>0.44206773618538325</v>
      </c>
      <c r="M168" s="16">
        <f>knicks_players_all_stats[[#This Row],[FG3M2]]/10</f>
        <v>163</v>
      </c>
      <c r="N168" s="1">
        <v>1630</v>
      </c>
      <c r="O168" s="1">
        <f>knicks_players_all_stats[[#This Row],[FG3A2]]/10</f>
        <v>398</v>
      </c>
      <c r="P168" s="1">
        <v>3980</v>
      </c>
      <c r="Q168" s="2">
        <f>knicks_players_all_stats[[#This Row],[FG3M2]]/knicks_players_all_stats[[#This Row],[FG3A2]]</f>
        <v>0.40954773869346733</v>
      </c>
      <c r="R168" s="1">
        <v>50</v>
      </c>
      <c r="S168" s="1">
        <v>55</v>
      </c>
      <c r="T168" s="3">
        <f>knicks_players_all_stats[[#This Row],[FTM]]/knicks_players_all_stats[[#This Row],[FTA]]</f>
        <v>0.90909090909090906</v>
      </c>
      <c r="U168" s="1">
        <f>knicks_players_all_stats[[#This Row],[OREB22]]/10</f>
        <v>16</v>
      </c>
      <c r="V168" s="1">
        <f>knicks_players_all_stats[[#This Row],[DREB33]]/10</f>
        <v>207</v>
      </c>
      <c r="W168" s="1">
        <f>knicks_players_all_stats[[#This Row],[REB44]]/10</f>
        <v>223</v>
      </c>
      <c r="X168">
        <v>160</v>
      </c>
      <c r="Y168">
        <v>2070</v>
      </c>
      <c r="Z168">
        <v>2230</v>
      </c>
      <c r="AA168" s="14">
        <f>knicks_players_all_stats[[#This Row],[REB]]/knicks_players_all_stats[[#This Row],[GP]]</f>
        <v>3.4307692307692306</v>
      </c>
      <c r="AB168" s="1">
        <v>99</v>
      </c>
      <c r="AC168" s="4">
        <f>knicks_players_all_stats[[#This Row],[AST]]/knicks_players_all_stats[[#This Row],[GP]]</f>
        <v>1.523076923076923</v>
      </c>
      <c r="AD168" s="1">
        <f>knicks_players_all_stats[[#This Row],[STL2]]/10</f>
        <v>52</v>
      </c>
      <c r="AE168" s="1">
        <v>520</v>
      </c>
      <c r="AF168" s="4">
        <f>knicks_players_all_stats[[#This Row],[STL]]/knicks_players_all_stats[[#This Row],[GP]]</f>
        <v>0.8</v>
      </c>
      <c r="AG168">
        <v>110</v>
      </c>
      <c r="AH168" s="1">
        <f>knicks_players_all_stats[[#This Row],[BLK2]]/10</f>
        <v>11</v>
      </c>
      <c r="AI168" s="4">
        <f>knicks_players_all_stats[[#This Row],[BLK]]/knicks_players_all_stats[[#This Row],[GP]]</f>
        <v>0.16923076923076924</v>
      </c>
      <c r="AJ168">
        <v>450</v>
      </c>
      <c r="AK168" s="4">
        <f>knicks_players_all_stats[[#This Row],[BLKPG]]+knicks_players_all_stats[[#This Row],[STLPG]]+knicks_players_all_stats[[#This Row],[REBPG]]</f>
        <v>4.4000000000000004</v>
      </c>
      <c r="AL168" s="1">
        <f>knicks_players_all_stats[[#This Row],[TOV2]]/10</f>
        <v>45</v>
      </c>
      <c r="AM168" s="4">
        <f>knicks_players_all_stats[[#This Row],[TOV]]/knicks_players_all_stats[[#This Row],[GP]]</f>
        <v>0.69230769230769229</v>
      </c>
      <c r="AN168" s="1">
        <v>146</v>
      </c>
      <c r="AO168" s="1">
        <f>knicks_players_all_stats[[#This Row],[PF]]/knicks_players_all_stats[[#This Row],[GP]]</f>
        <v>2.2461538461538462</v>
      </c>
      <c r="AP168" s="1">
        <v>709</v>
      </c>
      <c r="AQ168" s="4">
        <f>knicks_players_all_stats[[#This Row],[PTS]]/knicks_players_all_stats[[#This Row],[GP]]</f>
        <v>10.907692307692308</v>
      </c>
    </row>
    <row r="169" spans="1:43" customFormat="1" x14ac:dyDescent="0.3">
      <c r="A169" s="1" t="s">
        <v>1490</v>
      </c>
      <c r="B169" s="1" t="s">
        <v>1369</v>
      </c>
      <c r="C169" s="1" t="str">
        <f>knicks_players_all_stats[[#This Row],[NAME]]&amp;" ("&amp;knicks_players_all_stats[[#This Row],[SEASON]]&amp;")"</f>
        <v>OG Anunoby (2023-24)</v>
      </c>
      <c r="D169" s="1">
        <f>knicks_players_all_stats[[#This Row],[PLAYER_AGE]]/10</f>
        <v>26</v>
      </c>
      <c r="E169">
        <v>260</v>
      </c>
      <c r="F169" s="1">
        <v>23</v>
      </c>
      <c r="G169" s="1">
        <v>8020</v>
      </c>
      <c r="H1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290</v>
      </c>
      <c r="I169" s="4">
        <f>knicks_players_all_stats[[#This Row],[VALORATION]]/knicks_players_all_stats[[#This Row],[GP]]</f>
        <v>12.608695652173912</v>
      </c>
      <c r="J169" s="1">
        <v>125</v>
      </c>
      <c r="K169" s="1">
        <v>256</v>
      </c>
      <c r="L169" s="2">
        <f>knicks_players_all_stats[[#This Row],[FGM]]/knicks_players_all_stats[[#This Row],[FGA]]</f>
        <v>0.48828125</v>
      </c>
      <c r="M169" s="16">
        <f>knicks_players_all_stats[[#This Row],[FG3M2]]/10</f>
        <v>41</v>
      </c>
      <c r="N169" s="1">
        <v>410</v>
      </c>
      <c r="O169" s="1">
        <f>knicks_players_all_stats[[#This Row],[FG3A2]]/10</f>
        <v>104</v>
      </c>
      <c r="P169" s="1">
        <v>1040</v>
      </c>
      <c r="Q169" s="2">
        <f>knicks_players_all_stats[[#This Row],[FG3M2]]/knicks_players_all_stats[[#This Row],[FG3A2]]</f>
        <v>0.39423076923076922</v>
      </c>
      <c r="R169" s="1">
        <v>34</v>
      </c>
      <c r="S169" s="1">
        <v>43</v>
      </c>
      <c r="T169" s="3">
        <f>knicks_players_all_stats[[#This Row],[FTM]]/knicks_players_all_stats[[#This Row],[FTA]]</f>
        <v>0.79069767441860461</v>
      </c>
      <c r="U169" s="1">
        <f>knicks_players_all_stats[[#This Row],[OREB22]]/10</f>
        <v>23</v>
      </c>
      <c r="V169" s="1">
        <f>knicks_players_all_stats[[#This Row],[DREB33]]/10</f>
        <v>79</v>
      </c>
      <c r="W169" s="1">
        <f>knicks_players_all_stats[[#This Row],[REB44]]/10</f>
        <v>102</v>
      </c>
      <c r="X169">
        <v>230</v>
      </c>
      <c r="Y169">
        <v>790</v>
      </c>
      <c r="Z169">
        <v>1020</v>
      </c>
      <c r="AA169" s="14">
        <f>knicks_players_all_stats[[#This Row],[REB]]/knicks_players_all_stats[[#This Row],[GP]]</f>
        <v>4.4347826086956523</v>
      </c>
      <c r="AB169" s="1">
        <v>35</v>
      </c>
      <c r="AC169" s="4">
        <f>knicks_players_all_stats[[#This Row],[AST]]/knicks_players_all_stats[[#This Row],[GP]]</f>
        <v>1.5217391304347827</v>
      </c>
      <c r="AD169" s="1">
        <f>knicks_players_all_stats[[#This Row],[STL2]]/10</f>
        <v>40</v>
      </c>
      <c r="AE169" s="1">
        <v>400</v>
      </c>
      <c r="AF169" s="4">
        <f>knicks_players_all_stats[[#This Row],[STL]]/knicks_players_all_stats[[#This Row],[GP]]</f>
        <v>1.7391304347826086</v>
      </c>
      <c r="AG169">
        <v>230</v>
      </c>
      <c r="AH169" s="1">
        <f>knicks_players_all_stats[[#This Row],[BLK2]]/10</f>
        <v>23</v>
      </c>
      <c r="AI169" s="4">
        <f>knicks_players_all_stats[[#This Row],[BLK]]/knicks_players_all_stats[[#This Row],[GP]]</f>
        <v>1</v>
      </c>
      <c r="AJ169">
        <v>380</v>
      </c>
      <c r="AK169" s="4">
        <f>knicks_players_all_stats[[#This Row],[BLKPG]]+knicks_players_all_stats[[#This Row],[STLPG]]+knicks_players_all_stats[[#This Row],[REBPG]]</f>
        <v>7.1739130434782608</v>
      </c>
      <c r="AL169" s="1">
        <f>knicks_players_all_stats[[#This Row],[TOV2]]/10</f>
        <v>38</v>
      </c>
      <c r="AM169" s="4">
        <f>knicks_players_all_stats[[#This Row],[TOV]]/knicks_players_all_stats[[#This Row],[GP]]</f>
        <v>1.6521739130434783</v>
      </c>
      <c r="AN169" s="1">
        <v>57</v>
      </c>
      <c r="AO169" s="1">
        <f>knicks_players_all_stats[[#This Row],[PF]]/knicks_players_all_stats[[#This Row],[GP]]</f>
        <v>2.4782608695652173</v>
      </c>
      <c r="AP169" s="1">
        <v>325</v>
      </c>
      <c r="AQ169" s="4">
        <f>knicks_players_all_stats[[#This Row],[PTS]]/knicks_players_all_stats[[#This Row],[GP]]</f>
        <v>14.130434782608695</v>
      </c>
    </row>
    <row r="170" spans="1:43" customFormat="1" x14ac:dyDescent="0.3">
      <c r="A170" s="1" t="s">
        <v>1557</v>
      </c>
      <c r="B170" s="1" t="s">
        <v>1343</v>
      </c>
      <c r="C170" s="1" t="str">
        <f>knicks_players_all_stats[[#This Row],[NAME]]&amp;" ("&amp;knicks_players_all_stats[[#This Row],[SEASON]]&amp;")"</f>
        <v>Ricky Ledo (2014-15)</v>
      </c>
      <c r="D170" s="1">
        <f>knicks_players_all_stats[[#This Row],[PLAYER_AGE]]/10</f>
        <v>22</v>
      </c>
      <c r="E170">
        <v>220</v>
      </c>
      <c r="F170" s="1">
        <v>12</v>
      </c>
      <c r="G170" s="1">
        <v>2330</v>
      </c>
      <c r="H1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</v>
      </c>
      <c r="I170" s="4">
        <f>knicks_players_all_stats[[#This Row],[VALORATION]]/knicks_players_all_stats[[#This Row],[GP]]</f>
        <v>3.4166666666666665</v>
      </c>
      <c r="J170" s="1">
        <v>32</v>
      </c>
      <c r="K170" s="1">
        <v>90</v>
      </c>
      <c r="L170" s="2">
        <f>knicks_players_all_stats[[#This Row],[FGM]]/knicks_players_all_stats[[#This Row],[FGA]]</f>
        <v>0.35555555555555557</v>
      </c>
      <c r="M170" s="16">
        <f>knicks_players_all_stats[[#This Row],[FG3M2]]/10</f>
        <v>10</v>
      </c>
      <c r="N170" s="1">
        <v>100</v>
      </c>
      <c r="O170" s="1">
        <f>knicks_players_all_stats[[#This Row],[FG3A2]]/10</f>
        <v>24</v>
      </c>
      <c r="P170" s="1">
        <v>240</v>
      </c>
      <c r="Q170" s="2">
        <f>knicks_players_all_stats[[#This Row],[FG3M2]]/knicks_players_all_stats[[#This Row],[FG3A2]]</f>
        <v>0.41666666666666669</v>
      </c>
      <c r="R170" s="1">
        <v>15</v>
      </c>
      <c r="S170" s="1">
        <v>20</v>
      </c>
      <c r="T170" s="3">
        <f>knicks_players_all_stats[[#This Row],[FTM]]/knicks_players_all_stats[[#This Row],[FTA]]</f>
        <v>0.75</v>
      </c>
      <c r="U170" s="1">
        <f>knicks_players_all_stats[[#This Row],[OREB22]]/10</f>
        <v>15</v>
      </c>
      <c r="V170" s="1">
        <f>knicks_players_all_stats[[#This Row],[DREB33]]/10</f>
        <v>19</v>
      </c>
      <c r="W170" s="1">
        <f>knicks_players_all_stats[[#This Row],[REB44]]/10</f>
        <v>34</v>
      </c>
      <c r="X170">
        <v>150</v>
      </c>
      <c r="Y170">
        <v>190</v>
      </c>
      <c r="Z170">
        <v>340</v>
      </c>
      <c r="AA170" s="14">
        <f>knicks_players_all_stats[[#This Row],[REB]]/knicks_players_all_stats[[#This Row],[GP]]</f>
        <v>2.8333333333333335</v>
      </c>
      <c r="AB170" s="1">
        <v>18</v>
      </c>
      <c r="AC170" s="4">
        <f>knicks_players_all_stats[[#This Row],[AST]]/knicks_players_all_stats[[#This Row],[GP]]</f>
        <v>1.5</v>
      </c>
      <c r="AD170" s="1">
        <f>knicks_players_all_stats[[#This Row],[STL2]]/10</f>
        <v>6</v>
      </c>
      <c r="AE170" s="1">
        <v>60</v>
      </c>
      <c r="AF170" s="4">
        <f>knicks_players_all_stats[[#This Row],[STL]]/knicks_players_all_stats[[#This Row],[GP]]</f>
        <v>0.5</v>
      </c>
      <c r="AG170">
        <v>10</v>
      </c>
      <c r="AH170" s="1">
        <f>knicks_players_all_stats[[#This Row],[BLK2]]/10</f>
        <v>1</v>
      </c>
      <c r="AI170" s="4">
        <f>knicks_players_all_stats[[#This Row],[BLK]]/knicks_players_all_stats[[#This Row],[GP]]</f>
        <v>8.3333333333333329E-2</v>
      </c>
      <c r="AJ170">
        <v>240</v>
      </c>
      <c r="AK170" s="4">
        <f>knicks_players_all_stats[[#This Row],[BLKPG]]+knicks_players_all_stats[[#This Row],[STLPG]]+knicks_players_all_stats[[#This Row],[REBPG]]</f>
        <v>3.416666666666667</v>
      </c>
      <c r="AL170" s="1">
        <f>knicks_players_all_stats[[#This Row],[TOV2]]/10</f>
        <v>24</v>
      </c>
      <c r="AM170" s="4">
        <f>knicks_players_all_stats[[#This Row],[TOV]]/knicks_players_all_stats[[#This Row],[GP]]</f>
        <v>2</v>
      </c>
      <c r="AN170" s="1">
        <v>20</v>
      </c>
      <c r="AO170" s="1">
        <f>knicks_players_all_stats[[#This Row],[PF]]/knicks_players_all_stats[[#This Row],[GP]]</f>
        <v>1.6666666666666667</v>
      </c>
      <c r="AP170" s="1">
        <v>89</v>
      </c>
      <c r="AQ170" s="4">
        <f>knicks_players_all_stats[[#This Row],[PTS]]/knicks_players_all_stats[[#This Row],[GP]]</f>
        <v>7.416666666666667</v>
      </c>
    </row>
    <row r="171" spans="1:43" customFormat="1" x14ac:dyDescent="0.3">
      <c r="A171" s="1" t="s">
        <v>1280</v>
      </c>
      <c r="B171" s="1" t="s">
        <v>1281</v>
      </c>
      <c r="C171" s="1" t="str">
        <f>knicks_players_all_stats[[#This Row],[NAME]]&amp;" ("&amp;knicks_players_all_stats[[#This Row],[SEASON]]&amp;")"</f>
        <v>Kyle O'Quinn (2016-17)</v>
      </c>
      <c r="D171" s="1">
        <f>knicks_players_all_stats[[#This Row],[PLAYER_AGE]]/10</f>
        <v>27</v>
      </c>
      <c r="E171">
        <v>270</v>
      </c>
      <c r="F171" s="1">
        <v>79</v>
      </c>
      <c r="G171" s="1">
        <v>12290</v>
      </c>
      <c r="H1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725</v>
      </c>
      <c r="I171" s="4">
        <f>knicks_players_all_stats[[#This Row],[VALORATION]]/knicks_players_all_stats[[#This Row],[GP]]</f>
        <v>9.1772151898734169</v>
      </c>
      <c r="J171" s="1">
        <v>215</v>
      </c>
      <c r="K171" s="1">
        <v>413</v>
      </c>
      <c r="L171" s="2">
        <f>knicks_players_all_stats[[#This Row],[FGM]]/knicks_players_all_stats[[#This Row],[FGA]]</f>
        <v>0.52058111380145278</v>
      </c>
      <c r="M171" s="16">
        <f>knicks_players_all_stats[[#This Row],[FG3M2]]/10</f>
        <v>2</v>
      </c>
      <c r="N171" s="1">
        <v>20</v>
      </c>
      <c r="O171" s="1">
        <f>knicks_players_all_stats[[#This Row],[FG3A2]]/10</f>
        <v>17</v>
      </c>
      <c r="P171" s="1">
        <v>170</v>
      </c>
      <c r="Q171" s="2">
        <f>knicks_players_all_stats[[#This Row],[FG3M2]]/knicks_players_all_stats[[#This Row],[FG3A2]]</f>
        <v>0.11764705882352941</v>
      </c>
      <c r="R171" s="1">
        <v>64</v>
      </c>
      <c r="S171" s="1">
        <v>83</v>
      </c>
      <c r="T171" s="3">
        <f>knicks_players_all_stats[[#This Row],[FTM]]/knicks_players_all_stats[[#This Row],[FTA]]</f>
        <v>0.77108433734939763</v>
      </c>
      <c r="U171" s="1">
        <f>knicks_players_all_stats[[#This Row],[OREB22]]/10</f>
        <v>157</v>
      </c>
      <c r="V171" s="1">
        <f>knicks_players_all_stats[[#This Row],[DREB33]]/10</f>
        <v>282</v>
      </c>
      <c r="W171" s="1">
        <f>knicks_players_all_stats[[#This Row],[REB44]]/10</f>
        <v>439</v>
      </c>
      <c r="X171">
        <v>1570</v>
      </c>
      <c r="Y171">
        <v>2820</v>
      </c>
      <c r="Z171">
        <v>4390</v>
      </c>
      <c r="AA171" s="14">
        <f>knicks_players_all_stats[[#This Row],[REB]]/knicks_players_all_stats[[#This Row],[GP]]</f>
        <v>5.556962025316456</v>
      </c>
      <c r="AB171" s="1">
        <v>117</v>
      </c>
      <c r="AC171" s="4">
        <f>knicks_players_all_stats[[#This Row],[AST]]/knicks_players_all_stats[[#This Row],[GP]]</f>
        <v>1.481012658227848</v>
      </c>
      <c r="AD171" s="1">
        <f>knicks_players_all_stats[[#This Row],[STL2]]/10</f>
        <v>36</v>
      </c>
      <c r="AE171" s="1">
        <v>360</v>
      </c>
      <c r="AF171" s="4">
        <f>knicks_players_all_stats[[#This Row],[STL]]/knicks_players_all_stats[[#This Row],[GP]]</f>
        <v>0.45569620253164556</v>
      </c>
      <c r="AG171">
        <v>1040</v>
      </c>
      <c r="AH171" s="1">
        <f>knicks_players_all_stats[[#This Row],[BLK2]]/10</f>
        <v>104</v>
      </c>
      <c r="AI171" s="4">
        <f>knicks_players_all_stats[[#This Row],[BLK]]/knicks_players_all_stats[[#This Row],[GP]]</f>
        <v>1.3164556962025316</v>
      </c>
      <c r="AJ171">
        <v>760</v>
      </c>
      <c r="AK171" s="4">
        <f>knicks_players_all_stats[[#This Row],[BLKPG]]+knicks_players_all_stats[[#This Row],[STLPG]]+knicks_players_all_stats[[#This Row],[REBPG]]</f>
        <v>7.3291139240506329</v>
      </c>
      <c r="AL171" s="1">
        <f>knicks_players_all_stats[[#This Row],[TOV2]]/10</f>
        <v>76</v>
      </c>
      <c r="AM171" s="4">
        <f>knicks_players_all_stats[[#This Row],[TOV]]/knicks_players_all_stats[[#This Row],[GP]]</f>
        <v>0.96202531645569622</v>
      </c>
      <c r="AN171" s="1">
        <v>174</v>
      </c>
      <c r="AO171" s="1">
        <f>knicks_players_all_stats[[#This Row],[PF]]/knicks_players_all_stats[[#This Row],[GP]]</f>
        <v>2.2025316455696204</v>
      </c>
      <c r="AP171" s="1">
        <v>496</v>
      </c>
      <c r="AQ171" s="4">
        <f>knicks_players_all_stats[[#This Row],[PTS]]/knicks_players_all_stats[[#This Row],[GP]]</f>
        <v>6.2784810126582276</v>
      </c>
    </row>
    <row r="172" spans="1:43" x14ac:dyDescent="0.3">
      <c r="A172" s="1" t="s">
        <v>1776</v>
      </c>
      <c r="B172" s="1" t="s">
        <v>1259</v>
      </c>
      <c r="C172" s="1" t="str">
        <f>knicks_players_all_stats[[#This Row],[NAME]]&amp;" ("&amp;knicks_players_all_stats[[#This Row],[SEASON]]&amp;")"</f>
        <v>Enes Freedom (2017-18)</v>
      </c>
      <c r="D172" s="1">
        <f>knicks_players_all_stats[[#This Row],[PLAYER_AGE]]/10</f>
        <v>26</v>
      </c>
      <c r="E172">
        <v>260</v>
      </c>
      <c r="F172" s="1">
        <v>71</v>
      </c>
      <c r="G172" s="1">
        <v>18300</v>
      </c>
      <c r="H1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1330</v>
      </c>
      <c r="I172" s="4">
        <f>knicks_players_all_stats[[#This Row],[VALORATION]]/knicks_players_all_stats[[#This Row],[GP]]</f>
        <v>18.732394366197184</v>
      </c>
      <c r="J172" s="1">
        <v>422</v>
      </c>
      <c r="K172" s="1">
        <v>713</v>
      </c>
      <c r="L172" s="1">
        <v>592</v>
      </c>
      <c r="M172" s="4">
        <f>knicks_players_all_stats[[#This Row],[FG3M2]]/10</f>
        <v>0</v>
      </c>
      <c r="N172" s="1">
        <v>0</v>
      </c>
      <c r="O172" s="1">
        <f>knicks_players_all_stats[[#This Row],[FG3A2]]/10</f>
        <v>2</v>
      </c>
      <c r="P172" s="1">
        <v>20</v>
      </c>
      <c r="Q172" s="2">
        <f>knicks_players_all_stats[[#This Row],[FG3M2]]/knicks_players_all_stats[[#This Row],[FG3A2]]</f>
        <v>0</v>
      </c>
      <c r="R172" s="1">
        <v>156</v>
      </c>
      <c r="S172" s="1">
        <v>184</v>
      </c>
      <c r="T172" s="3">
        <f>knicks_players_all_stats[[#This Row],[FTM]]/knicks_players_all_stats[[#This Row],[FTA]]</f>
        <v>0.84782608695652173</v>
      </c>
      <c r="U172" s="1">
        <f>knicks_players_all_stats[[#This Row],[OREB22]]/10</f>
        <v>273</v>
      </c>
      <c r="V172" s="1">
        <f>knicks_players_all_stats[[#This Row],[DREB33]]/10</f>
        <v>507</v>
      </c>
      <c r="W172" s="1">
        <f>knicks_players_all_stats[[#This Row],[REB44]]/10</f>
        <v>780</v>
      </c>
      <c r="X172">
        <v>2730</v>
      </c>
      <c r="Y172">
        <v>5070</v>
      </c>
      <c r="Z172">
        <v>7800</v>
      </c>
      <c r="AA172" s="14">
        <f>knicks_players_all_stats[[#This Row],[REB]]/knicks_players_all_stats[[#This Row],[GP]]</f>
        <v>10.985915492957746</v>
      </c>
      <c r="AB172" s="1">
        <v>105</v>
      </c>
      <c r="AC172" s="4">
        <f>knicks_players_all_stats[[#This Row],[AST]]/knicks_players_all_stats[[#This Row],[GP]]</f>
        <v>1.4788732394366197</v>
      </c>
      <c r="AD172" s="1">
        <f>knicks_players_all_stats[[#This Row],[STL2]]/10</f>
        <v>36</v>
      </c>
      <c r="AE172" s="1">
        <v>360</v>
      </c>
      <c r="AF172" s="4">
        <f>knicks_players_all_stats[[#This Row],[STL]]/knicks_players_all_stats[[#This Row],[GP]]</f>
        <v>0.50704225352112675</v>
      </c>
      <c r="AG172">
        <v>370</v>
      </c>
      <c r="AH172" s="1">
        <f>knicks_players_all_stats[[#This Row],[BLK2]]/10</f>
        <v>37</v>
      </c>
      <c r="AI172" s="4">
        <f>knicks_players_all_stats[[#This Row],[BLK]]/knicks_players_all_stats[[#This Row],[GP]]</f>
        <v>0.52112676056338025</v>
      </c>
      <c r="AJ172">
        <v>1220</v>
      </c>
      <c r="AK172" s="4">
        <f>knicks_players_all_stats[[#This Row],[BLKPG]]+knicks_players_all_stats[[#This Row],[STLPG]]+knicks_players_all_stats[[#This Row],[REBPG]]</f>
        <v>12.014084507042252</v>
      </c>
      <c r="AL172" s="1">
        <f>knicks_players_all_stats[[#This Row],[TOV2]]/10</f>
        <v>122</v>
      </c>
      <c r="AM172" s="4">
        <f>knicks_players_all_stats[[#This Row],[TOV]]/knicks_players_all_stats[[#This Row],[GP]]</f>
        <v>1.7183098591549295</v>
      </c>
      <c r="AN172" s="1">
        <v>187</v>
      </c>
      <c r="AO172" s="1">
        <f>knicks_players_all_stats[[#This Row],[PF]]/knicks_players_all_stats[[#This Row],[GP]]</f>
        <v>2.6338028169014085</v>
      </c>
      <c r="AP172" s="1">
        <v>1000</v>
      </c>
      <c r="AQ172" s="4">
        <f>knicks_players_all_stats[[#This Row],[PTS]]/knicks_players_all_stats[[#This Row],[GP]]</f>
        <v>14.084507042253522</v>
      </c>
    </row>
    <row r="173" spans="1:43" customFormat="1" x14ac:dyDescent="0.3">
      <c r="A173" s="1" t="s">
        <v>1306</v>
      </c>
      <c r="B173" s="1" t="s">
        <v>1281</v>
      </c>
      <c r="C173" s="1" t="str">
        <f>knicks_players_all_stats[[#This Row],[NAME]]&amp;" ("&amp;knicks_players_all_stats[[#This Row],[SEASON]]&amp;")"</f>
        <v>Kristaps Porzingis (2016-17)</v>
      </c>
      <c r="D173" s="1">
        <f>knicks_players_all_stats[[#This Row],[PLAYER_AGE]]/10</f>
        <v>21</v>
      </c>
      <c r="E173">
        <v>210</v>
      </c>
      <c r="F173" s="1">
        <v>66</v>
      </c>
      <c r="G173" s="1">
        <v>21640</v>
      </c>
      <c r="H1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986</v>
      </c>
      <c r="I173" s="4">
        <f>knicks_players_all_stats[[#This Row],[VALORATION]]/knicks_players_all_stats[[#This Row],[GP]]</f>
        <v>14.939393939393939</v>
      </c>
      <c r="J173" s="1">
        <v>443</v>
      </c>
      <c r="K173" s="1">
        <v>985</v>
      </c>
      <c r="L173" s="2">
        <f>knicks_players_all_stats[[#This Row],[FGM]]/knicks_players_all_stats[[#This Row],[FGA]]</f>
        <v>0.44974619289340101</v>
      </c>
      <c r="M173" s="16">
        <f>knicks_players_all_stats[[#This Row],[FG3M2]]/10</f>
        <v>112</v>
      </c>
      <c r="N173" s="1">
        <v>1120</v>
      </c>
      <c r="O173" s="1">
        <f>knicks_players_all_stats[[#This Row],[FG3A2]]/10</f>
        <v>314</v>
      </c>
      <c r="P173" s="1">
        <v>3140</v>
      </c>
      <c r="Q173" s="2">
        <f>knicks_players_all_stats[[#This Row],[FG3M2]]/knicks_players_all_stats[[#This Row],[FG3A2]]</f>
        <v>0.35668789808917195</v>
      </c>
      <c r="R173" s="1">
        <v>198</v>
      </c>
      <c r="S173" s="1">
        <v>252</v>
      </c>
      <c r="T173" s="3">
        <f>knicks_players_all_stats[[#This Row],[FTM]]/knicks_players_all_stats[[#This Row],[FTA]]</f>
        <v>0.7857142857142857</v>
      </c>
      <c r="U173" s="1">
        <f>knicks_players_all_stats[[#This Row],[OREB22]]/10</f>
        <v>111</v>
      </c>
      <c r="V173" s="1">
        <f>knicks_players_all_stats[[#This Row],[DREB33]]/10</f>
        <v>364</v>
      </c>
      <c r="W173" s="1">
        <f>knicks_players_all_stats[[#This Row],[REB44]]/10</f>
        <v>475</v>
      </c>
      <c r="X173">
        <v>1110</v>
      </c>
      <c r="Y173">
        <v>3640</v>
      </c>
      <c r="Z173">
        <v>4750</v>
      </c>
      <c r="AA173" s="14">
        <f>knicks_players_all_stats[[#This Row],[REB]]/knicks_players_all_stats[[#This Row],[GP]]</f>
        <v>7.1969696969696972</v>
      </c>
      <c r="AB173" s="1">
        <v>97</v>
      </c>
      <c r="AC173" s="4">
        <f>knicks_players_all_stats[[#This Row],[AST]]/knicks_players_all_stats[[#This Row],[GP]]</f>
        <v>1.4696969696969697</v>
      </c>
      <c r="AD173" s="1">
        <f>knicks_players_all_stats[[#This Row],[STL2]]/10</f>
        <v>47</v>
      </c>
      <c r="AE173" s="1">
        <v>470</v>
      </c>
      <c r="AF173" s="4">
        <f>knicks_players_all_stats[[#This Row],[STL]]/knicks_players_all_stats[[#This Row],[GP]]</f>
        <v>0.71212121212121215</v>
      </c>
      <c r="AG173">
        <v>1290</v>
      </c>
      <c r="AH173" s="1">
        <f>knicks_players_all_stats[[#This Row],[BLK2]]/10</f>
        <v>129</v>
      </c>
      <c r="AI173" s="4">
        <f>knicks_players_all_stats[[#This Row],[BLK]]/knicks_players_all_stats[[#This Row],[GP]]</f>
        <v>1.9545454545454546</v>
      </c>
      <c r="AJ173">
        <v>1180</v>
      </c>
      <c r="AK173" s="4">
        <f>knicks_players_all_stats[[#This Row],[BLKPG]]+knicks_players_all_stats[[#This Row],[STLPG]]+knicks_players_all_stats[[#This Row],[REBPG]]</f>
        <v>9.8636363636363633</v>
      </c>
      <c r="AL173" s="1">
        <f>knicks_players_all_stats[[#This Row],[TOV2]]/10</f>
        <v>118</v>
      </c>
      <c r="AM173" s="4">
        <f>knicks_players_all_stats[[#This Row],[TOV]]/knicks_players_all_stats[[#This Row],[GP]]</f>
        <v>1.7878787878787878</v>
      </c>
      <c r="AN173" s="1">
        <v>244</v>
      </c>
      <c r="AO173" s="1">
        <f>knicks_players_all_stats[[#This Row],[PF]]/knicks_players_all_stats[[#This Row],[GP]]</f>
        <v>3.6969696969696968</v>
      </c>
      <c r="AP173" s="1">
        <v>1196</v>
      </c>
      <c r="AQ173" s="4">
        <f>knicks_players_all_stats[[#This Row],[PTS]]/knicks_players_all_stats[[#This Row],[GP]]</f>
        <v>18.121212121212121</v>
      </c>
    </row>
    <row r="174" spans="1:43" customFormat="1" x14ac:dyDescent="0.3">
      <c r="A174" s="1" t="s">
        <v>1802</v>
      </c>
      <c r="B174" s="1" t="s">
        <v>1312</v>
      </c>
      <c r="C174" s="1" t="str">
        <f>knicks_players_all_stats[[#This Row],[NAME]]&amp;" ("&amp;knicks_players_all_stats[[#This Row],[SEASON]]&amp;")"</f>
        <v>Ronny Turiaf (2010-11)</v>
      </c>
      <c r="D174" s="1">
        <f>knicks_players_all_stats[[#This Row],[PLAYER_AGE]]/10</f>
        <v>28</v>
      </c>
      <c r="E174">
        <v>280</v>
      </c>
      <c r="F174" s="1">
        <v>64</v>
      </c>
      <c r="G174" s="1">
        <v>11410</v>
      </c>
      <c r="H1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376</v>
      </c>
      <c r="I174" s="4">
        <f>knicks_players_all_stats[[#This Row],[VALORATION]]/knicks_players_all_stats[[#This Row],[GP]]</f>
        <v>5.875</v>
      </c>
      <c r="J174" s="1">
        <v>103</v>
      </c>
      <c r="K174" s="1">
        <v>163</v>
      </c>
      <c r="L174" s="1">
        <v>632</v>
      </c>
      <c r="M174" s="4">
        <f>knicks_players_all_stats[[#This Row],[FG3M2]]/10</f>
        <v>0</v>
      </c>
      <c r="N174" s="1">
        <v>0</v>
      </c>
      <c r="O174" s="1">
        <f>knicks_players_all_stats[[#This Row],[FG3A2]]/10</f>
        <v>0</v>
      </c>
      <c r="P174" s="1">
        <v>0</v>
      </c>
      <c r="Q174" s="2" t="e">
        <f>knicks_players_all_stats[[#This Row],[FG3M2]]/knicks_players_all_stats[[#This Row],[FG3A2]]</f>
        <v>#DIV/0!</v>
      </c>
      <c r="R174" s="1">
        <v>61</v>
      </c>
      <c r="S174" s="1">
        <v>98</v>
      </c>
      <c r="T174" s="3">
        <f>knicks_players_all_stats[[#This Row],[FTM]]/knicks_players_all_stats[[#This Row],[FTA]]</f>
        <v>0.62244897959183676</v>
      </c>
      <c r="U174" s="1">
        <f>knicks_players_all_stats[[#This Row],[OREB22]]/10</f>
        <v>64</v>
      </c>
      <c r="V174" s="1">
        <f>knicks_players_all_stats[[#This Row],[DREB33]]/10</f>
        <v>143</v>
      </c>
      <c r="W174" s="1">
        <f>knicks_players_all_stats[[#This Row],[REB44]]/10</f>
        <v>207</v>
      </c>
      <c r="X174">
        <v>640</v>
      </c>
      <c r="Y174">
        <v>1430</v>
      </c>
      <c r="Z174">
        <v>2070</v>
      </c>
      <c r="AA174" s="14">
        <f>knicks_players_all_stats[[#This Row],[REB]]/knicks_players_all_stats[[#This Row],[GP]]</f>
        <v>3.234375</v>
      </c>
      <c r="AB174" s="1">
        <v>92</v>
      </c>
      <c r="AC174" s="4">
        <f>knicks_players_all_stats[[#This Row],[AST]]/knicks_players_all_stats[[#This Row],[GP]]</f>
        <v>1.4375</v>
      </c>
      <c r="AD174" s="1">
        <f>knicks_players_all_stats[[#This Row],[STL2]]/10</f>
        <v>35</v>
      </c>
      <c r="AE174" s="1">
        <v>350</v>
      </c>
      <c r="AF174" s="4">
        <f>knicks_players_all_stats[[#This Row],[STL]]/knicks_players_all_stats[[#This Row],[GP]]</f>
        <v>0.546875</v>
      </c>
      <c r="AG174">
        <v>730</v>
      </c>
      <c r="AH174" s="1">
        <f>knicks_players_all_stats[[#This Row],[BLK2]]/10</f>
        <v>73</v>
      </c>
      <c r="AI174" s="4">
        <f>knicks_players_all_stats[[#This Row],[BLK]]/knicks_players_all_stats[[#This Row],[GP]]</f>
        <v>1.140625</v>
      </c>
      <c r="AJ174">
        <v>410</v>
      </c>
      <c r="AK174" s="4">
        <f>knicks_players_all_stats[[#This Row],[BLKPG]]+knicks_players_all_stats[[#This Row],[STLPG]]+knicks_players_all_stats[[#This Row],[REBPG]]</f>
        <v>4.921875</v>
      </c>
      <c r="AL174" s="1">
        <f>knicks_players_all_stats[[#This Row],[TOV2]]/10</f>
        <v>41</v>
      </c>
      <c r="AM174" s="4">
        <f>knicks_players_all_stats[[#This Row],[TOV]]/knicks_players_all_stats[[#This Row],[GP]]</f>
        <v>0.640625</v>
      </c>
      <c r="AN174" s="1">
        <v>160</v>
      </c>
      <c r="AO174" s="1">
        <f>knicks_players_all_stats[[#This Row],[PF]]/knicks_players_all_stats[[#This Row],[GP]]</f>
        <v>2.5</v>
      </c>
      <c r="AP174" s="1">
        <v>267</v>
      </c>
      <c r="AQ174" s="4">
        <f>knicks_players_all_stats[[#This Row],[PTS]]/knicks_players_all_stats[[#This Row],[GP]]</f>
        <v>4.171875</v>
      </c>
    </row>
    <row r="175" spans="1:43" customFormat="1" x14ac:dyDescent="0.3">
      <c r="A175" s="1" t="s">
        <v>1734</v>
      </c>
      <c r="B175" s="1" t="s">
        <v>1304</v>
      </c>
      <c r="C175" s="1" t="str">
        <f>knicks_players_all_stats[[#This Row],[NAME]]&amp;" ("&amp;knicks_players_all_stats[[#This Row],[SEASON]]&amp;")"</f>
        <v>Jared Jeffries (2008-09)</v>
      </c>
      <c r="D175" s="1">
        <f>knicks_players_all_stats[[#This Row],[PLAYER_AGE]]/10</f>
        <v>27</v>
      </c>
      <c r="E175">
        <v>270</v>
      </c>
      <c r="F175" s="1">
        <v>56</v>
      </c>
      <c r="G175" s="1">
        <v>13100</v>
      </c>
      <c r="H1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281</v>
      </c>
      <c r="I175" s="4">
        <f>knicks_players_all_stats[[#This Row],[VALORATION]]/knicks_players_all_stats[[#This Row],[GP]]</f>
        <v>5.0178571428571432</v>
      </c>
      <c r="J175" s="1">
        <v>120</v>
      </c>
      <c r="K175" s="1">
        <v>273</v>
      </c>
      <c r="L175" s="1">
        <v>44</v>
      </c>
      <c r="M175" s="4">
        <f>knicks_players_all_stats[[#This Row],[FG3M2]]/10</f>
        <v>1</v>
      </c>
      <c r="N175" s="1">
        <v>10</v>
      </c>
      <c r="O175" s="1">
        <f>knicks_players_all_stats[[#This Row],[FG3A2]]/10</f>
        <v>12</v>
      </c>
      <c r="P175" s="1">
        <v>120</v>
      </c>
      <c r="Q175" s="2">
        <f>knicks_players_all_stats[[#This Row],[FG3M2]]/knicks_players_all_stats[[#This Row],[FG3A2]]</f>
        <v>8.3333333333333329E-2</v>
      </c>
      <c r="R175" s="1">
        <v>55</v>
      </c>
      <c r="S175" s="1">
        <v>90</v>
      </c>
      <c r="T175" s="3">
        <f>knicks_players_all_stats[[#This Row],[FTM]]/knicks_players_all_stats[[#This Row],[FTA]]</f>
        <v>0.61111111111111116</v>
      </c>
      <c r="U175" s="1">
        <f>knicks_players_all_stats[[#This Row],[OREB22]]/10</f>
        <v>128</v>
      </c>
      <c r="V175" s="1">
        <f>knicks_players_all_stats[[#This Row],[DREB33]]/10</f>
        <v>103</v>
      </c>
      <c r="W175" s="1">
        <f>knicks_players_all_stats[[#This Row],[REB44]]/10</f>
        <v>231</v>
      </c>
      <c r="X175">
        <v>1280</v>
      </c>
      <c r="Y175">
        <v>1030</v>
      </c>
      <c r="Z175">
        <v>2310</v>
      </c>
      <c r="AA175" s="14">
        <f>knicks_players_all_stats[[#This Row],[REB]]/knicks_players_all_stats[[#This Row],[GP]]</f>
        <v>4.125</v>
      </c>
      <c r="AB175" s="1">
        <v>80</v>
      </c>
      <c r="AC175" s="4">
        <f>knicks_players_all_stats[[#This Row],[AST]]/knicks_players_all_stats[[#This Row],[GP]]</f>
        <v>1.4285714285714286</v>
      </c>
      <c r="AD175" s="1">
        <f>knicks_players_all_stats[[#This Row],[STL2]]/10</f>
        <v>47</v>
      </c>
      <c r="AE175" s="1">
        <v>470</v>
      </c>
      <c r="AF175" s="4">
        <f>knicks_players_all_stats[[#This Row],[STL]]/knicks_players_all_stats[[#This Row],[GP]]</f>
        <v>0.8392857142857143</v>
      </c>
      <c r="AG175">
        <v>330</v>
      </c>
      <c r="AH175" s="1">
        <f>knicks_players_all_stats[[#This Row],[BLK2]]/10</f>
        <v>33</v>
      </c>
      <c r="AI175" s="4">
        <f>knicks_players_all_stats[[#This Row],[BLK]]/knicks_players_all_stats[[#This Row],[GP]]</f>
        <v>0.5892857142857143</v>
      </c>
      <c r="AJ175">
        <v>650</v>
      </c>
      <c r="AK175" s="4">
        <f>knicks_players_all_stats[[#This Row],[BLKPG]]+knicks_players_all_stats[[#This Row],[STLPG]]+knicks_players_all_stats[[#This Row],[REBPG]]</f>
        <v>5.5535714285714288</v>
      </c>
      <c r="AL175" s="1">
        <f>knicks_players_all_stats[[#This Row],[TOV2]]/10</f>
        <v>65</v>
      </c>
      <c r="AM175" s="4">
        <f>knicks_players_all_stats[[#This Row],[TOV]]/knicks_players_all_stats[[#This Row],[GP]]</f>
        <v>1.1607142857142858</v>
      </c>
      <c r="AN175" s="1">
        <v>153</v>
      </c>
      <c r="AO175" s="1">
        <f>knicks_players_all_stats[[#This Row],[PF]]/knicks_players_all_stats[[#This Row],[GP]]</f>
        <v>2.7321428571428572</v>
      </c>
      <c r="AP175" s="1">
        <v>296</v>
      </c>
      <c r="AQ175" s="4">
        <f>knicks_players_all_stats[[#This Row],[PTS]]/knicks_players_all_stats[[#This Row],[GP]]</f>
        <v>5.2857142857142856</v>
      </c>
    </row>
    <row r="176" spans="1:43" customFormat="1" x14ac:dyDescent="0.3">
      <c r="A176" s="1" t="s">
        <v>1792</v>
      </c>
      <c r="B176" s="1" t="s">
        <v>1293</v>
      </c>
      <c r="C176" s="1" t="str">
        <f>knicks_players_all_stats[[#This Row],[NAME]]&amp;" ("&amp;knicks_players_all_stats[[#This Row],[SEASON]]&amp;")"</f>
        <v>Tim Thomas (2003-04)</v>
      </c>
      <c r="D176" s="1">
        <f>knicks_players_all_stats[[#This Row],[PLAYER_AGE]]/10</f>
        <v>27</v>
      </c>
      <c r="E176">
        <v>270</v>
      </c>
      <c r="F176" s="1">
        <v>24</v>
      </c>
      <c r="G176" s="1">
        <v>7460</v>
      </c>
      <c r="H1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260</v>
      </c>
      <c r="I176" s="4">
        <f>knicks_players_all_stats[[#This Row],[VALORATION]]/knicks_players_all_stats[[#This Row],[GP]]</f>
        <v>10.833333333333334</v>
      </c>
      <c r="J176" s="1">
        <v>137</v>
      </c>
      <c r="K176" s="1">
        <v>303</v>
      </c>
      <c r="L176" s="1">
        <v>452</v>
      </c>
      <c r="M176" s="4">
        <f>knicks_players_all_stats[[#This Row],[FG3M2]]/10</f>
        <v>26</v>
      </c>
      <c r="N176" s="1">
        <v>260</v>
      </c>
      <c r="O176" s="1">
        <f>knicks_players_all_stats[[#This Row],[FG3A2]]/10</f>
        <v>64</v>
      </c>
      <c r="P176" s="1">
        <v>640</v>
      </c>
      <c r="Q176" s="2">
        <f>knicks_players_all_stats[[#This Row],[FG3M2]]/knicks_players_all_stats[[#This Row],[FG3A2]]</f>
        <v>0.40625</v>
      </c>
      <c r="R176" s="1">
        <v>78</v>
      </c>
      <c r="S176" s="1">
        <v>96</v>
      </c>
      <c r="T176" s="3">
        <f>knicks_players_all_stats[[#This Row],[FTM]]/knicks_players_all_stats[[#This Row],[FTA]]</f>
        <v>0.8125</v>
      </c>
      <c r="U176" s="1">
        <f>knicks_players_all_stats[[#This Row],[OREB22]]/10</f>
        <v>26</v>
      </c>
      <c r="V176" s="1">
        <f>knicks_players_all_stats[[#This Row],[DREB33]]/10</f>
        <v>89</v>
      </c>
      <c r="W176" s="1">
        <f>knicks_players_all_stats[[#This Row],[REB44]]/10</f>
        <v>115</v>
      </c>
      <c r="X176">
        <v>260</v>
      </c>
      <c r="Y176">
        <v>890</v>
      </c>
      <c r="Z176">
        <v>1150</v>
      </c>
      <c r="AA176" s="14">
        <f>knicks_players_all_stats[[#This Row],[REB]]/knicks_players_all_stats[[#This Row],[GP]]</f>
        <v>4.791666666666667</v>
      </c>
      <c r="AB176" s="1">
        <v>34</v>
      </c>
      <c r="AC176" s="4">
        <f>knicks_players_all_stats[[#This Row],[AST]]/knicks_players_all_stats[[#This Row],[GP]]</f>
        <v>1.4166666666666667</v>
      </c>
      <c r="AD176" s="1">
        <f>knicks_players_all_stats[[#This Row],[STL2]]/10</f>
        <v>24</v>
      </c>
      <c r="AE176" s="1">
        <v>240</v>
      </c>
      <c r="AF176" s="4">
        <f>knicks_players_all_stats[[#This Row],[STL]]/knicks_players_all_stats[[#This Row],[GP]]</f>
        <v>1</v>
      </c>
      <c r="AG176">
        <v>50</v>
      </c>
      <c r="AH176" s="1">
        <f>knicks_players_all_stats[[#This Row],[BLK2]]/10</f>
        <v>5</v>
      </c>
      <c r="AI176" s="4">
        <f>knicks_players_all_stats[[#This Row],[BLK]]/knicks_players_all_stats[[#This Row],[GP]]</f>
        <v>0.20833333333333334</v>
      </c>
      <c r="AJ176">
        <v>430</v>
      </c>
      <c r="AK176" s="4">
        <f>knicks_players_all_stats[[#This Row],[BLKPG]]+knicks_players_all_stats[[#This Row],[STLPG]]+knicks_players_all_stats[[#This Row],[REBPG]]</f>
        <v>6</v>
      </c>
      <c r="AL176" s="1">
        <f>knicks_players_all_stats[[#This Row],[TOV2]]/10</f>
        <v>43</v>
      </c>
      <c r="AM176" s="4">
        <f>knicks_players_all_stats[[#This Row],[TOV]]/knicks_players_all_stats[[#This Row],[GP]]</f>
        <v>1.7916666666666667</v>
      </c>
      <c r="AN176" s="1">
        <v>69</v>
      </c>
      <c r="AO176" s="1">
        <f>knicks_players_all_stats[[#This Row],[PF]]/knicks_players_all_stats[[#This Row],[GP]]</f>
        <v>2.875</v>
      </c>
      <c r="AP176" s="1">
        <v>378</v>
      </c>
      <c r="AQ176" s="4">
        <f>knicks_players_all_stats[[#This Row],[PTS]]/knicks_players_all_stats[[#This Row],[GP]]</f>
        <v>15.75</v>
      </c>
    </row>
    <row r="177" spans="1:43" x14ac:dyDescent="0.3">
      <c r="A177" s="1" t="s">
        <v>1301</v>
      </c>
      <c r="B177" s="1" t="s">
        <v>1302</v>
      </c>
      <c r="C177" s="1" t="str">
        <f>knicks_players_all_stats[[#This Row],[NAME]]&amp;" ("&amp;knicks_players_all_stats[[#This Row],[SEASON]]&amp;")"</f>
        <v>Nate Robinson (2006-07)</v>
      </c>
      <c r="D177" s="1">
        <f>knicks_players_all_stats[[#This Row],[PLAYER_AGE]]/10</f>
        <v>23</v>
      </c>
      <c r="E177">
        <v>230</v>
      </c>
      <c r="F177" s="1">
        <v>64</v>
      </c>
      <c r="G177" s="1">
        <v>13560</v>
      </c>
      <c r="H1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384</v>
      </c>
      <c r="I177" s="4">
        <f>knicks_players_all_stats[[#This Row],[VALORATION]]/knicks_players_all_stats[[#This Row],[GP]]</f>
        <v>6</v>
      </c>
      <c r="J177" s="1">
        <v>227</v>
      </c>
      <c r="K177" s="1">
        <v>523</v>
      </c>
      <c r="L177" s="2">
        <f>knicks_players_all_stats[[#This Row],[FGM]]/knicks_players_all_stats[[#This Row],[FGA]]</f>
        <v>0.4340344168260038</v>
      </c>
      <c r="M177" s="16">
        <f>knicks_players_all_stats[[#This Row],[FG3M2]]/10</f>
        <v>83</v>
      </c>
      <c r="N177" s="1">
        <v>830</v>
      </c>
      <c r="O177" s="1">
        <f>knicks_players_all_stats[[#This Row],[FG3A2]]/10</f>
        <v>213</v>
      </c>
      <c r="P177" s="1">
        <v>2130</v>
      </c>
      <c r="Q177" s="2">
        <f>knicks_players_all_stats[[#This Row],[FG3M2]]/knicks_players_all_stats[[#This Row],[FG3A2]]</f>
        <v>0.38967136150234744</v>
      </c>
      <c r="R177" s="1">
        <v>108</v>
      </c>
      <c r="S177" s="1">
        <v>139</v>
      </c>
      <c r="T177" s="3">
        <f>knicks_players_all_stats[[#This Row],[FTM]]/knicks_players_all_stats[[#This Row],[FTA]]</f>
        <v>0.7769784172661871</v>
      </c>
      <c r="U177" s="1">
        <f>knicks_players_all_stats[[#This Row],[OREB22]]/10</f>
        <v>55</v>
      </c>
      <c r="V177" s="1">
        <f>knicks_players_all_stats[[#This Row],[DREB33]]/10</f>
        <v>97</v>
      </c>
      <c r="W177" s="1">
        <f>knicks_players_all_stats[[#This Row],[REB44]]/10</f>
        <v>152</v>
      </c>
      <c r="X177">
        <v>550</v>
      </c>
      <c r="Y177">
        <v>970</v>
      </c>
      <c r="Z177">
        <v>1520</v>
      </c>
      <c r="AA177" s="14">
        <f>knicks_players_all_stats[[#This Row],[REB]]/knicks_players_all_stats[[#This Row],[GP]]</f>
        <v>2.375</v>
      </c>
      <c r="AB177" s="1">
        <v>90</v>
      </c>
      <c r="AC177" s="4">
        <f>knicks_players_all_stats[[#This Row],[AST]]/knicks_players_all_stats[[#This Row],[GP]]</f>
        <v>1.40625</v>
      </c>
      <c r="AD177" s="1">
        <f>knicks_players_all_stats[[#This Row],[STL2]]/10</f>
        <v>50</v>
      </c>
      <c r="AE177" s="1">
        <v>500</v>
      </c>
      <c r="AF177" s="4">
        <f>knicks_players_all_stats[[#This Row],[STL]]/knicks_players_all_stats[[#This Row],[GP]]</f>
        <v>0.78125</v>
      </c>
      <c r="AG177">
        <v>60</v>
      </c>
      <c r="AH177" s="1">
        <f>knicks_players_all_stats[[#This Row],[BLK2]]/10</f>
        <v>6</v>
      </c>
      <c r="AI177" s="4">
        <f>knicks_players_all_stats[[#This Row],[BLK]]/knicks_players_all_stats[[#This Row],[GP]]</f>
        <v>9.375E-2</v>
      </c>
      <c r="AJ177">
        <v>720</v>
      </c>
      <c r="AK177" s="4">
        <f>knicks_players_all_stats[[#This Row],[BLKPG]]+knicks_players_all_stats[[#This Row],[STLPG]]+knicks_players_all_stats[[#This Row],[REBPG]]</f>
        <v>3.25</v>
      </c>
      <c r="AL177" s="1">
        <f>knicks_players_all_stats[[#This Row],[TOV2]]/10</f>
        <v>72</v>
      </c>
      <c r="AM177" s="4">
        <f>knicks_players_all_stats[[#This Row],[TOV]]/knicks_players_all_stats[[#This Row],[GP]]</f>
        <v>1.125</v>
      </c>
      <c r="AN177" s="1">
        <v>160</v>
      </c>
      <c r="AO177" s="1">
        <f>knicks_players_all_stats[[#This Row],[PF]]/knicks_players_all_stats[[#This Row],[GP]]</f>
        <v>2.5</v>
      </c>
      <c r="AP177" s="1">
        <v>645</v>
      </c>
      <c r="AQ177" s="4">
        <f>knicks_players_all_stats[[#This Row],[PTS]]/knicks_players_all_stats[[#This Row],[GP]]</f>
        <v>10.078125</v>
      </c>
    </row>
    <row r="178" spans="1:43" x14ac:dyDescent="0.3">
      <c r="A178" s="1" t="s">
        <v>1525</v>
      </c>
      <c r="B178" s="1" t="s">
        <v>1279</v>
      </c>
      <c r="C178" s="1" t="str">
        <f>knicks_players_all_stats[[#This Row],[NAME]]&amp;" ("&amp;knicks_players_all_stats[[#This Row],[SEASON]]&amp;")"</f>
        <v>Robin Lopez (2015-16)</v>
      </c>
      <c r="D178" s="1">
        <f>knicks_players_all_stats[[#This Row],[PLAYER_AGE]]/10</f>
        <v>28</v>
      </c>
      <c r="E178">
        <v>280</v>
      </c>
      <c r="F178" s="1">
        <v>82</v>
      </c>
      <c r="G178" s="1">
        <v>22190</v>
      </c>
      <c r="H1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1050</v>
      </c>
      <c r="I178" s="4">
        <f>knicks_players_all_stats[[#This Row],[VALORATION]]/knicks_players_all_stats[[#This Row],[GP]]</f>
        <v>12.804878048780488</v>
      </c>
      <c r="J178" s="1">
        <v>357</v>
      </c>
      <c r="K178" s="1">
        <v>662</v>
      </c>
      <c r="L178" s="2">
        <f>knicks_players_all_stats[[#This Row],[FGM]]/knicks_players_all_stats[[#This Row],[FGA]]</f>
        <v>0.5392749244712991</v>
      </c>
      <c r="M178" s="16">
        <f>knicks_players_all_stats[[#This Row],[FG3M2]]/10</f>
        <v>0</v>
      </c>
      <c r="N178" s="1">
        <v>0</v>
      </c>
      <c r="O178" s="1">
        <f>knicks_players_all_stats[[#This Row],[FG3A2]]/10</f>
        <v>1</v>
      </c>
      <c r="P178" s="1">
        <v>10</v>
      </c>
      <c r="Q178" s="2">
        <f>knicks_players_all_stats[[#This Row],[FG3M2]]/knicks_players_all_stats[[#This Row],[FG3A2]]</f>
        <v>0</v>
      </c>
      <c r="R178" s="1">
        <v>128</v>
      </c>
      <c r="S178" s="1">
        <v>161</v>
      </c>
      <c r="T178" s="3">
        <f>knicks_players_all_stats[[#This Row],[FTM]]/knicks_players_all_stats[[#This Row],[FTA]]</f>
        <v>0.79503105590062106</v>
      </c>
      <c r="U178" s="1">
        <f>knicks_players_all_stats[[#This Row],[OREB22]]/10</f>
        <v>268</v>
      </c>
      <c r="V178" s="1">
        <f>knicks_players_all_stats[[#This Row],[DREB33]]/10</f>
        <v>334</v>
      </c>
      <c r="W178" s="1">
        <f>knicks_players_all_stats[[#This Row],[REB44]]/10</f>
        <v>602</v>
      </c>
      <c r="X178">
        <v>2680</v>
      </c>
      <c r="Y178">
        <v>3340</v>
      </c>
      <c r="Z178">
        <v>6020</v>
      </c>
      <c r="AA178" s="14">
        <f>knicks_players_all_stats[[#This Row],[REB]]/knicks_players_all_stats[[#This Row],[GP]]</f>
        <v>7.3414634146341466</v>
      </c>
      <c r="AB178" s="1">
        <v>114</v>
      </c>
      <c r="AC178" s="4">
        <f>knicks_players_all_stats[[#This Row],[AST]]/knicks_players_all_stats[[#This Row],[GP]]</f>
        <v>1.3902439024390243</v>
      </c>
      <c r="AD178" s="1">
        <f>knicks_players_all_stats[[#This Row],[STL2]]/10</f>
        <v>16</v>
      </c>
      <c r="AE178" s="1">
        <v>160</v>
      </c>
      <c r="AF178" s="4">
        <f>knicks_players_all_stats[[#This Row],[STL]]/knicks_players_all_stats[[#This Row],[GP]]</f>
        <v>0.1951219512195122</v>
      </c>
      <c r="AG178">
        <v>1290</v>
      </c>
      <c r="AH178" s="1">
        <f>knicks_players_all_stats[[#This Row],[BLK2]]/10</f>
        <v>129</v>
      </c>
      <c r="AI178" s="4">
        <f>knicks_players_all_stats[[#This Row],[BLK]]/knicks_players_all_stats[[#This Row],[GP]]</f>
        <v>1.5731707317073171</v>
      </c>
      <c r="AJ178">
        <v>1330</v>
      </c>
      <c r="AK178" s="4">
        <f>knicks_players_all_stats[[#This Row],[BLKPG]]+knicks_players_all_stats[[#This Row],[STLPG]]+knicks_players_all_stats[[#This Row],[REBPG]]</f>
        <v>9.1097560975609753</v>
      </c>
      <c r="AL178" s="1">
        <f>knicks_players_all_stats[[#This Row],[TOV2]]/10</f>
        <v>133</v>
      </c>
      <c r="AM178" s="4">
        <f>knicks_players_all_stats[[#This Row],[TOV]]/knicks_players_all_stats[[#This Row],[GP]]</f>
        <v>1.6219512195121952</v>
      </c>
      <c r="AN178" s="1">
        <v>182</v>
      </c>
      <c r="AO178" s="1">
        <f>knicks_players_all_stats[[#This Row],[PF]]/knicks_players_all_stats[[#This Row],[GP]]</f>
        <v>2.2195121951219514</v>
      </c>
      <c r="AP178" s="1">
        <v>842</v>
      </c>
      <c r="AQ178" s="4">
        <f>knicks_players_all_stats[[#This Row],[PTS]]/knicks_players_all_stats[[#This Row],[GP]]</f>
        <v>10.268292682926829</v>
      </c>
    </row>
    <row r="179" spans="1:43" x14ac:dyDescent="0.3">
      <c r="A179" s="1" t="s">
        <v>1814</v>
      </c>
      <c r="B179" s="1" t="s">
        <v>1279</v>
      </c>
      <c r="C179" s="1" t="str">
        <f>knicks_players_all_stats[[#This Row],[NAME]]&amp;" ("&amp;knicks_players_all_stats[[#This Row],[SEASON]]&amp;")"</f>
        <v>Sasha Vujacic (2015-16)</v>
      </c>
      <c r="D179" s="1">
        <f>knicks_players_all_stats[[#This Row],[PLAYER_AGE]]/10</f>
        <v>32</v>
      </c>
      <c r="E179">
        <v>320</v>
      </c>
      <c r="F179" s="1">
        <v>61</v>
      </c>
      <c r="G179" s="1">
        <v>9080</v>
      </c>
      <c r="H1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263</v>
      </c>
      <c r="I179" s="4">
        <f>knicks_players_all_stats[[#This Row],[VALORATION]]/knicks_players_all_stats[[#This Row],[GP]]</f>
        <v>4.3114754098360653</v>
      </c>
      <c r="J179" s="1">
        <v>106</v>
      </c>
      <c r="K179" s="1">
        <v>277</v>
      </c>
      <c r="L179" s="1">
        <v>383</v>
      </c>
      <c r="M179" s="4">
        <f>knicks_players_all_stats[[#This Row],[FG3M2]]/10</f>
        <v>52</v>
      </c>
      <c r="N179" s="1">
        <v>520</v>
      </c>
      <c r="O179" s="1">
        <f>knicks_players_all_stats[[#This Row],[FG3A2]]/10</f>
        <v>143</v>
      </c>
      <c r="P179" s="1">
        <v>1430</v>
      </c>
      <c r="Q179" s="2">
        <f>knicks_players_all_stats[[#This Row],[FG3M2]]/knicks_players_all_stats[[#This Row],[FG3A2]]</f>
        <v>0.36363636363636365</v>
      </c>
      <c r="R179" s="1">
        <v>32</v>
      </c>
      <c r="S179" s="1">
        <v>39</v>
      </c>
      <c r="T179" s="3">
        <f>knicks_players_all_stats[[#This Row],[FTM]]/knicks_players_all_stats[[#This Row],[FTA]]</f>
        <v>0.82051282051282048</v>
      </c>
      <c r="U179" s="1">
        <f>knicks_players_all_stats[[#This Row],[OREB22]]/10</f>
        <v>26</v>
      </c>
      <c r="V179" s="1">
        <f>knicks_players_all_stats[[#This Row],[DREB33]]/10</f>
        <v>123</v>
      </c>
      <c r="W179" s="1">
        <f>knicks_players_all_stats[[#This Row],[REB44]]/10</f>
        <v>149</v>
      </c>
      <c r="X179">
        <v>260</v>
      </c>
      <c r="Y179">
        <v>1230</v>
      </c>
      <c r="Z179">
        <v>1490</v>
      </c>
      <c r="AA179" s="14">
        <f>knicks_players_all_stats[[#This Row],[REB]]/knicks_players_all_stats[[#This Row],[GP]]</f>
        <v>2.442622950819672</v>
      </c>
      <c r="AB179" s="1">
        <v>84</v>
      </c>
      <c r="AC179" s="4">
        <f>knicks_players_all_stats[[#This Row],[AST]]/knicks_players_all_stats[[#This Row],[GP]]</f>
        <v>1.3770491803278688</v>
      </c>
      <c r="AD179" s="1">
        <f>knicks_players_all_stats[[#This Row],[STL2]]/10</f>
        <v>34</v>
      </c>
      <c r="AE179" s="1">
        <v>340</v>
      </c>
      <c r="AF179" s="4">
        <f>knicks_players_all_stats[[#This Row],[STL]]/knicks_players_all_stats[[#This Row],[GP]]</f>
        <v>0.55737704918032782</v>
      </c>
      <c r="AG179">
        <v>50</v>
      </c>
      <c r="AH179" s="1">
        <f>knicks_players_all_stats[[#This Row],[BLK2]]/10</f>
        <v>5</v>
      </c>
      <c r="AI179" s="4">
        <f>knicks_players_all_stats[[#This Row],[BLK]]/knicks_players_all_stats[[#This Row],[GP]]</f>
        <v>8.1967213114754092E-2</v>
      </c>
      <c r="AJ179">
        <v>440</v>
      </c>
      <c r="AK179" s="4">
        <f>knicks_players_all_stats[[#This Row],[BLKPG]]+knicks_players_all_stats[[#This Row],[STLPG]]+knicks_players_all_stats[[#This Row],[REBPG]]</f>
        <v>3.081967213114754</v>
      </c>
      <c r="AL179" s="1">
        <f>knicks_players_all_stats[[#This Row],[TOV2]]/10</f>
        <v>44</v>
      </c>
      <c r="AM179" s="4">
        <f>knicks_players_all_stats[[#This Row],[TOV]]/knicks_players_all_stats[[#This Row],[GP]]</f>
        <v>0.72131147540983609</v>
      </c>
      <c r="AN179" s="1">
        <v>83</v>
      </c>
      <c r="AO179" s="1">
        <f>knicks_players_all_stats[[#This Row],[PF]]/knicks_players_all_stats[[#This Row],[GP]]</f>
        <v>1.360655737704918</v>
      </c>
      <c r="AP179" s="1">
        <v>296</v>
      </c>
      <c r="AQ179" s="4">
        <f>knicks_players_all_stats[[#This Row],[PTS]]/knicks_players_all_stats[[#This Row],[GP]]</f>
        <v>4.8524590163934427</v>
      </c>
    </row>
    <row r="180" spans="1:43" customFormat="1" x14ac:dyDescent="0.3">
      <c r="A180" s="1" t="s">
        <v>1817</v>
      </c>
      <c r="B180" s="1" t="s">
        <v>1305</v>
      </c>
      <c r="C180" s="1" t="str">
        <f>knicks_players_all_stats[[#This Row],[NAME]]&amp;" ("&amp;knicks_players_all_stats[[#This Row],[SEASON]]&amp;")"</f>
        <v>Henry Walker (2009-10)</v>
      </c>
      <c r="D180" s="1">
        <f>knicks_players_all_stats[[#This Row],[PLAYER_AGE]]/10</f>
        <v>22</v>
      </c>
      <c r="E180">
        <v>220</v>
      </c>
      <c r="F180" s="1">
        <v>27</v>
      </c>
      <c r="G180" s="1">
        <v>7390</v>
      </c>
      <c r="H1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243</v>
      </c>
      <c r="I180" s="4">
        <f>knicks_players_all_stats[[#This Row],[VALORATION]]/knicks_players_all_stats[[#This Row],[GP]]</f>
        <v>9</v>
      </c>
      <c r="J180" s="1">
        <v>117</v>
      </c>
      <c r="K180" s="1">
        <v>226</v>
      </c>
      <c r="L180" s="1">
        <v>518</v>
      </c>
      <c r="M180" s="4">
        <f>knicks_players_all_stats[[#This Row],[FG3M2]]/10</f>
        <v>50</v>
      </c>
      <c r="N180" s="1">
        <v>500</v>
      </c>
      <c r="O180" s="1">
        <f>knicks_players_all_stats[[#This Row],[FG3A2]]/10</f>
        <v>116</v>
      </c>
      <c r="P180" s="1">
        <v>1160</v>
      </c>
      <c r="Q180" s="2">
        <f>knicks_players_all_stats[[#This Row],[FG3M2]]/knicks_players_all_stats[[#This Row],[FG3A2]]</f>
        <v>0.43103448275862066</v>
      </c>
      <c r="R180" s="1">
        <v>37</v>
      </c>
      <c r="S180" s="1">
        <v>47</v>
      </c>
      <c r="T180" s="3">
        <f>knicks_players_all_stats[[#This Row],[FTM]]/knicks_players_all_stats[[#This Row],[FTA]]</f>
        <v>0.78723404255319152</v>
      </c>
      <c r="U180" s="1">
        <f>knicks_players_all_stats[[#This Row],[OREB22]]/10</f>
        <v>15</v>
      </c>
      <c r="V180" s="1">
        <f>knicks_players_all_stats[[#This Row],[DREB33]]/10</f>
        <v>68</v>
      </c>
      <c r="W180" s="1">
        <f>knicks_players_all_stats[[#This Row],[REB44]]/10</f>
        <v>83</v>
      </c>
      <c r="X180">
        <v>150</v>
      </c>
      <c r="Y180">
        <v>680</v>
      </c>
      <c r="Z180">
        <v>830</v>
      </c>
      <c r="AA180" s="14">
        <f>knicks_players_all_stats[[#This Row],[REB]]/knicks_players_all_stats[[#This Row],[GP]]</f>
        <v>3.074074074074074</v>
      </c>
      <c r="AB180" s="1">
        <v>37</v>
      </c>
      <c r="AC180" s="4">
        <f>knicks_players_all_stats[[#This Row],[AST]]/knicks_players_all_stats[[#This Row],[GP]]</f>
        <v>1.3703703703703705</v>
      </c>
      <c r="AD180" s="1">
        <f>knicks_players_all_stats[[#This Row],[STL2]]/10</f>
        <v>23</v>
      </c>
      <c r="AE180" s="1">
        <v>230</v>
      </c>
      <c r="AF180" s="4">
        <f>knicks_players_all_stats[[#This Row],[STL]]/knicks_players_all_stats[[#This Row],[GP]]</f>
        <v>0.85185185185185186</v>
      </c>
      <c r="AG180">
        <v>30</v>
      </c>
      <c r="AH180" s="1">
        <f>knicks_players_all_stats[[#This Row],[BLK2]]/10</f>
        <v>3</v>
      </c>
      <c r="AI180" s="4">
        <f>knicks_players_all_stats[[#This Row],[BLK]]/knicks_players_all_stats[[#This Row],[GP]]</f>
        <v>0.1111111111111111</v>
      </c>
      <c r="AJ180">
        <v>260</v>
      </c>
      <c r="AK180" s="4">
        <f>knicks_players_all_stats[[#This Row],[BLKPG]]+knicks_players_all_stats[[#This Row],[STLPG]]+knicks_players_all_stats[[#This Row],[REBPG]]</f>
        <v>4.0370370370370372</v>
      </c>
      <c r="AL180" s="1">
        <f>knicks_players_all_stats[[#This Row],[TOV2]]/10</f>
        <v>26</v>
      </c>
      <c r="AM180" s="4">
        <f>knicks_players_all_stats[[#This Row],[TOV]]/knicks_players_all_stats[[#This Row],[GP]]</f>
        <v>0.96296296296296291</v>
      </c>
      <c r="AN180" s="1">
        <v>79</v>
      </c>
      <c r="AO180" s="1">
        <f>knicks_players_all_stats[[#This Row],[PF]]/knicks_players_all_stats[[#This Row],[GP]]</f>
        <v>2.925925925925926</v>
      </c>
      <c r="AP180" s="1">
        <v>321</v>
      </c>
      <c r="AQ180" s="4">
        <f>knicks_players_all_stats[[#This Row],[PTS]]/knicks_players_all_stats[[#This Row],[GP]]</f>
        <v>11.888888888888889</v>
      </c>
    </row>
    <row r="181" spans="1:43" customFormat="1" x14ac:dyDescent="0.3">
      <c r="A181" s="1" t="s">
        <v>1774</v>
      </c>
      <c r="B181" s="1" t="s">
        <v>1304</v>
      </c>
      <c r="C181" s="1" t="str">
        <f>knicks_players_all_stats[[#This Row],[NAME]]&amp;" ("&amp;knicks_players_all_stats[[#This Row],[SEASON]]&amp;")"</f>
        <v>Zach Randolph (2008-09)</v>
      </c>
      <c r="D181" s="1">
        <f>knicks_players_all_stats[[#This Row],[PLAYER_AGE]]/10</f>
        <v>27</v>
      </c>
      <c r="E181">
        <v>270</v>
      </c>
      <c r="F181" s="1">
        <v>11</v>
      </c>
      <c r="G181" s="1">
        <v>3880</v>
      </c>
      <c r="H1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224</v>
      </c>
      <c r="I181" s="4">
        <f>knicks_players_all_stats[[#This Row],[VALORATION]]/knicks_players_all_stats[[#This Row],[GP]]</f>
        <v>20.363636363636363</v>
      </c>
      <c r="J181" s="1">
        <v>82</v>
      </c>
      <c r="K181" s="1">
        <v>189</v>
      </c>
      <c r="L181" s="1">
        <v>434</v>
      </c>
      <c r="M181" s="4">
        <f>knicks_players_all_stats[[#This Row],[FG3M2]]/10</f>
        <v>7</v>
      </c>
      <c r="N181" s="1">
        <v>70</v>
      </c>
      <c r="O181" s="1">
        <f>knicks_players_all_stats[[#This Row],[FG3A2]]/10</f>
        <v>24</v>
      </c>
      <c r="P181" s="1">
        <v>240</v>
      </c>
      <c r="Q181" s="2">
        <f>knicks_players_all_stats[[#This Row],[FG3M2]]/knicks_players_all_stats[[#This Row],[FG3A2]]</f>
        <v>0.29166666666666669</v>
      </c>
      <c r="R181" s="1">
        <v>55</v>
      </c>
      <c r="S181" s="1">
        <v>67</v>
      </c>
      <c r="T181" s="3">
        <f>knicks_players_all_stats[[#This Row],[FTM]]/knicks_players_all_stats[[#This Row],[FTA]]</f>
        <v>0.82089552238805974</v>
      </c>
      <c r="U181" s="1">
        <f>knicks_players_all_stats[[#This Row],[OREB22]]/10</f>
        <v>40</v>
      </c>
      <c r="V181" s="1">
        <f>knicks_players_all_stats[[#This Row],[DREB33]]/10</f>
        <v>97</v>
      </c>
      <c r="W181" s="1">
        <f>knicks_players_all_stats[[#This Row],[REB44]]/10</f>
        <v>137</v>
      </c>
      <c r="X181">
        <v>400</v>
      </c>
      <c r="Y181">
        <v>970</v>
      </c>
      <c r="Z181">
        <v>1370</v>
      </c>
      <c r="AA181" s="14">
        <f>knicks_players_all_stats[[#This Row],[REB]]/knicks_players_all_stats[[#This Row],[GP]]</f>
        <v>12.454545454545455</v>
      </c>
      <c r="AB181" s="1">
        <v>15</v>
      </c>
      <c r="AC181" s="4">
        <f>knicks_players_all_stats[[#This Row],[AST]]/knicks_players_all_stats[[#This Row],[GP]]</f>
        <v>1.3636363636363635</v>
      </c>
      <c r="AD181" s="1">
        <f>knicks_players_all_stats[[#This Row],[STL2]]/10</f>
        <v>13</v>
      </c>
      <c r="AE181" s="1">
        <v>130</v>
      </c>
      <c r="AF181" s="4">
        <f>knicks_players_all_stats[[#This Row],[STL]]/knicks_players_all_stats[[#This Row],[GP]]</f>
        <v>1.1818181818181819</v>
      </c>
      <c r="AG181">
        <v>30</v>
      </c>
      <c r="AH181" s="1">
        <f>knicks_players_all_stats[[#This Row],[BLK2]]/10</f>
        <v>3</v>
      </c>
      <c r="AI181" s="4">
        <f>knicks_players_all_stats[[#This Row],[BLK]]/knicks_players_all_stats[[#This Row],[GP]]</f>
        <v>0.27272727272727271</v>
      </c>
      <c r="AJ181">
        <v>230</v>
      </c>
      <c r="AK181" s="4">
        <f>knicks_players_all_stats[[#This Row],[BLKPG]]+knicks_players_all_stats[[#This Row],[STLPG]]+knicks_players_all_stats[[#This Row],[REBPG]]</f>
        <v>13.90909090909091</v>
      </c>
      <c r="AL181" s="1">
        <f>knicks_players_all_stats[[#This Row],[TOV2]]/10</f>
        <v>23</v>
      </c>
      <c r="AM181" s="4">
        <f>knicks_players_all_stats[[#This Row],[TOV]]/knicks_players_all_stats[[#This Row],[GP]]</f>
        <v>2.0909090909090908</v>
      </c>
      <c r="AN181" s="1">
        <v>28</v>
      </c>
      <c r="AO181" s="1">
        <f>knicks_players_all_stats[[#This Row],[PF]]/knicks_players_all_stats[[#This Row],[GP]]</f>
        <v>2.5454545454545454</v>
      </c>
      <c r="AP181" s="1">
        <v>226</v>
      </c>
      <c r="AQ181" s="4">
        <f>knicks_players_all_stats[[#This Row],[PTS]]/knicks_players_all_stats[[#This Row],[GP]]</f>
        <v>20.545454545454547</v>
      </c>
    </row>
    <row r="182" spans="1:43" customFormat="1" x14ac:dyDescent="0.3">
      <c r="A182" s="1" t="s">
        <v>1571</v>
      </c>
      <c r="B182" s="1" t="s">
        <v>1304</v>
      </c>
      <c r="C182" s="1" t="str">
        <f>knicks_players_all_stats[[#This Row],[NAME]]&amp;" ("&amp;knicks_players_all_stats[[#This Row],[SEASON]]&amp;")"</f>
        <v>Al Harrington (2008-09)</v>
      </c>
      <c r="D182" s="1">
        <f>knicks_players_all_stats[[#This Row],[PLAYER_AGE]]/10</f>
        <v>29</v>
      </c>
      <c r="E182">
        <v>290</v>
      </c>
      <c r="F182" s="1">
        <v>68</v>
      </c>
      <c r="G182" s="1">
        <v>23800</v>
      </c>
      <c r="H1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973</v>
      </c>
      <c r="I182" s="4">
        <f>knicks_players_all_stats[[#This Row],[VALORATION]]/knicks_players_all_stats[[#This Row],[GP]]</f>
        <v>14.308823529411764</v>
      </c>
      <c r="J182" s="1">
        <v>509</v>
      </c>
      <c r="K182" s="1">
        <v>1142</v>
      </c>
      <c r="L182" s="2">
        <f>knicks_players_all_stats[[#This Row],[FGM]]/knicks_players_all_stats[[#This Row],[FGA]]</f>
        <v>0.44570928196147108</v>
      </c>
      <c r="M182" s="16">
        <f>knicks_players_all_stats[[#This Row],[FG3M2]]/10</f>
        <v>160</v>
      </c>
      <c r="N182" s="1">
        <v>1600</v>
      </c>
      <c r="O182" s="1">
        <f>knicks_players_all_stats[[#This Row],[FG3A2]]/10</f>
        <v>442</v>
      </c>
      <c r="P182" s="1">
        <v>4420</v>
      </c>
      <c r="Q182" s="2">
        <f>knicks_players_all_stats[[#This Row],[FG3M2]]/knicks_players_all_stats[[#This Row],[FG3A2]]</f>
        <v>0.36199095022624433</v>
      </c>
      <c r="R182" s="1">
        <v>229</v>
      </c>
      <c r="S182" s="1">
        <v>285</v>
      </c>
      <c r="T182" s="3">
        <f>knicks_players_all_stats[[#This Row],[FTM]]/knicks_players_all_stats[[#This Row],[FTA]]</f>
        <v>0.80350877192982462</v>
      </c>
      <c r="U182" s="1">
        <f>knicks_players_all_stats[[#This Row],[OREB22]]/10</f>
        <v>89</v>
      </c>
      <c r="V182" s="1">
        <f>knicks_players_all_stats[[#This Row],[DREB33]]/10</f>
        <v>338</v>
      </c>
      <c r="W182" s="1">
        <f>knicks_players_all_stats[[#This Row],[REB44]]/10</f>
        <v>427</v>
      </c>
      <c r="X182">
        <v>890</v>
      </c>
      <c r="Y182">
        <v>3380</v>
      </c>
      <c r="Z182">
        <v>4270</v>
      </c>
      <c r="AA182" s="14">
        <f>knicks_players_all_stats[[#This Row],[REB]]/knicks_players_all_stats[[#This Row],[GP]]</f>
        <v>6.2794117647058822</v>
      </c>
      <c r="AB182" s="1">
        <v>92</v>
      </c>
      <c r="AC182" s="4">
        <f>knicks_players_all_stats[[#This Row],[AST]]/knicks_players_all_stats[[#This Row],[GP]]</f>
        <v>1.3529411764705883</v>
      </c>
      <c r="AD182" s="1">
        <f>knicks_players_all_stats[[#This Row],[STL2]]/10</f>
        <v>81</v>
      </c>
      <c r="AE182" s="1">
        <v>810</v>
      </c>
      <c r="AF182" s="4">
        <f>knicks_players_all_stats[[#This Row],[STL]]/knicks_players_all_stats[[#This Row],[GP]]</f>
        <v>1.1911764705882353</v>
      </c>
      <c r="AG182">
        <v>220</v>
      </c>
      <c r="AH182" s="1">
        <f>knicks_players_all_stats[[#This Row],[BLK2]]/10</f>
        <v>22</v>
      </c>
      <c r="AI182" s="4">
        <f>knicks_players_all_stats[[#This Row],[BLK]]/knicks_players_all_stats[[#This Row],[GP]]</f>
        <v>0.3235294117647059</v>
      </c>
      <c r="AJ182">
        <v>1540</v>
      </c>
      <c r="AK182" s="4">
        <f>knicks_players_all_stats[[#This Row],[BLKPG]]+knicks_players_all_stats[[#This Row],[STLPG]]+knicks_players_all_stats[[#This Row],[REBPG]]</f>
        <v>7.7941176470588234</v>
      </c>
      <c r="AL182" s="1">
        <f>knicks_players_all_stats[[#This Row],[TOV2]]/10</f>
        <v>154</v>
      </c>
      <c r="AM182" s="4">
        <f>knicks_players_all_stats[[#This Row],[TOV]]/knicks_players_all_stats[[#This Row],[GP]]</f>
        <v>2.2647058823529411</v>
      </c>
      <c r="AN182" s="1">
        <v>213</v>
      </c>
      <c r="AO182" s="1">
        <f>knicks_players_all_stats[[#This Row],[PF]]/knicks_players_all_stats[[#This Row],[GP]]</f>
        <v>3.1323529411764706</v>
      </c>
      <c r="AP182" s="1">
        <v>1407</v>
      </c>
      <c r="AQ182" s="4">
        <f>knicks_players_all_stats[[#This Row],[PTS]]/knicks_players_all_stats[[#This Row],[GP]]</f>
        <v>20.691176470588236</v>
      </c>
    </row>
    <row r="183" spans="1:43" customFormat="1" x14ac:dyDescent="0.3">
      <c r="A183" s="1" t="s">
        <v>1530</v>
      </c>
      <c r="B183" s="1" t="s">
        <v>1281</v>
      </c>
      <c r="C183" s="1" t="str">
        <f>knicks_players_all_stats[[#This Row],[NAME]]&amp;" ("&amp;knicks_players_all_stats[[#This Row],[SEASON]]&amp;")"</f>
        <v>Willy Hernangomez (2016-17)</v>
      </c>
      <c r="D183" s="1">
        <f>knicks_players_all_stats[[#This Row],[PLAYER_AGE]]/10</f>
        <v>23</v>
      </c>
      <c r="E183">
        <v>230</v>
      </c>
      <c r="F183" s="1">
        <v>72</v>
      </c>
      <c r="G183" s="1">
        <v>13240</v>
      </c>
      <c r="H1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759</v>
      </c>
      <c r="I183" s="4">
        <f>knicks_players_all_stats[[#This Row],[VALORATION]]/knicks_players_all_stats[[#This Row],[GP]]</f>
        <v>10.541666666666666</v>
      </c>
      <c r="J183" s="1">
        <v>246</v>
      </c>
      <c r="K183" s="1">
        <v>465</v>
      </c>
      <c r="L183" s="2">
        <f>knicks_players_all_stats[[#This Row],[FGM]]/knicks_players_all_stats[[#This Row],[FGA]]</f>
        <v>0.52903225806451615</v>
      </c>
      <c r="M183" s="16">
        <f>knicks_players_all_stats[[#This Row],[FG3M2]]/10</f>
        <v>4</v>
      </c>
      <c r="N183" s="1">
        <v>40</v>
      </c>
      <c r="O183" s="1">
        <f>knicks_players_all_stats[[#This Row],[FG3A2]]/10</f>
        <v>15</v>
      </c>
      <c r="P183" s="1">
        <v>150</v>
      </c>
      <c r="Q183" s="2">
        <f>knicks_players_all_stats[[#This Row],[FG3M2]]/knicks_players_all_stats[[#This Row],[FG3A2]]</f>
        <v>0.26666666666666666</v>
      </c>
      <c r="R183" s="1">
        <v>91</v>
      </c>
      <c r="S183" s="1">
        <v>125</v>
      </c>
      <c r="T183" s="3">
        <f>knicks_players_all_stats[[#This Row],[FTM]]/knicks_players_all_stats[[#This Row],[FTA]]</f>
        <v>0.72799999999999998</v>
      </c>
      <c r="U183" s="1">
        <f>knicks_players_all_stats[[#This Row],[OREB22]]/10</f>
        <v>170</v>
      </c>
      <c r="V183" s="1">
        <f>knicks_players_all_stats[[#This Row],[DREB33]]/10</f>
        <v>332</v>
      </c>
      <c r="W183" s="1">
        <f>knicks_players_all_stats[[#This Row],[REB44]]/10</f>
        <v>502</v>
      </c>
      <c r="X183">
        <v>1700</v>
      </c>
      <c r="Y183">
        <v>3320</v>
      </c>
      <c r="Z183">
        <v>5020</v>
      </c>
      <c r="AA183" s="14">
        <f>knicks_players_all_stats[[#This Row],[REB]]/knicks_players_all_stats[[#This Row],[GP]]</f>
        <v>6.9722222222222223</v>
      </c>
      <c r="AB183" s="1">
        <v>96</v>
      </c>
      <c r="AC183" s="4">
        <f>knicks_players_all_stats[[#This Row],[AST]]/knicks_players_all_stats[[#This Row],[GP]]</f>
        <v>1.3333333333333333</v>
      </c>
      <c r="AD183" s="1">
        <f>knicks_players_all_stats[[#This Row],[STL2]]/10</f>
        <v>41</v>
      </c>
      <c r="AE183" s="1">
        <v>410</v>
      </c>
      <c r="AF183" s="4">
        <f>knicks_players_all_stats[[#This Row],[STL]]/knicks_players_all_stats[[#This Row],[GP]]</f>
        <v>0.56944444444444442</v>
      </c>
      <c r="AG183">
        <v>360</v>
      </c>
      <c r="AH183" s="1">
        <f>knicks_players_all_stats[[#This Row],[BLK2]]/10</f>
        <v>36</v>
      </c>
      <c r="AI183" s="4">
        <f>knicks_players_all_stats[[#This Row],[BLK]]/knicks_players_all_stats[[#This Row],[GP]]</f>
        <v>0.5</v>
      </c>
      <c r="AJ183">
        <v>1000</v>
      </c>
      <c r="AK183" s="4">
        <f>knicks_players_all_stats[[#This Row],[BLKPG]]+knicks_players_all_stats[[#This Row],[STLPG]]+knicks_players_all_stats[[#This Row],[REBPG]]</f>
        <v>8.0416666666666661</v>
      </c>
      <c r="AL183" s="1">
        <f>knicks_players_all_stats[[#This Row],[TOV2]]/10</f>
        <v>100</v>
      </c>
      <c r="AM183" s="4">
        <f>knicks_players_all_stats[[#This Row],[TOV]]/knicks_players_all_stats[[#This Row],[GP]]</f>
        <v>1.3888888888888888</v>
      </c>
      <c r="AN183" s="1">
        <v>150</v>
      </c>
      <c r="AO183" s="1">
        <f>knicks_players_all_stats[[#This Row],[PF]]/knicks_players_all_stats[[#This Row],[GP]]</f>
        <v>2.0833333333333335</v>
      </c>
      <c r="AP183" s="1">
        <v>587</v>
      </c>
      <c r="AQ183" s="4">
        <f>knicks_players_all_stats[[#This Row],[PTS]]/knicks_players_all_stats[[#This Row],[GP]]</f>
        <v>8.1527777777777786</v>
      </c>
    </row>
    <row r="184" spans="1:43" customFormat="1" x14ac:dyDescent="0.3">
      <c r="A184" s="1" t="s">
        <v>1455</v>
      </c>
      <c r="B184" s="1" t="s">
        <v>1327</v>
      </c>
      <c r="C184" s="1" t="str">
        <f>knicks_players_all_stats[[#This Row],[NAME]]&amp;" ("&amp;knicks_players_all_stats[[#This Row],[SEASON]]&amp;")"</f>
        <v>Evan Fournier (2022-23)</v>
      </c>
      <c r="D184" s="1">
        <f>knicks_players_all_stats[[#This Row],[PLAYER_AGE]]/10</f>
        <v>30</v>
      </c>
      <c r="E184">
        <v>300</v>
      </c>
      <c r="F184" s="1">
        <v>27</v>
      </c>
      <c r="G184" s="1">
        <v>4590</v>
      </c>
      <c r="H1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88</v>
      </c>
      <c r="I184" s="4">
        <f>knicks_players_all_stats[[#This Row],[VALORATION]]/knicks_players_all_stats[[#This Row],[GP]]</f>
        <v>3.2592592592592591</v>
      </c>
      <c r="J184" s="1">
        <v>56</v>
      </c>
      <c r="K184" s="1">
        <v>166</v>
      </c>
      <c r="L184" s="2">
        <f>knicks_players_all_stats[[#This Row],[FGM]]/knicks_players_all_stats[[#This Row],[FGA]]</f>
        <v>0.33734939759036142</v>
      </c>
      <c r="M184" s="16">
        <f>knicks_players_all_stats[[#This Row],[FG3M2]]/10</f>
        <v>35</v>
      </c>
      <c r="N184" s="1">
        <v>350</v>
      </c>
      <c r="O184" s="1">
        <f>knicks_players_all_stats[[#This Row],[FG3A2]]/10</f>
        <v>114</v>
      </c>
      <c r="P184" s="1">
        <v>1140</v>
      </c>
      <c r="Q184" s="2">
        <f>knicks_players_all_stats[[#This Row],[FG3M2]]/knicks_players_all_stats[[#This Row],[FG3A2]]</f>
        <v>0.30701754385964913</v>
      </c>
      <c r="R184" s="1">
        <v>18</v>
      </c>
      <c r="S184" s="1">
        <v>21</v>
      </c>
      <c r="T184" s="3">
        <f>knicks_players_all_stats[[#This Row],[FTM]]/knicks_players_all_stats[[#This Row],[FTA]]</f>
        <v>0.8571428571428571</v>
      </c>
      <c r="U184" s="1">
        <f>knicks_players_all_stats[[#This Row],[OREB22]]/10</f>
        <v>4</v>
      </c>
      <c r="V184" s="1">
        <f>knicks_players_all_stats[[#This Row],[DREB33]]/10</f>
        <v>45</v>
      </c>
      <c r="W184" s="1">
        <f>knicks_players_all_stats[[#This Row],[REB44]]/10</f>
        <v>49</v>
      </c>
      <c r="X184">
        <v>40</v>
      </c>
      <c r="Y184">
        <v>450</v>
      </c>
      <c r="Z184">
        <v>490</v>
      </c>
      <c r="AA184" s="14">
        <f>knicks_players_all_stats[[#This Row],[REB]]/knicks_players_all_stats[[#This Row],[GP]]</f>
        <v>1.8148148148148149</v>
      </c>
      <c r="AB184" s="1">
        <v>36</v>
      </c>
      <c r="AC184" s="4">
        <f>knicks_players_all_stats[[#This Row],[AST]]/knicks_players_all_stats[[#This Row],[GP]]</f>
        <v>1.3333333333333333</v>
      </c>
      <c r="AD184" s="1">
        <f>knicks_players_all_stats[[#This Row],[STL2]]/10</f>
        <v>16</v>
      </c>
      <c r="AE184" s="1">
        <v>160</v>
      </c>
      <c r="AF184" s="4">
        <f>knicks_players_all_stats[[#This Row],[STL]]/knicks_players_all_stats[[#This Row],[GP]]</f>
        <v>0.59259259259259256</v>
      </c>
      <c r="AG184">
        <v>30</v>
      </c>
      <c r="AH184" s="1">
        <f>knicks_players_all_stats[[#This Row],[BLK2]]/10</f>
        <v>3</v>
      </c>
      <c r="AI184" s="4">
        <f>knicks_players_all_stats[[#This Row],[BLK]]/knicks_players_all_stats[[#This Row],[GP]]</f>
        <v>0.1111111111111111</v>
      </c>
      <c r="AJ184">
        <v>220</v>
      </c>
      <c r="AK184" s="4">
        <f>knicks_players_all_stats[[#This Row],[BLKPG]]+knicks_players_all_stats[[#This Row],[STLPG]]+knicks_players_all_stats[[#This Row],[REBPG]]</f>
        <v>2.5185185185185186</v>
      </c>
      <c r="AL184" s="1">
        <f>knicks_players_all_stats[[#This Row],[TOV2]]/10</f>
        <v>22</v>
      </c>
      <c r="AM184" s="4">
        <f>knicks_players_all_stats[[#This Row],[TOV]]/knicks_players_all_stats[[#This Row],[GP]]</f>
        <v>0.81481481481481477</v>
      </c>
      <c r="AN184" s="1">
        <v>46</v>
      </c>
      <c r="AO184" s="1">
        <f>knicks_players_all_stats[[#This Row],[PF]]/knicks_players_all_stats[[#This Row],[GP]]</f>
        <v>1.7037037037037037</v>
      </c>
      <c r="AP184" s="1">
        <v>165</v>
      </c>
      <c r="AQ184" s="4">
        <f>knicks_players_all_stats[[#This Row],[PTS]]/knicks_players_all_stats[[#This Row],[GP]]</f>
        <v>6.1111111111111107</v>
      </c>
    </row>
    <row r="185" spans="1:43" customFormat="1" x14ac:dyDescent="0.3">
      <c r="A185" s="1" t="s">
        <v>1306</v>
      </c>
      <c r="B185" s="1" t="s">
        <v>1279</v>
      </c>
      <c r="C185" s="1" t="str">
        <f>knicks_players_all_stats[[#This Row],[NAME]]&amp;" ("&amp;knicks_players_all_stats[[#This Row],[SEASON]]&amp;")"</f>
        <v>Kristaps Porzingis (2015-16)</v>
      </c>
      <c r="D185" s="1">
        <f>knicks_players_all_stats[[#This Row],[PLAYER_AGE]]/10</f>
        <v>20</v>
      </c>
      <c r="E185">
        <v>200</v>
      </c>
      <c r="F185" s="1">
        <v>72</v>
      </c>
      <c r="G185" s="1">
        <v>20470</v>
      </c>
      <c r="H1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957</v>
      </c>
      <c r="I185" s="4">
        <f>knicks_players_all_stats[[#This Row],[VALORATION]]/knicks_players_all_stats[[#This Row],[GP]]</f>
        <v>13.291666666666666</v>
      </c>
      <c r="J185" s="1">
        <v>373</v>
      </c>
      <c r="K185" s="1">
        <v>886</v>
      </c>
      <c r="L185" s="2">
        <f>knicks_players_all_stats[[#This Row],[FGM]]/knicks_players_all_stats[[#This Row],[FGA]]</f>
        <v>0.42099322799097066</v>
      </c>
      <c r="M185" s="16">
        <f>knicks_players_all_stats[[#This Row],[FG3M2]]/10</f>
        <v>81</v>
      </c>
      <c r="N185" s="1">
        <v>810</v>
      </c>
      <c r="O185" s="1">
        <f>knicks_players_all_stats[[#This Row],[FG3A2]]/10</f>
        <v>243</v>
      </c>
      <c r="P185" s="1">
        <v>2430</v>
      </c>
      <c r="Q185" s="2">
        <f>knicks_players_all_stats[[#This Row],[FG3M2]]/knicks_players_all_stats[[#This Row],[FG3A2]]</f>
        <v>0.33333333333333331</v>
      </c>
      <c r="R185" s="1">
        <v>201</v>
      </c>
      <c r="S185" s="1">
        <v>240</v>
      </c>
      <c r="T185" s="3">
        <f>knicks_players_all_stats[[#This Row],[FTM]]/knicks_players_all_stats[[#This Row],[FTA]]</f>
        <v>0.83750000000000002</v>
      </c>
      <c r="U185" s="1">
        <f>knicks_players_all_stats[[#This Row],[OREB22]]/10</f>
        <v>132</v>
      </c>
      <c r="V185" s="1">
        <f>knicks_players_all_stats[[#This Row],[DREB33]]/10</f>
        <v>394</v>
      </c>
      <c r="W185" s="1">
        <f>knicks_players_all_stats[[#This Row],[REB44]]/10</f>
        <v>526</v>
      </c>
      <c r="X185">
        <v>1320</v>
      </c>
      <c r="Y185">
        <v>3940</v>
      </c>
      <c r="Z185">
        <v>5260</v>
      </c>
      <c r="AA185" s="14">
        <f>knicks_players_all_stats[[#This Row],[REB]]/knicks_players_all_stats[[#This Row],[GP]]</f>
        <v>7.3055555555555554</v>
      </c>
      <c r="AB185" s="1">
        <v>94</v>
      </c>
      <c r="AC185" s="4">
        <f>knicks_players_all_stats[[#This Row],[AST]]/knicks_players_all_stats[[#This Row],[GP]]</f>
        <v>1.3055555555555556</v>
      </c>
      <c r="AD185" s="1">
        <f>knicks_players_all_stats[[#This Row],[STL2]]/10</f>
        <v>53</v>
      </c>
      <c r="AE185" s="1">
        <v>530</v>
      </c>
      <c r="AF185" s="4">
        <f>knicks_players_all_stats[[#This Row],[STL]]/knicks_players_all_stats[[#This Row],[GP]]</f>
        <v>0.73611111111111116</v>
      </c>
      <c r="AG185">
        <v>1340</v>
      </c>
      <c r="AH185" s="1">
        <f>knicks_players_all_stats[[#This Row],[BLK2]]/10</f>
        <v>134</v>
      </c>
      <c r="AI185" s="4">
        <f>knicks_players_all_stats[[#This Row],[BLK]]/knicks_players_all_stats[[#This Row],[GP]]</f>
        <v>1.8611111111111112</v>
      </c>
      <c r="AJ185">
        <v>1210</v>
      </c>
      <c r="AK185" s="4">
        <f>knicks_players_all_stats[[#This Row],[BLKPG]]+knicks_players_all_stats[[#This Row],[STLPG]]+knicks_players_all_stats[[#This Row],[REBPG]]</f>
        <v>9.9027777777777786</v>
      </c>
      <c r="AL185" s="1">
        <f>knicks_players_all_stats[[#This Row],[TOV2]]/10</f>
        <v>121</v>
      </c>
      <c r="AM185" s="4">
        <f>knicks_players_all_stats[[#This Row],[TOV]]/knicks_players_all_stats[[#This Row],[GP]]</f>
        <v>1.6805555555555556</v>
      </c>
      <c r="AN185" s="1">
        <v>205</v>
      </c>
      <c r="AO185" s="1">
        <f>knicks_players_all_stats[[#This Row],[PF]]/knicks_players_all_stats[[#This Row],[GP]]</f>
        <v>2.8472222222222223</v>
      </c>
      <c r="AP185" s="1">
        <v>1028</v>
      </c>
      <c r="AQ185" s="4">
        <f>knicks_players_all_stats[[#This Row],[PTS]]/knicks_players_all_stats[[#This Row],[GP]]</f>
        <v>14.277777777777779</v>
      </c>
    </row>
    <row r="186" spans="1:43" customFormat="1" x14ac:dyDescent="0.3">
      <c r="A186" s="1" t="s">
        <v>1606</v>
      </c>
      <c r="B186" s="1" t="s">
        <v>1259</v>
      </c>
      <c r="C186" s="1" t="str">
        <f>knicks_players_all_stats[[#This Row],[NAME]]&amp;" ("&amp;knicks_players_all_stats[[#This Row],[SEASON]]&amp;")"</f>
        <v>Luke Kornet (2017-18)</v>
      </c>
      <c r="D186" s="1">
        <f>knicks_players_all_stats[[#This Row],[PLAYER_AGE]]/10</f>
        <v>22</v>
      </c>
      <c r="E186">
        <v>220</v>
      </c>
      <c r="F186" s="1">
        <v>20</v>
      </c>
      <c r="G186" s="1">
        <v>3260</v>
      </c>
      <c r="H1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127</v>
      </c>
      <c r="I186" s="4">
        <f>knicks_players_all_stats[[#This Row],[VALORATION]]/knicks_players_all_stats[[#This Row],[GP]]</f>
        <v>6.35</v>
      </c>
      <c r="J186" s="1">
        <v>49</v>
      </c>
      <c r="K186" s="1">
        <v>125</v>
      </c>
      <c r="L186" s="2">
        <f>knicks_players_all_stats[[#This Row],[FGM]]/knicks_players_all_stats[[#This Row],[FGA]]</f>
        <v>0.39200000000000002</v>
      </c>
      <c r="M186" s="16">
        <f>knicks_players_all_stats[[#This Row],[FG3M2]]/10</f>
        <v>28</v>
      </c>
      <c r="N186" s="1">
        <v>280</v>
      </c>
      <c r="O186" s="1">
        <f>knicks_players_all_stats[[#This Row],[FG3A2]]/10</f>
        <v>79</v>
      </c>
      <c r="P186" s="1">
        <v>790</v>
      </c>
      <c r="Q186" s="2">
        <f>knicks_players_all_stats[[#This Row],[FG3M2]]/knicks_players_all_stats[[#This Row],[FG3A2]]</f>
        <v>0.35443037974683544</v>
      </c>
      <c r="R186" s="1">
        <v>8</v>
      </c>
      <c r="S186" s="1">
        <v>11</v>
      </c>
      <c r="T186" s="3">
        <f>knicks_players_all_stats[[#This Row],[FTM]]/knicks_players_all_stats[[#This Row],[FTA]]</f>
        <v>0.72727272727272729</v>
      </c>
      <c r="U186" s="1">
        <f>knicks_players_all_stats[[#This Row],[OREB22]]/10</f>
        <v>11</v>
      </c>
      <c r="V186" s="1">
        <f>knicks_players_all_stats[[#This Row],[DREB33]]/10</f>
        <v>53</v>
      </c>
      <c r="W186" s="1">
        <f>knicks_players_all_stats[[#This Row],[REB44]]/10</f>
        <v>64</v>
      </c>
      <c r="X186">
        <v>110</v>
      </c>
      <c r="Y186">
        <v>530</v>
      </c>
      <c r="Z186">
        <v>640</v>
      </c>
      <c r="AA186" s="14">
        <f>knicks_players_all_stats[[#This Row],[REB]]/knicks_players_all_stats[[#This Row],[GP]]</f>
        <v>3.2</v>
      </c>
      <c r="AB186" s="1">
        <v>26</v>
      </c>
      <c r="AC186" s="4">
        <f>knicks_players_all_stats[[#This Row],[AST]]/knicks_players_all_stats[[#This Row],[GP]]</f>
        <v>1.3</v>
      </c>
      <c r="AD186" s="1">
        <f>knicks_players_all_stats[[#This Row],[STL2]]/10</f>
        <v>6</v>
      </c>
      <c r="AE186" s="1">
        <v>60</v>
      </c>
      <c r="AF186" s="4">
        <f>knicks_players_all_stats[[#This Row],[STL]]/knicks_players_all_stats[[#This Row],[GP]]</f>
        <v>0.3</v>
      </c>
      <c r="AG186">
        <v>160</v>
      </c>
      <c r="AH186" s="1">
        <f>knicks_players_all_stats[[#This Row],[BLK2]]/10</f>
        <v>16</v>
      </c>
      <c r="AI186" s="4">
        <f>knicks_players_all_stats[[#This Row],[BLK]]/knicks_players_all_stats[[#This Row],[GP]]</f>
        <v>0.8</v>
      </c>
      <c r="AJ186">
        <v>120</v>
      </c>
      <c r="AK186" s="4">
        <f>knicks_players_all_stats[[#This Row],[BLKPG]]+knicks_players_all_stats[[#This Row],[STLPG]]+knicks_players_all_stats[[#This Row],[REBPG]]</f>
        <v>4.3000000000000007</v>
      </c>
      <c r="AL186" s="1">
        <f>knicks_players_all_stats[[#This Row],[TOV2]]/10</f>
        <v>12</v>
      </c>
      <c r="AM186" s="4">
        <f>knicks_players_all_stats[[#This Row],[TOV]]/knicks_players_all_stats[[#This Row],[GP]]</f>
        <v>0.6</v>
      </c>
      <c r="AN186" s="1">
        <v>28</v>
      </c>
      <c r="AO186" s="1">
        <f>knicks_players_all_stats[[#This Row],[PF]]/knicks_players_all_stats[[#This Row],[GP]]</f>
        <v>1.4</v>
      </c>
      <c r="AP186" s="1">
        <v>134</v>
      </c>
      <c r="AQ186" s="4">
        <f>knicks_players_all_stats[[#This Row],[PTS]]/knicks_players_all_stats[[#This Row],[GP]]</f>
        <v>6.7</v>
      </c>
    </row>
    <row r="187" spans="1:43" customFormat="1" x14ac:dyDescent="0.3">
      <c r="A187" s="1" t="s">
        <v>1792</v>
      </c>
      <c r="B187" s="1" t="s">
        <v>1304</v>
      </c>
      <c r="C187" s="1" t="str">
        <f>knicks_players_all_stats[[#This Row],[NAME]]&amp;" ("&amp;knicks_players_all_stats[[#This Row],[SEASON]]&amp;")"</f>
        <v>Tim Thomas (2008-09)</v>
      </c>
      <c r="D187" s="1">
        <f>knicks_players_all_stats[[#This Row],[PLAYER_AGE]]/10</f>
        <v>32</v>
      </c>
      <c r="E187">
        <v>320</v>
      </c>
      <c r="F187" s="1">
        <v>36</v>
      </c>
      <c r="G187" s="1">
        <v>7730</v>
      </c>
      <c r="H1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247</v>
      </c>
      <c r="I187" s="4">
        <f>knicks_players_all_stats[[#This Row],[VALORATION]]/knicks_players_all_stats[[#This Row],[GP]]</f>
        <v>6.8611111111111107</v>
      </c>
      <c r="J187" s="1">
        <v>119</v>
      </c>
      <c r="K187" s="1">
        <v>258</v>
      </c>
      <c r="L187" s="1">
        <v>461</v>
      </c>
      <c r="M187" s="4">
        <f>knicks_players_all_stats[[#This Row],[FG3M2]]/10</f>
        <v>53</v>
      </c>
      <c r="N187" s="1">
        <v>530</v>
      </c>
      <c r="O187" s="1">
        <f>knicks_players_all_stats[[#This Row],[FG3A2]]/10</f>
        <v>126</v>
      </c>
      <c r="P187" s="1">
        <v>1260</v>
      </c>
      <c r="Q187" s="2">
        <f>knicks_players_all_stats[[#This Row],[FG3M2]]/knicks_players_all_stats[[#This Row],[FG3A2]]</f>
        <v>0.42063492063492064</v>
      </c>
      <c r="R187" s="1">
        <v>54</v>
      </c>
      <c r="S187" s="1">
        <v>67</v>
      </c>
      <c r="T187" s="3">
        <f>knicks_players_all_stats[[#This Row],[FTM]]/knicks_players_all_stats[[#This Row],[FTA]]</f>
        <v>0.80597014925373134</v>
      </c>
      <c r="U187" s="1">
        <f>knicks_players_all_stats[[#This Row],[OREB22]]/10</f>
        <v>20</v>
      </c>
      <c r="V187" s="1">
        <f>knicks_players_all_stats[[#This Row],[DREB33]]/10</f>
        <v>93</v>
      </c>
      <c r="W187" s="1">
        <f>knicks_players_all_stats[[#This Row],[REB44]]/10</f>
        <v>113</v>
      </c>
      <c r="X187">
        <v>200</v>
      </c>
      <c r="Y187">
        <v>930</v>
      </c>
      <c r="Z187">
        <v>1130</v>
      </c>
      <c r="AA187" s="14">
        <f>knicks_players_all_stats[[#This Row],[REB]]/knicks_players_all_stats[[#This Row],[GP]]</f>
        <v>3.1388888888888888</v>
      </c>
      <c r="AB187" s="1">
        <v>46</v>
      </c>
      <c r="AC187" s="4">
        <f>knicks_players_all_stats[[#This Row],[AST]]/knicks_players_all_stats[[#This Row],[GP]]</f>
        <v>1.2777777777777777</v>
      </c>
      <c r="AD187" s="1">
        <f>knicks_players_all_stats[[#This Row],[STL2]]/10</f>
        <v>22</v>
      </c>
      <c r="AE187" s="1">
        <v>220</v>
      </c>
      <c r="AF187" s="4">
        <f>knicks_players_all_stats[[#This Row],[STL]]/knicks_players_all_stats[[#This Row],[GP]]</f>
        <v>0.61111111111111116</v>
      </c>
      <c r="AG187">
        <v>100</v>
      </c>
      <c r="AH187" s="1">
        <f>knicks_players_all_stats[[#This Row],[BLK2]]/10</f>
        <v>10</v>
      </c>
      <c r="AI187" s="4">
        <f>knicks_players_all_stats[[#This Row],[BLK]]/knicks_players_all_stats[[#This Row],[GP]]</f>
        <v>0.27777777777777779</v>
      </c>
      <c r="AJ187">
        <v>460</v>
      </c>
      <c r="AK187" s="4">
        <f>knicks_players_all_stats[[#This Row],[BLKPG]]+knicks_players_all_stats[[#This Row],[STLPG]]+knicks_players_all_stats[[#This Row],[REBPG]]</f>
        <v>4.0277777777777777</v>
      </c>
      <c r="AL187" s="1">
        <f>knicks_players_all_stats[[#This Row],[TOV2]]/10</f>
        <v>46</v>
      </c>
      <c r="AM187" s="4">
        <f>knicks_players_all_stats[[#This Row],[TOV]]/knicks_players_all_stats[[#This Row],[GP]]</f>
        <v>1.2777777777777777</v>
      </c>
      <c r="AN187" s="1">
        <v>91</v>
      </c>
      <c r="AO187" s="1">
        <f>knicks_players_all_stats[[#This Row],[PF]]/knicks_players_all_stats[[#This Row],[GP]]</f>
        <v>2.5277777777777777</v>
      </c>
      <c r="AP187" s="1">
        <v>345</v>
      </c>
      <c r="AQ187" s="4">
        <f>knicks_players_all_stats[[#This Row],[PTS]]/knicks_players_all_stats[[#This Row],[GP]]</f>
        <v>9.5833333333333339</v>
      </c>
    </row>
    <row r="188" spans="1:43" customFormat="1" x14ac:dyDescent="0.3">
      <c r="A188" s="1" t="s">
        <v>1368</v>
      </c>
      <c r="B188" s="1" t="s">
        <v>1300</v>
      </c>
      <c r="C188" s="1" t="str">
        <f>knicks_players_all_stats[[#This Row],[NAME]]&amp;" ("&amp;knicks_players_all_stats[[#This Row],[SEASON]]&amp;")"</f>
        <v>Trevor Ariza (2005-06)</v>
      </c>
      <c r="D188" s="1">
        <f>knicks_players_all_stats[[#This Row],[PLAYER_AGE]]/10</f>
        <v>20</v>
      </c>
      <c r="E188">
        <v>200</v>
      </c>
      <c r="F188" s="1">
        <v>36</v>
      </c>
      <c r="G188" s="1">
        <v>7090</v>
      </c>
      <c r="H1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156</v>
      </c>
      <c r="I188" s="4">
        <f>knicks_players_all_stats[[#This Row],[VALORATION]]/knicks_players_all_stats[[#This Row],[GP]]</f>
        <v>4.333333333333333</v>
      </c>
      <c r="J188" s="1">
        <v>61</v>
      </c>
      <c r="K188" s="1">
        <v>146</v>
      </c>
      <c r="L188" s="2">
        <f>knicks_players_all_stats[[#This Row],[FGM]]/knicks_players_all_stats[[#This Row],[FGA]]</f>
        <v>0.4178082191780822</v>
      </c>
      <c r="M188" s="16">
        <f>knicks_players_all_stats[[#This Row],[FG3M2]]/10</f>
        <v>1</v>
      </c>
      <c r="N188" s="1">
        <v>10</v>
      </c>
      <c r="O188" s="1">
        <f>knicks_players_all_stats[[#This Row],[FG3A2]]/10</f>
        <v>3</v>
      </c>
      <c r="P188" s="1">
        <v>30</v>
      </c>
      <c r="Q188" s="2">
        <f>knicks_players_all_stats[[#This Row],[FG3M2]]/knicks_players_all_stats[[#This Row],[FG3A2]]</f>
        <v>0.33333333333333331</v>
      </c>
      <c r="R188" s="1">
        <v>42</v>
      </c>
      <c r="S188" s="1">
        <v>77</v>
      </c>
      <c r="T188" s="3">
        <f>knicks_players_all_stats[[#This Row],[FTM]]/knicks_players_all_stats[[#This Row],[FTA]]</f>
        <v>0.54545454545454541</v>
      </c>
      <c r="U188" s="1">
        <f>knicks_players_all_stats[[#This Row],[OREB22]]/10</f>
        <v>49</v>
      </c>
      <c r="V188" s="1">
        <f>knicks_players_all_stats[[#This Row],[DREB33]]/10</f>
        <v>88</v>
      </c>
      <c r="W188" s="1">
        <f>knicks_players_all_stats[[#This Row],[REB44]]/10</f>
        <v>137</v>
      </c>
      <c r="X188">
        <v>490</v>
      </c>
      <c r="Y188">
        <v>880</v>
      </c>
      <c r="Z188">
        <v>1370</v>
      </c>
      <c r="AA188" s="14">
        <f>knicks_players_all_stats[[#This Row],[REB]]/knicks_players_all_stats[[#This Row],[GP]]</f>
        <v>3.8055555555555554</v>
      </c>
      <c r="AB188" s="1">
        <v>46</v>
      </c>
      <c r="AC188" s="4">
        <f>knicks_players_all_stats[[#This Row],[AST]]/knicks_players_all_stats[[#This Row],[GP]]</f>
        <v>1.2777777777777777</v>
      </c>
      <c r="AD188" s="1">
        <f>knicks_players_all_stats[[#This Row],[STL2]]/10</f>
        <v>43</v>
      </c>
      <c r="AE188" s="1">
        <v>430</v>
      </c>
      <c r="AF188" s="4">
        <f>knicks_players_all_stats[[#This Row],[STL]]/knicks_players_all_stats[[#This Row],[GP]]</f>
        <v>1.1944444444444444</v>
      </c>
      <c r="AG188">
        <v>90</v>
      </c>
      <c r="AH188" s="1">
        <f>knicks_players_all_stats[[#This Row],[BLK2]]/10</f>
        <v>9</v>
      </c>
      <c r="AI188" s="4">
        <f>knicks_players_all_stats[[#This Row],[BLK]]/knicks_players_all_stats[[#This Row],[GP]]</f>
        <v>0.25</v>
      </c>
      <c r="AJ188">
        <v>460</v>
      </c>
      <c r="AK188" s="4">
        <f>knicks_players_all_stats[[#This Row],[BLKPG]]+knicks_players_all_stats[[#This Row],[STLPG]]+knicks_players_all_stats[[#This Row],[REBPG]]</f>
        <v>5.25</v>
      </c>
      <c r="AL188" s="1">
        <f>knicks_players_all_stats[[#This Row],[TOV2]]/10</f>
        <v>46</v>
      </c>
      <c r="AM188" s="4">
        <f>knicks_players_all_stats[[#This Row],[TOV]]/knicks_players_all_stats[[#This Row],[GP]]</f>
        <v>1.2777777777777777</v>
      </c>
      <c r="AN188" s="1">
        <v>78</v>
      </c>
      <c r="AO188" s="1">
        <f>knicks_players_all_stats[[#This Row],[PF]]/knicks_players_all_stats[[#This Row],[GP]]</f>
        <v>2.1666666666666665</v>
      </c>
      <c r="AP188" s="1">
        <v>165</v>
      </c>
      <c r="AQ188" s="4">
        <f>knicks_players_all_stats[[#This Row],[PTS]]/knicks_players_all_stats[[#This Row],[GP]]</f>
        <v>4.583333333333333</v>
      </c>
    </row>
    <row r="189" spans="1:43" customFormat="1" x14ac:dyDescent="0.3">
      <c r="A189" s="1" t="s">
        <v>1499</v>
      </c>
      <c r="B189" s="1" t="s">
        <v>1281</v>
      </c>
      <c r="C189" s="1" t="str">
        <f>knicks_players_all_stats[[#This Row],[NAME]]&amp;" ("&amp;knicks_players_all_stats[[#This Row],[SEASON]]&amp;")"</f>
        <v>Justin Holiday (2016-17)</v>
      </c>
      <c r="D189" s="1">
        <f>knicks_players_all_stats[[#This Row],[PLAYER_AGE]]/10</f>
        <v>28</v>
      </c>
      <c r="E189">
        <v>280</v>
      </c>
      <c r="F189" s="1">
        <v>82</v>
      </c>
      <c r="G189" s="1">
        <v>16390</v>
      </c>
      <c r="H1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558</v>
      </c>
      <c r="I189" s="4">
        <f>knicks_players_all_stats[[#This Row],[VALORATION]]/knicks_players_all_stats[[#This Row],[GP]]</f>
        <v>6.8048780487804876</v>
      </c>
      <c r="J189" s="1">
        <v>233</v>
      </c>
      <c r="K189" s="1">
        <v>538</v>
      </c>
      <c r="L189" s="2">
        <f>knicks_players_all_stats[[#This Row],[FGM]]/knicks_players_all_stats[[#This Row],[FGA]]</f>
        <v>0.43308550185873607</v>
      </c>
      <c r="M189" s="16">
        <f>knicks_players_all_stats[[#This Row],[FG3M2]]/10</f>
        <v>97</v>
      </c>
      <c r="N189" s="1">
        <v>970</v>
      </c>
      <c r="O189" s="1">
        <f>knicks_players_all_stats[[#This Row],[FG3A2]]/10</f>
        <v>273</v>
      </c>
      <c r="P189" s="1">
        <v>2730</v>
      </c>
      <c r="Q189" s="2">
        <f>knicks_players_all_stats[[#This Row],[FG3M2]]/knicks_players_all_stats[[#This Row],[FG3A2]]</f>
        <v>0.35531135531135533</v>
      </c>
      <c r="R189" s="1">
        <v>66</v>
      </c>
      <c r="S189" s="1">
        <v>80</v>
      </c>
      <c r="T189" s="3">
        <f>knicks_players_all_stats[[#This Row],[FTM]]/knicks_players_all_stats[[#This Row],[FTA]]</f>
        <v>0.82499999999999996</v>
      </c>
      <c r="U189" s="1">
        <f>knicks_players_all_stats[[#This Row],[OREB22]]/10</f>
        <v>27</v>
      </c>
      <c r="V189" s="1">
        <f>knicks_players_all_stats[[#This Row],[DREB33]]/10</f>
        <v>198</v>
      </c>
      <c r="W189" s="1">
        <f>knicks_players_all_stats[[#This Row],[REB44]]/10</f>
        <v>225</v>
      </c>
      <c r="X189">
        <v>270</v>
      </c>
      <c r="Y189">
        <v>1980</v>
      </c>
      <c r="Z189">
        <v>2250</v>
      </c>
      <c r="AA189" s="14">
        <f>knicks_players_all_stats[[#This Row],[REB]]/knicks_players_all_stats[[#This Row],[GP]]</f>
        <v>2.7439024390243905</v>
      </c>
      <c r="AB189" s="1">
        <v>102</v>
      </c>
      <c r="AC189" s="4">
        <f>knicks_players_all_stats[[#This Row],[AST]]/knicks_players_all_stats[[#This Row],[GP]]</f>
        <v>1.2439024390243902</v>
      </c>
      <c r="AD189" s="1">
        <f>knicks_players_all_stats[[#This Row],[STL2]]/10</f>
        <v>65</v>
      </c>
      <c r="AE189" s="1">
        <v>650</v>
      </c>
      <c r="AF189" s="4">
        <f>knicks_players_all_stats[[#This Row],[STL]]/knicks_players_all_stats[[#This Row],[GP]]</f>
        <v>0.79268292682926833</v>
      </c>
      <c r="AG189">
        <v>310</v>
      </c>
      <c r="AH189" s="1">
        <f>knicks_players_all_stats[[#This Row],[BLK2]]/10</f>
        <v>31</v>
      </c>
      <c r="AI189" s="4">
        <f>knicks_players_all_stats[[#This Row],[BLK]]/knicks_players_all_stats[[#This Row],[GP]]</f>
        <v>0.37804878048780488</v>
      </c>
      <c r="AJ189">
        <v>660</v>
      </c>
      <c r="AK189" s="4">
        <f>knicks_players_all_stats[[#This Row],[BLKPG]]+knicks_players_all_stats[[#This Row],[STLPG]]+knicks_players_all_stats[[#This Row],[REBPG]]</f>
        <v>3.9146341463414638</v>
      </c>
      <c r="AL189" s="1">
        <f>knicks_players_all_stats[[#This Row],[TOV2]]/10</f>
        <v>66</v>
      </c>
      <c r="AM189" s="4">
        <f>knicks_players_all_stats[[#This Row],[TOV]]/knicks_players_all_stats[[#This Row],[GP]]</f>
        <v>0.80487804878048785</v>
      </c>
      <c r="AN189" s="1">
        <v>109</v>
      </c>
      <c r="AO189" s="1">
        <f>knicks_players_all_stats[[#This Row],[PF]]/knicks_players_all_stats[[#This Row],[GP]]</f>
        <v>1.3292682926829269</v>
      </c>
      <c r="AP189" s="1">
        <v>629</v>
      </c>
      <c r="AQ189" s="4">
        <f>knicks_players_all_stats[[#This Row],[PTS]]/knicks_players_all_stats[[#This Row],[GP]]</f>
        <v>7.6707317073170733</v>
      </c>
    </row>
    <row r="190" spans="1:43" x14ac:dyDescent="0.3">
      <c r="A190" s="1" t="s">
        <v>1558</v>
      </c>
      <c r="B190" s="1" t="s">
        <v>1327</v>
      </c>
      <c r="C190" s="1" t="str">
        <f>knicks_players_all_stats[[#This Row],[NAME]]&amp;" ("&amp;knicks_players_all_stats[[#This Row],[SEASON]]&amp;")"</f>
        <v>Isaiah Hartenstein (2022-23)</v>
      </c>
      <c r="D190" s="1">
        <f>knicks_players_all_stats[[#This Row],[PLAYER_AGE]]/10</f>
        <v>25</v>
      </c>
      <c r="E190">
        <v>250</v>
      </c>
      <c r="F190" s="1">
        <v>82</v>
      </c>
      <c r="G190" s="1">
        <v>16280</v>
      </c>
      <c r="H1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707</v>
      </c>
      <c r="I190" s="4">
        <f>knicks_players_all_stats[[#This Row],[VALORATION]]/knicks_players_all_stats[[#This Row],[GP]]</f>
        <v>8.6219512195121943</v>
      </c>
      <c r="J190" s="1">
        <v>175</v>
      </c>
      <c r="K190" s="1">
        <v>327</v>
      </c>
      <c r="L190" s="2">
        <f>knicks_players_all_stats[[#This Row],[FGM]]/knicks_players_all_stats[[#This Row],[FGA]]</f>
        <v>0.53516819571865448</v>
      </c>
      <c r="M190" s="16">
        <f>knicks_players_all_stats[[#This Row],[FG3M2]]/10</f>
        <v>8</v>
      </c>
      <c r="N190" s="1">
        <v>80</v>
      </c>
      <c r="O190" s="1">
        <f>knicks_players_all_stats[[#This Row],[FG3A2]]/10</f>
        <v>37</v>
      </c>
      <c r="P190" s="1">
        <v>370</v>
      </c>
      <c r="Q190" s="2">
        <f>knicks_players_all_stats[[#This Row],[FG3M2]]/knicks_players_all_stats[[#This Row],[FG3A2]]</f>
        <v>0.21621621621621623</v>
      </c>
      <c r="R190" s="1">
        <v>48</v>
      </c>
      <c r="S190" s="1">
        <v>71</v>
      </c>
      <c r="T190" s="3">
        <f>knicks_players_all_stats[[#This Row],[FTM]]/knicks_players_all_stats[[#This Row],[FTA]]</f>
        <v>0.676056338028169</v>
      </c>
      <c r="U190" s="1">
        <f>knicks_players_all_stats[[#This Row],[OREB22]]/10</f>
        <v>209</v>
      </c>
      <c r="V190" s="1">
        <f>knicks_players_all_stats[[#This Row],[DREB33]]/10</f>
        <v>327</v>
      </c>
      <c r="W190" s="1">
        <f>knicks_players_all_stats[[#This Row],[REB44]]/10</f>
        <v>536</v>
      </c>
      <c r="X190">
        <v>2090</v>
      </c>
      <c r="Y190">
        <v>3270</v>
      </c>
      <c r="Z190">
        <v>5360</v>
      </c>
      <c r="AA190" s="14">
        <f>knicks_players_all_stats[[#This Row],[REB]]/knicks_players_all_stats[[#This Row],[GP]]</f>
        <v>6.5365853658536581</v>
      </c>
      <c r="AB190" s="1">
        <v>102</v>
      </c>
      <c r="AC190" s="4">
        <f>knicks_players_all_stats[[#This Row],[AST]]/knicks_players_all_stats[[#This Row],[GP]]</f>
        <v>1.2439024390243902</v>
      </c>
      <c r="AD190" s="1">
        <f>knicks_players_all_stats[[#This Row],[STL2]]/10</f>
        <v>53</v>
      </c>
      <c r="AE190" s="1">
        <v>530</v>
      </c>
      <c r="AF190" s="4">
        <f>knicks_players_all_stats[[#This Row],[STL]]/knicks_players_all_stats[[#This Row],[GP]]</f>
        <v>0.64634146341463417</v>
      </c>
      <c r="AG190">
        <v>640</v>
      </c>
      <c r="AH190" s="1">
        <f>knicks_players_all_stats[[#This Row],[BLK2]]/10</f>
        <v>64</v>
      </c>
      <c r="AI190" s="4">
        <f>knicks_players_all_stats[[#This Row],[BLK]]/knicks_players_all_stats[[#This Row],[GP]]</f>
        <v>0.78048780487804881</v>
      </c>
      <c r="AJ190">
        <v>660</v>
      </c>
      <c r="AK190" s="4">
        <f>knicks_players_all_stats[[#This Row],[BLKPG]]+knicks_players_all_stats[[#This Row],[STLPG]]+knicks_players_all_stats[[#This Row],[REBPG]]</f>
        <v>7.963414634146341</v>
      </c>
      <c r="AL190" s="1">
        <f>knicks_players_all_stats[[#This Row],[TOV2]]/10</f>
        <v>66</v>
      </c>
      <c r="AM190" s="4">
        <f>knicks_players_all_stats[[#This Row],[TOV]]/knicks_players_all_stats[[#This Row],[GP]]</f>
        <v>0.80487804878048785</v>
      </c>
      <c r="AN190" s="1">
        <v>213</v>
      </c>
      <c r="AO190" s="1">
        <f>knicks_players_all_stats[[#This Row],[PF]]/knicks_players_all_stats[[#This Row],[GP]]</f>
        <v>2.5975609756097562</v>
      </c>
      <c r="AP190" s="1">
        <v>406</v>
      </c>
      <c r="AQ190" s="4">
        <f>knicks_players_all_stats[[#This Row],[PTS]]/knicks_players_all_stats[[#This Row],[GP]]</f>
        <v>4.9512195121951219</v>
      </c>
    </row>
    <row r="191" spans="1:43" x14ac:dyDescent="0.3">
      <c r="A191" s="1" t="s">
        <v>1814</v>
      </c>
      <c r="B191" s="1" t="s">
        <v>1281</v>
      </c>
      <c r="C191" s="1" t="str">
        <f>knicks_players_all_stats[[#This Row],[NAME]]&amp;" ("&amp;knicks_players_all_stats[[#This Row],[SEASON]]&amp;")"</f>
        <v>Sasha Vujacic (2016-17)</v>
      </c>
      <c r="D191" s="1">
        <f>knicks_players_all_stats[[#This Row],[PLAYER_AGE]]/10</f>
        <v>33</v>
      </c>
      <c r="E191">
        <v>330</v>
      </c>
      <c r="F191" s="1">
        <v>42</v>
      </c>
      <c r="G191" s="1">
        <v>4080</v>
      </c>
      <c r="H1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</v>
      </c>
      <c r="I191" s="4">
        <f>knicks_players_all_stats[[#This Row],[VALORATION]]/knicks_players_all_stats[[#This Row],[GP]]</f>
        <v>2.2619047619047619</v>
      </c>
      <c r="J191" s="1">
        <v>42</v>
      </c>
      <c r="K191" s="1">
        <v>136</v>
      </c>
      <c r="L191" s="1">
        <v>309</v>
      </c>
      <c r="M191" s="4">
        <f>knicks_players_all_stats[[#This Row],[FG3M2]]/10</f>
        <v>23</v>
      </c>
      <c r="N191" s="1">
        <v>230</v>
      </c>
      <c r="O191" s="1">
        <f>knicks_players_all_stats[[#This Row],[FG3A2]]/10</f>
        <v>74</v>
      </c>
      <c r="P191" s="1">
        <v>740</v>
      </c>
      <c r="Q191" s="2">
        <f>knicks_players_all_stats[[#This Row],[FG3M2]]/knicks_players_all_stats[[#This Row],[FG3A2]]</f>
        <v>0.3108108108108108</v>
      </c>
      <c r="R191" s="1">
        <v>17</v>
      </c>
      <c r="S191" s="1">
        <v>24</v>
      </c>
      <c r="T191" s="3">
        <f>knicks_players_all_stats[[#This Row],[FTM]]/knicks_players_all_stats[[#This Row],[FTA]]</f>
        <v>0.70833333333333337</v>
      </c>
      <c r="U191" s="1">
        <f>knicks_players_all_stats[[#This Row],[OREB22]]/10</f>
        <v>12</v>
      </c>
      <c r="V191" s="1">
        <f>knicks_players_all_stats[[#This Row],[DREB33]]/10</f>
        <v>47</v>
      </c>
      <c r="W191" s="1">
        <f>knicks_players_all_stats[[#This Row],[REB44]]/10</f>
        <v>59</v>
      </c>
      <c r="X191">
        <v>120</v>
      </c>
      <c r="Y191">
        <v>470</v>
      </c>
      <c r="Z191">
        <v>590</v>
      </c>
      <c r="AA191" s="14">
        <f>knicks_players_all_stats[[#This Row],[REB]]/knicks_players_all_stats[[#This Row],[GP]]</f>
        <v>1.4047619047619047</v>
      </c>
      <c r="AB191" s="1">
        <v>52</v>
      </c>
      <c r="AC191" s="4">
        <f>knicks_players_all_stats[[#This Row],[AST]]/knicks_players_all_stats[[#This Row],[GP]]</f>
        <v>1.2380952380952381</v>
      </c>
      <c r="AD191" s="1">
        <f>knicks_players_all_stats[[#This Row],[STL2]]/10</f>
        <v>13</v>
      </c>
      <c r="AE191" s="1">
        <v>130</v>
      </c>
      <c r="AF191" s="4">
        <f>knicks_players_all_stats[[#This Row],[STL]]/knicks_players_all_stats[[#This Row],[GP]]</f>
        <v>0.30952380952380953</v>
      </c>
      <c r="AG191">
        <v>20</v>
      </c>
      <c r="AH191" s="1">
        <f>knicks_players_all_stats[[#This Row],[BLK2]]/10</f>
        <v>2</v>
      </c>
      <c r="AI191" s="4">
        <f>knicks_players_all_stats[[#This Row],[BLK]]/knicks_players_all_stats[[#This Row],[GP]]</f>
        <v>4.7619047619047616E-2</v>
      </c>
      <c r="AJ191">
        <v>160</v>
      </c>
      <c r="AK191" s="4">
        <f>knicks_players_all_stats[[#This Row],[BLKPG]]+knicks_players_all_stats[[#This Row],[STLPG]]+knicks_players_all_stats[[#This Row],[REBPG]]</f>
        <v>1.7619047619047619</v>
      </c>
      <c r="AL191" s="1">
        <f>knicks_players_all_stats[[#This Row],[TOV2]]/10</f>
        <v>16</v>
      </c>
      <c r="AM191" s="4">
        <f>knicks_players_all_stats[[#This Row],[TOV]]/knicks_players_all_stats[[#This Row],[GP]]</f>
        <v>0.38095238095238093</v>
      </c>
      <c r="AN191" s="1">
        <v>38</v>
      </c>
      <c r="AO191" s="1">
        <f>knicks_players_all_stats[[#This Row],[PF]]/knicks_players_all_stats[[#This Row],[GP]]</f>
        <v>0.90476190476190477</v>
      </c>
      <c r="AP191" s="1">
        <v>124</v>
      </c>
      <c r="AQ191" s="4">
        <f>knicks_players_all_stats[[#This Row],[PTS]]/knicks_players_all_stats[[#This Row],[GP]]</f>
        <v>2.9523809523809526</v>
      </c>
    </row>
    <row r="192" spans="1:43" x14ac:dyDescent="0.3">
      <c r="A192" s="1" t="s">
        <v>1421</v>
      </c>
      <c r="B192" s="1" t="s">
        <v>1343</v>
      </c>
      <c r="C192" s="1" t="str">
        <f>knicks_players_all_stats[[#This Row],[NAME]]&amp;" ("&amp;knicks_players_all_stats[[#This Row],[SEASON]]&amp;")"</f>
        <v>Cole Aldrich (2014-15)</v>
      </c>
      <c r="D192" s="1">
        <f>knicks_players_all_stats[[#This Row],[PLAYER_AGE]]/10</f>
        <v>26</v>
      </c>
      <c r="E192">
        <v>260</v>
      </c>
      <c r="F192" s="1">
        <v>61</v>
      </c>
      <c r="G192" s="1">
        <v>9760</v>
      </c>
      <c r="H1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501</v>
      </c>
      <c r="I192" s="4">
        <f>knicks_players_all_stats[[#This Row],[VALORATION]]/knicks_players_all_stats[[#This Row],[GP]]</f>
        <v>8.2131147540983598</v>
      </c>
      <c r="J192" s="1">
        <v>144</v>
      </c>
      <c r="K192" s="1">
        <v>301</v>
      </c>
      <c r="L192" s="2">
        <f>knicks_players_all_stats[[#This Row],[FGM]]/knicks_players_all_stats[[#This Row],[FGA]]</f>
        <v>0.47840531561461797</v>
      </c>
      <c r="M192" s="16">
        <f>knicks_players_all_stats[[#This Row],[FG3M2]]/10</f>
        <v>0</v>
      </c>
      <c r="N192" s="1">
        <v>0</v>
      </c>
      <c r="O192" s="1">
        <f>knicks_players_all_stats[[#This Row],[FG3A2]]/10</f>
        <v>0</v>
      </c>
      <c r="P192" s="1">
        <v>0</v>
      </c>
      <c r="Q192" s="2" t="e">
        <f>knicks_players_all_stats[[#This Row],[FG3M2]]/knicks_players_all_stats[[#This Row],[FG3A2]]</f>
        <v>#DIV/0!</v>
      </c>
      <c r="R192" s="1">
        <v>50</v>
      </c>
      <c r="S192" s="1">
        <v>64</v>
      </c>
      <c r="T192" s="3">
        <f>knicks_players_all_stats[[#This Row],[FTM]]/knicks_players_all_stats[[#This Row],[FTA]]</f>
        <v>0.78125</v>
      </c>
      <c r="U192" s="1">
        <f>knicks_players_all_stats[[#This Row],[OREB22]]/10</f>
        <v>101</v>
      </c>
      <c r="V192" s="1">
        <f>knicks_players_all_stats[[#This Row],[DREB33]]/10</f>
        <v>237</v>
      </c>
      <c r="W192" s="1">
        <f>knicks_players_all_stats[[#This Row],[REB44]]/10</f>
        <v>338</v>
      </c>
      <c r="X192">
        <v>1010</v>
      </c>
      <c r="Y192">
        <v>2370</v>
      </c>
      <c r="Z192">
        <v>3380</v>
      </c>
      <c r="AA192" s="14">
        <f>knicks_players_all_stats[[#This Row],[REB]]/knicks_players_all_stats[[#This Row],[GP]]</f>
        <v>5.5409836065573774</v>
      </c>
      <c r="AB192" s="1">
        <v>75</v>
      </c>
      <c r="AC192" s="4">
        <f>knicks_players_all_stats[[#This Row],[AST]]/knicks_players_all_stats[[#This Row],[GP]]</f>
        <v>1.2295081967213115</v>
      </c>
      <c r="AD192" s="1">
        <f>knicks_players_all_stats[[#This Row],[STL2]]/10</f>
        <v>37</v>
      </c>
      <c r="AE192" s="1">
        <v>370</v>
      </c>
      <c r="AF192" s="4">
        <f>knicks_players_all_stats[[#This Row],[STL]]/knicks_players_all_stats[[#This Row],[GP]]</f>
        <v>0.60655737704918034</v>
      </c>
      <c r="AG192">
        <v>650</v>
      </c>
      <c r="AH192" s="1">
        <f>knicks_players_all_stats[[#This Row],[BLK2]]/10</f>
        <v>65</v>
      </c>
      <c r="AI192" s="4">
        <f>knicks_players_all_stats[[#This Row],[BLK]]/knicks_players_all_stats[[#This Row],[GP]]</f>
        <v>1.0655737704918034</v>
      </c>
      <c r="AJ192">
        <v>590</v>
      </c>
      <c r="AK192" s="4">
        <f>knicks_players_all_stats[[#This Row],[BLKPG]]+knicks_players_all_stats[[#This Row],[STLPG]]+knicks_players_all_stats[[#This Row],[REBPG]]</f>
        <v>7.2131147540983616</v>
      </c>
      <c r="AL192" s="1">
        <f>knicks_players_all_stats[[#This Row],[TOV2]]/10</f>
        <v>59</v>
      </c>
      <c r="AM192" s="4">
        <f>knicks_players_all_stats[[#This Row],[TOV]]/knicks_players_all_stats[[#This Row],[GP]]</f>
        <v>0.96721311475409832</v>
      </c>
      <c r="AN192" s="1">
        <v>122</v>
      </c>
      <c r="AO192" s="1">
        <f>knicks_players_all_stats[[#This Row],[PF]]/knicks_players_all_stats[[#This Row],[GP]]</f>
        <v>2</v>
      </c>
      <c r="AP192" s="1">
        <v>338</v>
      </c>
      <c r="AQ192" s="4">
        <f>knicks_players_all_stats[[#This Row],[PTS]]/knicks_players_all_stats[[#This Row],[GP]]</f>
        <v>5.5409836065573774</v>
      </c>
    </row>
    <row r="193" spans="1:43" x14ac:dyDescent="0.3">
      <c r="A193" s="1" t="s">
        <v>1791</v>
      </c>
      <c r="B193" s="1" t="s">
        <v>1343</v>
      </c>
      <c r="C193" s="1" t="str">
        <f>knicks_players_all_stats[[#This Row],[NAME]]&amp;" ("&amp;knicks_players_all_stats[[#This Row],[SEASON]]&amp;")"</f>
        <v>Lance Thomas (2014-15)</v>
      </c>
      <c r="D193" s="1">
        <f>knicks_players_all_stats[[#This Row],[PLAYER_AGE]]/10</f>
        <v>27</v>
      </c>
      <c r="E193">
        <v>270</v>
      </c>
      <c r="F193" s="1">
        <v>40</v>
      </c>
      <c r="G193" s="1">
        <v>10400</v>
      </c>
      <c r="H1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217</v>
      </c>
      <c r="I193" s="4">
        <f>knicks_players_all_stats[[#This Row],[VALORATION]]/knicks_players_all_stats[[#This Row],[GP]]</f>
        <v>5.4249999999999998</v>
      </c>
      <c r="J193" s="1">
        <v>137</v>
      </c>
      <c r="K193" s="1">
        <v>316</v>
      </c>
      <c r="L193" s="1">
        <v>434</v>
      </c>
      <c r="M193" s="4">
        <f>knicks_players_all_stats[[#This Row],[FG3M2]]/10</f>
        <v>7</v>
      </c>
      <c r="N193" s="1">
        <v>70</v>
      </c>
      <c r="O193" s="1">
        <f>knicks_players_all_stats[[#This Row],[FG3A2]]/10</f>
        <v>21</v>
      </c>
      <c r="P193" s="1">
        <v>210</v>
      </c>
      <c r="Q193" s="2">
        <f>knicks_players_all_stats[[#This Row],[FG3M2]]/knicks_players_all_stats[[#This Row],[FG3A2]]</f>
        <v>0.33333333333333331</v>
      </c>
      <c r="R193" s="1">
        <v>49</v>
      </c>
      <c r="S193" s="1">
        <v>66</v>
      </c>
      <c r="T193" s="3">
        <f>knicks_players_all_stats[[#This Row],[FTM]]/knicks_players_all_stats[[#This Row],[FTA]]</f>
        <v>0.74242424242424243</v>
      </c>
      <c r="U193" s="1">
        <f>knicks_players_all_stats[[#This Row],[OREB22]]/10</f>
        <v>37</v>
      </c>
      <c r="V193" s="1">
        <f>knicks_players_all_stats[[#This Row],[DREB33]]/10</f>
        <v>83</v>
      </c>
      <c r="W193" s="1">
        <f>knicks_players_all_stats[[#This Row],[REB44]]/10</f>
        <v>120</v>
      </c>
      <c r="X193">
        <v>370</v>
      </c>
      <c r="Y193">
        <v>830</v>
      </c>
      <c r="Z193">
        <v>1200</v>
      </c>
      <c r="AA193" s="14">
        <f>knicks_players_all_stats[[#This Row],[REB]]/knicks_players_all_stats[[#This Row],[GP]]</f>
        <v>3</v>
      </c>
      <c r="AB193" s="1">
        <v>49</v>
      </c>
      <c r="AC193" s="4">
        <f>knicks_players_all_stats[[#This Row],[AST]]/knicks_players_all_stats[[#This Row],[GP]]</f>
        <v>1.2250000000000001</v>
      </c>
      <c r="AD193" s="1">
        <f>knicks_players_all_stats[[#This Row],[STL2]]/10</f>
        <v>26</v>
      </c>
      <c r="AE193" s="1">
        <v>260</v>
      </c>
      <c r="AF193" s="4">
        <f>knicks_players_all_stats[[#This Row],[STL]]/knicks_players_all_stats[[#This Row],[GP]]</f>
        <v>0.65</v>
      </c>
      <c r="AG193">
        <v>80</v>
      </c>
      <c r="AH193" s="1">
        <f>knicks_players_all_stats[[#This Row],[BLK2]]/10</f>
        <v>8</v>
      </c>
      <c r="AI193" s="4">
        <f>knicks_players_all_stats[[#This Row],[BLK]]/knicks_players_all_stats[[#This Row],[GP]]</f>
        <v>0.2</v>
      </c>
      <c r="AJ193">
        <v>570</v>
      </c>
      <c r="AK193" s="4">
        <f>knicks_players_all_stats[[#This Row],[BLKPG]]+knicks_players_all_stats[[#This Row],[STLPG]]+knicks_players_all_stats[[#This Row],[REBPG]]</f>
        <v>3.85</v>
      </c>
      <c r="AL193" s="1">
        <f>knicks_players_all_stats[[#This Row],[TOV2]]/10</f>
        <v>57</v>
      </c>
      <c r="AM193" s="4">
        <f>knicks_players_all_stats[[#This Row],[TOV]]/knicks_players_all_stats[[#This Row],[GP]]</f>
        <v>1.425</v>
      </c>
      <c r="AN193" s="1">
        <v>63</v>
      </c>
      <c r="AO193" s="1">
        <f>knicks_players_all_stats[[#This Row],[PF]]/knicks_players_all_stats[[#This Row],[GP]]</f>
        <v>1.575</v>
      </c>
      <c r="AP193" s="1">
        <v>330</v>
      </c>
      <c r="AQ193" s="4">
        <f>knicks_players_all_stats[[#This Row],[PTS]]/knicks_players_all_stats[[#This Row],[GP]]</f>
        <v>8.25</v>
      </c>
    </row>
    <row r="194" spans="1:43" customFormat="1" x14ac:dyDescent="0.3">
      <c r="A194" s="1" t="s">
        <v>1734</v>
      </c>
      <c r="B194" s="1" t="s">
        <v>1302</v>
      </c>
      <c r="C194" s="1" t="str">
        <f>knicks_players_all_stats[[#This Row],[NAME]]&amp;" ("&amp;knicks_players_all_stats[[#This Row],[SEASON]]&amp;")"</f>
        <v>Jared Jeffries (2006-07)</v>
      </c>
      <c r="D194" s="1">
        <f>knicks_players_all_stats[[#This Row],[PLAYER_AGE]]/10</f>
        <v>25</v>
      </c>
      <c r="E194">
        <v>250</v>
      </c>
      <c r="F194" s="1">
        <v>55</v>
      </c>
      <c r="G194" s="1">
        <v>13070</v>
      </c>
      <c r="H1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243</v>
      </c>
      <c r="I194" s="4">
        <f>knicks_players_all_stats[[#This Row],[VALORATION]]/knicks_players_all_stats[[#This Row],[GP]]</f>
        <v>4.418181818181818</v>
      </c>
      <c r="J194" s="1">
        <v>95</v>
      </c>
      <c r="K194" s="1">
        <v>206</v>
      </c>
      <c r="L194" s="1">
        <v>461</v>
      </c>
      <c r="M194" s="4">
        <f>knicks_players_all_stats[[#This Row],[FG3M2]]/10</f>
        <v>2</v>
      </c>
      <c r="N194" s="1">
        <v>20</v>
      </c>
      <c r="O194" s="1">
        <f>knicks_players_all_stats[[#This Row],[FG3A2]]/10</f>
        <v>20</v>
      </c>
      <c r="P194" s="1">
        <v>200</v>
      </c>
      <c r="Q194" s="2">
        <f>knicks_players_all_stats[[#This Row],[FG3M2]]/knicks_players_all_stats[[#This Row],[FG3A2]]</f>
        <v>0.1</v>
      </c>
      <c r="R194" s="1">
        <v>31</v>
      </c>
      <c r="S194" s="1">
        <v>68</v>
      </c>
      <c r="T194" s="3">
        <f>knicks_players_all_stats[[#This Row],[FTM]]/knicks_players_all_stats[[#This Row],[FTA]]</f>
        <v>0.45588235294117646</v>
      </c>
      <c r="U194" s="1">
        <f>knicks_players_all_stats[[#This Row],[OREB22]]/10</f>
        <v>111</v>
      </c>
      <c r="V194" s="1">
        <f>knicks_players_all_stats[[#This Row],[DREB33]]/10</f>
        <v>127</v>
      </c>
      <c r="W194" s="1">
        <f>knicks_players_all_stats[[#This Row],[REB44]]/10</f>
        <v>238</v>
      </c>
      <c r="X194">
        <v>1110</v>
      </c>
      <c r="Y194">
        <v>1270</v>
      </c>
      <c r="Z194">
        <v>2380</v>
      </c>
      <c r="AA194" s="14">
        <f>knicks_players_all_stats[[#This Row],[REB]]/knicks_players_all_stats[[#This Row],[GP]]</f>
        <v>4.3272727272727272</v>
      </c>
      <c r="AB194" s="1">
        <v>67</v>
      </c>
      <c r="AC194" s="4">
        <f>knicks_players_all_stats[[#This Row],[AST]]/knicks_players_all_stats[[#This Row],[GP]]</f>
        <v>1.2181818181818183</v>
      </c>
      <c r="AD194" s="1">
        <f>knicks_players_all_stats[[#This Row],[STL2]]/10</f>
        <v>44</v>
      </c>
      <c r="AE194" s="1">
        <v>440</v>
      </c>
      <c r="AF194" s="4">
        <f>knicks_players_all_stats[[#This Row],[STL]]/knicks_players_all_stats[[#This Row],[GP]]</f>
        <v>0.8</v>
      </c>
      <c r="AG194">
        <v>300</v>
      </c>
      <c r="AH194" s="1">
        <f>knicks_players_all_stats[[#This Row],[BLK2]]/10</f>
        <v>30</v>
      </c>
      <c r="AI194" s="4">
        <f>knicks_players_all_stats[[#This Row],[BLK]]/knicks_players_all_stats[[#This Row],[GP]]</f>
        <v>0.54545454545454541</v>
      </c>
      <c r="AJ194">
        <v>610</v>
      </c>
      <c r="AK194" s="4">
        <f>knicks_players_all_stats[[#This Row],[BLKPG]]+knicks_players_all_stats[[#This Row],[STLPG]]+knicks_players_all_stats[[#This Row],[REBPG]]</f>
        <v>5.6727272727272728</v>
      </c>
      <c r="AL194" s="1">
        <f>knicks_players_all_stats[[#This Row],[TOV2]]/10</f>
        <v>61</v>
      </c>
      <c r="AM194" s="4">
        <f>knicks_players_all_stats[[#This Row],[TOV]]/knicks_players_all_stats[[#This Row],[GP]]</f>
        <v>1.1090909090909091</v>
      </c>
      <c r="AN194" s="1">
        <v>150</v>
      </c>
      <c r="AO194" s="1">
        <f>knicks_players_all_stats[[#This Row],[PF]]/knicks_players_all_stats[[#This Row],[GP]]</f>
        <v>2.7272727272727271</v>
      </c>
      <c r="AP194" s="1">
        <v>223</v>
      </c>
      <c r="AQ194" s="4">
        <f>knicks_players_all_stats[[#This Row],[PTS]]/knicks_players_all_stats[[#This Row],[GP]]</f>
        <v>4.0545454545454547</v>
      </c>
    </row>
    <row r="195" spans="1:43" customFormat="1" x14ac:dyDescent="0.3">
      <c r="A195" s="1" t="s">
        <v>1306</v>
      </c>
      <c r="B195" s="1" t="s">
        <v>1259</v>
      </c>
      <c r="C195" s="1" t="str">
        <f>knicks_players_all_stats[[#This Row],[NAME]]&amp;" ("&amp;knicks_players_all_stats[[#This Row],[SEASON]]&amp;")"</f>
        <v>Kristaps Porzingis (2017-18)</v>
      </c>
      <c r="D195" s="1">
        <f>knicks_players_all_stats[[#This Row],[PLAYER_AGE]]/10</f>
        <v>22</v>
      </c>
      <c r="E195">
        <v>220</v>
      </c>
      <c r="F195" s="1">
        <v>48</v>
      </c>
      <c r="G195" s="1">
        <v>15530</v>
      </c>
      <c r="H1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822</v>
      </c>
      <c r="I195" s="4">
        <f>knicks_players_all_stats[[#This Row],[VALORATION]]/knicks_players_all_stats[[#This Row],[GP]]</f>
        <v>17.125</v>
      </c>
      <c r="J195" s="1">
        <v>390</v>
      </c>
      <c r="K195" s="1">
        <v>889</v>
      </c>
      <c r="L195" s="2">
        <f>knicks_players_all_stats[[#This Row],[FGM]]/knicks_players_all_stats[[#This Row],[FGA]]</f>
        <v>0.43869516310461193</v>
      </c>
      <c r="M195" s="16">
        <f>knicks_players_all_stats[[#This Row],[FG3M2]]/10</f>
        <v>90</v>
      </c>
      <c r="N195" s="1">
        <v>900</v>
      </c>
      <c r="O195" s="1">
        <f>knicks_players_all_stats[[#This Row],[FG3A2]]/10</f>
        <v>228</v>
      </c>
      <c r="P195" s="1">
        <v>2280</v>
      </c>
      <c r="Q195" s="2">
        <f>knicks_players_all_stats[[#This Row],[FG3M2]]/knicks_players_all_stats[[#This Row],[FG3A2]]</f>
        <v>0.39473684210526316</v>
      </c>
      <c r="R195" s="1">
        <v>218</v>
      </c>
      <c r="S195" s="1">
        <v>275</v>
      </c>
      <c r="T195" s="3">
        <f>knicks_players_all_stats[[#This Row],[FTM]]/knicks_players_all_stats[[#This Row],[FTA]]</f>
        <v>0.79272727272727272</v>
      </c>
      <c r="U195" s="1">
        <f>knicks_players_all_stats[[#This Row],[OREB22]]/10</f>
        <v>62</v>
      </c>
      <c r="V195" s="1">
        <f>knicks_players_all_stats[[#This Row],[DREB33]]/10</f>
        <v>254</v>
      </c>
      <c r="W195" s="1">
        <f>knicks_players_all_stats[[#This Row],[REB44]]/10</f>
        <v>316</v>
      </c>
      <c r="X195">
        <v>620</v>
      </c>
      <c r="Y195">
        <v>2540</v>
      </c>
      <c r="Z195">
        <v>3160</v>
      </c>
      <c r="AA195" s="14">
        <f>knicks_players_all_stats[[#This Row],[REB]]/knicks_players_all_stats[[#This Row],[GP]]</f>
        <v>6.583333333333333</v>
      </c>
      <c r="AB195" s="1">
        <v>57</v>
      </c>
      <c r="AC195" s="4">
        <f>knicks_players_all_stats[[#This Row],[AST]]/knicks_players_all_stats[[#This Row],[GP]]</f>
        <v>1.1875</v>
      </c>
      <c r="AD195" s="1">
        <f>knicks_players_all_stats[[#This Row],[STL2]]/10</f>
        <v>36</v>
      </c>
      <c r="AE195" s="1">
        <v>360</v>
      </c>
      <c r="AF195" s="4">
        <f>knicks_players_all_stats[[#This Row],[STL]]/knicks_players_all_stats[[#This Row],[GP]]</f>
        <v>0.75</v>
      </c>
      <c r="AG195">
        <v>1150</v>
      </c>
      <c r="AH195" s="1">
        <f>knicks_players_all_stats[[#This Row],[BLK2]]/10</f>
        <v>115</v>
      </c>
      <c r="AI195" s="4">
        <f>knicks_players_all_stats[[#This Row],[BLK]]/knicks_players_all_stats[[#This Row],[GP]]</f>
        <v>2.3958333333333335</v>
      </c>
      <c r="AJ195">
        <v>930</v>
      </c>
      <c r="AK195" s="4">
        <f>knicks_players_all_stats[[#This Row],[BLKPG]]+knicks_players_all_stats[[#This Row],[STLPG]]+knicks_players_all_stats[[#This Row],[REBPG]]</f>
        <v>9.7291666666666661</v>
      </c>
      <c r="AL195" s="1">
        <f>knicks_players_all_stats[[#This Row],[TOV2]]/10</f>
        <v>93</v>
      </c>
      <c r="AM195" s="4">
        <f>knicks_players_all_stats[[#This Row],[TOV]]/knicks_players_all_stats[[#This Row],[GP]]</f>
        <v>1.9375</v>
      </c>
      <c r="AN195" s="1">
        <v>141</v>
      </c>
      <c r="AO195" s="1">
        <f>knicks_players_all_stats[[#This Row],[PF]]/knicks_players_all_stats[[#This Row],[GP]]</f>
        <v>2.9375</v>
      </c>
      <c r="AP195" s="1">
        <v>1088</v>
      </c>
      <c r="AQ195" s="4">
        <f>knicks_players_all_stats[[#This Row],[PTS]]/knicks_players_all_stats[[#This Row],[GP]]</f>
        <v>22.666666666666668</v>
      </c>
    </row>
    <row r="196" spans="1:43" customFormat="1" x14ac:dyDescent="0.3">
      <c r="A196" s="1" t="s">
        <v>1524</v>
      </c>
      <c r="B196" s="1" t="s">
        <v>1465</v>
      </c>
      <c r="C196" s="1" t="str">
        <f>knicks_players_all_stats[[#This Row],[NAME]]&amp;" ("&amp;knicks_players_all_stats[[#This Row],[SEASON]]&amp;")"</f>
        <v>Glen Rice (2000-01)</v>
      </c>
      <c r="D196" s="1">
        <f>knicks_players_all_stats[[#This Row],[PLAYER_AGE]]/10</f>
        <v>34</v>
      </c>
      <c r="E196">
        <v>340</v>
      </c>
      <c r="F196" s="1">
        <v>75</v>
      </c>
      <c r="G196" s="1">
        <v>22120</v>
      </c>
      <c r="H1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626</v>
      </c>
      <c r="I196" s="4">
        <f>knicks_players_all_stats[[#This Row],[VALORATION]]/knicks_players_all_stats[[#This Row],[GP]]</f>
        <v>8.3466666666666658</v>
      </c>
      <c r="J196" s="1">
        <v>331</v>
      </c>
      <c r="K196" s="1">
        <v>752</v>
      </c>
      <c r="L196" s="2">
        <f>knicks_players_all_stats[[#This Row],[FGM]]/knicks_players_all_stats[[#This Row],[FGA]]</f>
        <v>0.44015957446808512</v>
      </c>
      <c r="M196" s="16">
        <f>knicks_players_all_stats[[#This Row],[FG3M2]]/10</f>
        <v>82</v>
      </c>
      <c r="N196" s="1">
        <v>820</v>
      </c>
      <c r="O196" s="1">
        <f>knicks_players_all_stats[[#This Row],[FG3A2]]/10</f>
        <v>211</v>
      </c>
      <c r="P196" s="1">
        <v>2110</v>
      </c>
      <c r="Q196" s="2">
        <f>knicks_players_all_stats[[#This Row],[FG3M2]]/knicks_players_all_stats[[#This Row],[FG3A2]]</f>
        <v>0.38862559241706163</v>
      </c>
      <c r="R196" s="1">
        <v>155</v>
      </c>
      <c r="S196" s="1">
        <v>182</v>
      </c>
      <c r="T196" s="3">
        <f>knicks_players_all_stats[[#This Row],[FTM]]/knicks_players_all_stats[[#This Row],[FTA]]</f>
        <v>0.85164835164835162</v>
      </c>
      <c r="U196" s="1">
        <f>knicks_players_all_stats[[#This Row],[OREB22]]/10</f>
        <v>61</v>
      </c>
      <c r="V196" s="1">
        <f>knicks_players_all_stats[[#This Row],[DREB33]]/10</f>
        <v>246</v>
      </c>
      <c r="W196" s="1">
        <f>knicks_players_all_stats[[#This Row],[REB44]]/10</f>
        <v>307</v>
      </c>
      <c r="X196">
        <v>610</v>
      </c>
      <c r="Y196">
        <v>2460</v>
      </c>
      <c r="Z196">
        <v>3070</v>
      </c>
      <c r="AA196" s="14">
        <f>knicks_players_all_stats[[#This Row],[REB]]/knicks_players_all_stats[[#This Row],[GP]]</f>
        <v>4.0933333333333337</v>
      </c>
      <c r="AB196" s="1">
        <v>89</v>
      </c>
      <c r="AC196" s="4">
        <f>knicks_players_all_stats[[#This Row],[AST]]/knicks_players_all_stats[[#This Row],[GP]]</f>
        <v>1.1866666666666668</v>
      </c>
      <c r="AD196" s="1">
        <f>knicks_players_all_stats[[#This Row],[STL2]]/10</f>
        <v>41</v>
      </c>
      <c r="AE196" s="1">
        <v>410</v>
      </c>
      <c r="AF196" s="4">
        <f>knicks_players_all_stats[[#This Row],[STL]]/knicks_players_all_stats[[#This Row],[GP]]</f>
        <v>0.54666666666666663</v>
      </c>
      <c r="AG196">
        <v>130</v>
      </c>
      <c r="AH196" s="1">
        <f>knicks_players_all_stats[[#This Row],[BLK2]]/10</f>
        <v>13</v>
      </c>
      <c r="AI196" s="4">
        <f>knicks_players_all_stats[[#This Row],[BLK]]/knicks_players_all_stats[[#This Row],[GP]]</f>
        <v>0.17333333333333334</v>
      </c>
      <c r="AJ196">
        <v>960</v>
      </c>
      <c r="AK196" s="4">
        <f>knicks_players_all_stats[[#This Row],[BLKPG]]+knicks_players_all_stats[[#This Row],[STLPG]]+knicks_players_all_stats[[#This Row],[REBPG]]</f>
        <v>4.8133333333333335</v>
      </c>
      <c r="AL196" s="1">
        <f>knicks_players_all_stats[[#This Row],[TOV2]]/10</f>
        <v>96</v>
      </c>
      <c r="AM196" s="4">
        <f>knicks_players_all_stats[[#This Row],[TOV]]/knicks_players_all_stats[[#This Row],[GP]]</f>
        <v>1.28</v>
      </c>
      <c r="AN196" s="1">
        <v>179</v>
      </c>
      <c r="AO196" s="1">
        <f>knicks_players_all_stats[[#This Row],[PF]]/knicks_players_all_stats[[#This Row],[GP]]</f>
        <v>2.3866666666666667</v>
      </c>
      <c r="AP196" s="1">
        <v>899</v>
      </c>
      <c r="AQ196" s="4">
        <f>knicks_players_all_stats[[#This Row],[PTS]]/knicks_players_all_stats[[#This Row],[GP]]</f>
        <v>11.986666666666666</v>
      </c>
    </row>
    <row r="197" spans="1:43" customFormat="1" x14ac:dyDescent="0.3">
      <c r="A197" s="1" t="s">
        <v>1547</v>
      </c>
      <c r="B197" s="1" t="s">
        <v>1303</v>
      </c>
      <c r="C197" s="1" t="str">
        <f>knicks_players_all_stats[[#This Row],[NAME]]&amp;" ("&amp;knicks_players_all_stats[[#This Row],[SEASON]]&amp;")"</f>
        <v>David Lee (2007-08)</v>
      </c>
      <c r="D197" s="1">
        <f>knicks_players_all_stats[[#This Row],[PLAYER_AGE]]/10</f>
        <v>25</v>
      </c>
      <c r="E197">
        <v>250</v>
      </c>
      <c r="F197" s="1">
        <v>81</v>
      </c>
      <c r="G197" s="1">
        <v>23560</v>
      </c>
      <c r="H1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1152</v>
      </c>
      <c r="I197" s="4">
        <f>knicks_players_all_stats[[#This Row],[VALORATION]]/knicks_players_all_stats[[#This Row],[GP]]</f>
        <v>14.222222222222221</v>
      </c>
      <c r="J197" s="1">
        <v>341</v>
      </c>
      <c r="K197" s="1">
        <v>618</v>
      </c>
      <c r="L197" s="2">
        <f>knicks_players_all_stats[[#This Row],[FGM]]/knicks_players_all_stats[[#This Row],[FGA]]</f>
        <v>0.55177993527508096</v>
      </c>
      <c r="M197" s="16">
        <f>knicks_players_all_stats[[#This Row],[FG3M2]]/10</f>
        <v>0</v>
      </c>
      <c r="N197" s="1">
        <v>0</v>
      </c>
      <c r="O197" s="1">
        <f>knicks_players_all_stats[[#This Row],[FG3A2]]/10</f>
        <v>2</v>
      </c>
      <c r="P197" s="1">
        <v>20</v>
      </c>
      <c r="Q197" s="2">
        <f>knicks_players_all_stats[[#This Row],[FG3M2]]/knicks_players_all_stats[[#This Row],[FG3A2]]</f>
        <v>0</v>
      </c>
      <c r="R197" s="1">
        <v>194</v>
      </c>
      <c r="S197" s="1">
        <v>237</v>
      </c>
      <c r="T197" s="3">
        <f>knicks_players_all_stats[[#This Row],[FTM]]/knicks_players_all_stats[[#This Row],[FTA]]</f>
        <v>0.81856540084388185</v>
      </c>
      <c r="U197" s="1">
        <f>knicks_players_all_stats[[#This Row],[OREB22]]/10</f>
        <v>242</v>
      </c>
      <c r="V197" s="1">
        <f>knicks_players_all_stats[[#This Row],[DREB33]]/10</f>
        <v>482</v>
      </c>
      <c r="W197" s="1">
        <f>knicks_players_all_stats[[#This Row],[REB44]]/10</f>
        <v>724</v>
      </c>
      <c r="X197">
        <v>2420</v>
      </c>
      <c r="Y197">
        <v>4820</v>
      </c>
      <c r="Z197">
        <v>7240</v>
      </c>
      <c r="AA197" s="14">
        <f>knicks_players_all_stats[[#This Row],[REB]]/knicks_players_all_stats[[#This Row],[GP]]</f>
        <v>8.9382716049382722</v>
      </c>
      <c r="AB197" s="1">
        <v>95</v>
      </c>
      <c r="AC197" s="4">
        <f>knicks_players_all_stats[[#This Row],[AST]]/knicks_players_all_stats[[#This Row],[GP]]</f>
        <v>1.1728395061728396</v>
      </c>
      <c r="AD197" s="1">
        <f>knicks_players_all_stats[[#This Row],[STL2]]/10</f>
        <v>55</v>
      </c>
      <c r="AE197" s="1">
        <v>550</v>
      </c>
      <c r="AF197" s="4">
        <f>knicks_players_all_stats[[#This Row],[STL]]/knicks_players_all_stats[[#This Row],[GP]]</f>
        <v>0.67901234567901236</v>
      </c>
      <c r="AG197">
        <v>290</v>
      </c>
      <c r="AH197" s="1">
        <f>knicks_players_all_stats[[#This Row],[BLK2]]/10</f>
        <v>29</v>
      </c>
      <c r="AI197" s="4">
        <f>knicks_players_all_stats[[#This Row],[BLK]]/knicks_players_all_stats[[#This Row],[GP]]</f>
        <v>0.35802469135802467</v>
      </c>
      <c r="AJ197">
        <v>970</v>
      </c>
      <c r="AK197" s="4">
        <f>knicks_players_all_stats[[#This Row],[BLKPG]]+knicks_players_all_stats[[#This Row],[STLPG]]+knicks_players_all_stats[[#This Row],[REBPG]]</f>
        <v>9.9753086419753085</v>
      </c>
      <c r="AL197" s="1">
        <f>knicks_players_all_stats[[#This Row],[TOV2]]/10</f>
        <v>97</v>
      </c>
      <c r="AM197" s="4">
        <f>knicks_players_all_stats[[#This Row],[TOV]]/knicks_players_all_stats[[#This Row],[GP]]</f>
        <v>1.1975308641975309</v>
      </c>
      <c r="AN197" s="1">
        <v>210</v>
      </c>
      <c r="AO197" s="1">
        <f>knicks_players_all_stats[[#This Row],[PF]]/knicks_players_all_stats[[#This Row],[GP]]</f>
        <v>2.5925925925925926</v>
      </c>
      <c r="AP197" s="1">
        <v>876</v>
      </c>
      <c r="AQ197" s="4">
        <f>knicks_players_all_stats[[#This Row],[PTS]]/knicks_players_all_stats[[#This Row],[GP]]</f>
        <v>10.814814814814815</v>
      </c>
    </row>
    <row r="198" spans="1:43" customFormat="1" x14ac:dyDescent="0.3">
      <c r="A198" s="1" t="s">
        <v>1817</v>
      </c>
      <c r="B198" s="1" t="s">
        <v>1290</v>
      </c>
      <c r="C198" s="1" t="str">
        <f>knicks_players_all_stats[[#This Row],[NAME]]&amp;" ("&amp;knicks_players_all_stats[[#This Row],[SEASON]]&amp;")"</f>
        <v>Henry Walker (2011-12)</v>
      </c>
      <c r="D198" s="1">
        <f>knicks_players_all_stats[[#This Row],[PLAYER_AGE]]/10</f>
        <v>24</v>
      </c>
      <c r="E198">
        <v>240</v>
      </c>
      <c r="F198" s="1">
        <v>32</v>
      </c>
      <c r="G198" s="1">
        <v>6200</v>
      </c>
      <c r="H1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107</v>
      </c>
      <c r="I198" s="4">
        <f>knicks_players_all_stats[[#This Row],[VALORATION]]/knicks_players_all_stats[[#This Row],[GP]]</f>
        <v>3.34375</v>
      </c>
      <c r="J198" s="1">
        <v>68</v>
      </c>
      <c r="K198" s="1">
        <v>171</v>
      </c>
      <c r="L198" s="1">
        <v>398</v>
      </c>
      <c r="M198" s="4">
        <f>knicks_players_all_stats[[#This Row],[FG3M2]]/10</f>
        <v>36</v>
      </c>
      <c r="N198" s="1">
        <v>360</v>
      </c>
      <c r="O198" s="1">
        <f>knicks_players_all_stats[[#This Row],[FG3A2]]/10</f>
        <v>113</v>
      </c>
      <c r="P198" s="1">
        <v>1130</v>
      </c>
      <c r="Q198" s="2">
        <f>knicks_players_all_stats[[#This Row],[FG3M2]]/knicks_players_all_stats[[#This Row],[FG3A2]]</f>
        <v>0.31858407079646017</v>
      </c>
      <c r="R198" s="1">
        <v>17</v>
      </c>
      <c r="S198" s="1">
        <v>20</v>
      </c>
      <c r="T198" s="3">
        <f>knicks_players_all_stats[[#This Row],[FTM]]/knicks_players_all_stats[[#This Row],[FTA]]</f>
        <v>0.85</v>
      </c>
      <c r="U198" s="1">
        <f>knicks_players_all_stats[[#This Row],[OREB22]]/10</f>
        <v>9</v>
      </c>
      <c r="V198" s="1">
        <f>knicks_players_all_stats[[#This Row],[DREB33]]/10</f>
        <v>71</v>
      </c>
      <c r="W198" s="1">
        <f>knicks_players_all_stats[[#This Row],[REB44]]/10</f>
        <v>80</v>
      </c>
      <c r="X198">
        <v>90</v>
      </c>
      <c r="Y198">
        <v>710</v>
      </c>
      <c r="Z198">
        <v>800</v>
      </c>
      <c r="AA198" s="14">
        <f>knicks_players_all_stats[[#This Row],[REB]]/knicks_players_all_stats[[#This Row],[GP]]</f>
        <v>2.5</v>
      </c>
      <c r="AB198" s="1">
        <v>37</v>
      </c>
      <c r="AC198" s="4">
        <f>knicks_players_all_stats[[#This Row],[AST]]/knicks_players_all_stats[[#This Row],[GP]]</f>
        <v>1.15625</v>
      </c>
      <c r="AD198" s="1">
        <f>knicks_players_all_stats[[#This Row],[STL2]]/10</f>
        <v>19</v>
      </c>
      <c r="AE198" s="1">
        <v>190</v>
      </c>
      <c r="AF198" s="4">
        <f>knicks_players_all_stats[[#This Row],[STL]]/knicks_players_all_stats[[#This Row],[GP]]</f>
        <v>0.59375</v>
      </c>
      <c r="AG198">
        <v>70</v>
      </c>
      <c r="AH198" s="1">
        <f>knicks_players_all_stats[[#This Row],[BLK2]]/10</f>
        <v>7</v>
      </c>
      <c r="AI198" s="4">
        <f>knicks_players_all_stats[[#This Row],[BLK]]/knicks_players_all_stats[[#This Row],[GP]]</f>
        <v>0.21875</v>
      </c>
      <c r="AJ198">
        <v>350</v>
      </c>
      <c r="AK198" s="4">
        <f>knicks_players_all_stats[[#This Row],[BLKPG]]+knicks_players_all_stats[[#This Row],[STLPG]]+knicks_players_all_stats[[#This Row],[REBPG]]</f>
        <v>3.3125</v>
      </c>
      <c r="AL198" s="1">
        <f>knicks_players_all_stats[[#This Row],[TOV2]]/10</f>
        <v>35</v>
      </c>
      <c r="AM198" s="4">
        <f>knicks_players_all_stats[[#This Row],[TOV]]/knicks_players_all_stats[[#This Row],[GP]]</f>
        <v>1.09375</v>
      </c>
      <c r="AN198" s="1">
        <v>84</v>
      </c>
      <c r="AO198" s="1">
        <f>knicks_players_all_stats[[#This Row],[PF]]/knicks_players_all_stats[[#This Row],[GP]]</f>
        <v>2.625</v>
      </c>
      <c r="AP198" s="1">
        <v>189</v>
      </c>
      <c r="AQ198" s="4">
        <f>knicks_players_all_stats[[#This Row],[PTS]]/knicks_players_all_stats[[#This Row],[GP]]</f>
        <v>5.90625</v>
      </c>
    </row>
    <row r="199" spans="1:43" customFormat="1" x14ac:dyDescent="0.3">
      <c r="A199" s="1" t="s">
        <v>1630</v>
      </c>
      <c r="B199" s="1" t="s">
        <v>1369</v>
      </c>
      <c r="C199" s="1" t="str">
        <f>knicks_players_all_stats[[#This Row],[NAME]]&amp;" ("&amp;knicks_players_all_stats[[#This Row],[SEASON]]&amp;")"</f>
        <v>Quentin Grimes (2023-24)</v>
      </c>
      <c r="D199" s="1">
        <f>knicks_players_all_stats[[#This Row],[PLAYER_AGE]]/10</f>
        <v>24</v>
      </c>
      <c r="E199">
        <v>240</v>
      </c>
      <c r="F199" s="1">
        <v>45</v>
      </c>
      <c r="G199" s="1">
        <v>9100</v>
      </c>
      <c r="H1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230</v>
      </c>
      <c r="I199" s="4">
        <f>knicks_players_all_stats[[#This Row],[VALORATION]]/knicks_players_all_stats[[#This Row],[GP]]</f>
        <v>5.1111111111111107</v>
      </c>
      <c r="J199" s="1">
        <v>113</v>
      </c>
      <c r="K199" s="1">
        <v>286</v>
      </c>
      <c r="L199" s="2">
        <f>knicks_players_all_stats[[#This Row],[FGM]]/knicks_players_all_stats[[#This Row],[FGA]]</f>
        <v>0.3951048951048951</v>
      </c>
      <c r="M199" s="16">
        <f>knicks_players_all_stats[[#This Row],[FG3M2]]/10</f>
        <v>77</v>
      </c>
      <c r="N199" s="1">
        <v>770</v>
      </c>
      <c r="O199" s="1">
        <f>knicks_players_all_stats[[#This Row],[FG3A2]]/10</f>
        <v>212</v>
      </c>
      <c r="P199" s="1">
        <v>2120</v>
      </c>
      <c r="Q199" s="2">
        <f>knicks_players_all_stats[[#This Row],[FG3M2]]/knicks_players_all_stats[[#This Row],[FG3A2]]</f>
        <v>0.3632075471698113</v>
      </c>
      <c r="R199" s="1">
        <v>24</v>
      </c>
      <c r="S199" s="1">
        <v>34</v>
      </c>
      <c r="T199" s="3">
        <f>knicks_players_all_stats[[#This Row],[FTM]]/knicks_players_all_stats[[#This Row],[FTA]]</f>
        <v>0.70588235294117652</v>
      </c>
      <c r="U199" s="1">
        <f>knicks_players_all_stats[[#This Row],[OREB22]]/10</f>
        <v>14</v>
      </c>
      <c r="V199" s="1">
        <f>knicks_players_all_stats[[#This Row],[DREB33]]/10</f>
        <v>74</v>
      </c>
      <c r="W199" s="1">
        <f>knicks_players_all_stats[[#This Row],[REB44]]/10</f>
        <v>88</v>
      </c>
      <c r="X199">
        <v>140</v>
      </c>
      <c r="Y199">
        <v>740</v>
      </c>
      <c r="Z199">
        <v>880</v>
      </c>
      <c r="AA199" s="14">
        <f>knicks_players_all_stats[[#This Row],[REB]]/knicks_players_all_stats[[#This Row],[GP]]</f>
        <v>1.9555555555555555</v>
      </c>
      <c r="AB199" s="1">
        <v>52</v>
      </c>
      <c r="AC199" s="4">
        <f>knicks_players_all_stats[[#This Row],[AST]]/knicks_players_all_stats[[#This Row],[GP]]</f>
        <v>1.1555555555555554</v>
      </c>
      <c r="AD199" s="1">
        <f>knicks_players_all_stats[[#This Row],[STL2]]/10</f>
        <v>30</v>
      </c>
      <c r="AE199" s="1">
        <v>300</v>
      </c>
      <c r="AF199" s="4">
        <f>knicks_players_all_stats[[#This Row],[STL]]/knicks_players_all_stats[[#This Row],[GP]]</f>
        <v>0.66666666666666663</v>
      </c>
      <c r="AG199">
        <v>30</v>
      </c>
      <c r="AH199" s="1">
        <f>knicks_players_all_stats[[#This Row],[BLK2]]/10</f>
        <v>3</v>
      </c>
      <c r="AI199" s="4">
        <f>knicks_players_all_stats[[#This Row],[BLK]]/knicks_players_all_stats[[#This Row],[GP]]</f>
        <v>6.6666666666666666E-2</v>
      </c>
      <c r="AJ199">
        <v>210</v>
      </c>
      <c r="AK199" s="4">
        <f>knicks_players_all_stats[[#This Row],[BLKPG]]+knicks_players_all_stats[[#This Row],[STLPG]]+knicks_players_all_stats[[#This Row],[REBPG]]</f>
        <v>2.6888888888888887</v>
      </c>
      <c r="AL199" s="1">
        <f>knicks_players_all_stats[[#This Row],[TOV2]]/10</f>
        <v>21</v>
      </c>
      <c r="AM199" s="4">
        <f>knicks_players_all_stats[[#This Row],[TOV]]/knicks_players_all_stats[[#This Row],[GP]]</f>
        <v>0.46666666666666667</v>
      </c>
      <c r="AN199" s="1">
        <v>66</v>
      </c>
      <c r="AO199" s="1">
        <f>knicks_players_all_stats[[#This Row],[PF]]/knicks_players_all_stats[[#This Row],[GP]]</f>
        <v>1.4666666666666666</v>
      </c>
      <c r="AP199" s="1">
        <v>327</v>
      </c>
      <c r="AQ199" s="4">
        <f>knicks_players_all_stats[[#This Row],[PTS]]/knicks_players_all_stats[[#This Row],[GP]]</f>
        <v>7.2666666666666666</v>
      </c>
    </row>
    <row r="200" spans="1:43" customFormat="1" x14ac:dyDescent="0.3">
      <c r="A200" s="1" t="s">
        <v>1324</v>
      </c>
      <c r="B200" s="1" t="s">
        <v>1305</v>
      </c>
      <c r="C200" s="1" t="str">
        <f>knicks_players_all_stats[[#This Row],[NAME]]&amp;" ("&amp;knicks_players_all_stats[[#This Row],[SEASON]]&amp;")"</f>
        <v>Earl Barron (2009-10)</v>
      </c>
      <c r="D200" s="1">
        <f>knicks_players_all_stats[[#This Row],[PLAYER_AGE]]/10</f>
        <v>28</v>
      </c>
      <c r="E200">
        <v>280</v>
      </c>
      <c r="F200" s="1">
        <v>7</v>
      </c>
      <c r="G200" s="1">
        <v>2320</v>
      </c>
      <c r="H2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95</v>
      </c>
      <c r="I200" s="4">
        <f>knicks_players_all_stats[[#This Row],[VALORATION]]/knicks_players_all_stats[[#This Row],[GP]]</f>
        <v>13.571428571428571</v>
      </c>
      <c r="J200" s="1">
        <v>30</v>
      </c>
      <c r="K200" s="1">
        <v>68</v>
      </c>
      <c r="L200" s="2">
        <f>knicks_players_all_stats[[#This Row],[FGM]]/knicks_players_all_stats[[#This Row],[FGA]]</f>
        <v>0.44117647058823528</v>
      </c>
      <c r="M200" s="16">
        <f>knicks_players_all_stats[[#This Row],[FG3M2]]/10</f>
        <v>0</v>
      </c>
      <c r="N200" s="1">
        <v>0</v>
      </c>
      <c r="O200" s="1">
        <f>knicks_players_all_stats[[#This Row],[FG3A2]]/10</f>
        <v>0</v>
      </c>
      <c r="P200" s="1">
        <v>0</v>
      </c>
      <c r="Q200" s="2" t="e">
        <f>knicks_players_all_stats[[#This Row],[FG3M2]]/knicks_players_all_stats[[#This Row],[FG3A2]]</f>
        <v>#DIV/0!</v>
      </c>
      <c r="R200" s="1">
        <v>22</v>
      </c>
      <c r="S200" s="1">
        <v>29</v>
      </c>
      <c r="T200" s="3">
        <f>knicks_players_all_stats[[#This Row],[FTM]]/knicks_players_all_stats[[#This Row],[FTA]]</f>
        <v>0.75862068965517238</v>
      </c>
      <c r="U200" s="1">
        <f>knicks_players_all_stats[[#This Row],[OREB22]]/10</f>
        <v>31</v>
      </c>
      <c r="V200" s="1">
        <f>knicks_players_all_stats[[#This Row],[DREB33]]/10</f>
        <v>46</v>
      </c>
      <c r="W200" s="1">
        <f>knicks_players_all_stats[[#This Row],[REB44]]/10</f>
        <v>77</v>
      </c>
      <c r="X200">
        <v>310</v>
      </c>
      <c r="Y200">
        <v>460</v>
      </c>
      <c r="Z200">
        <v>770</v>
      </c>
      <c r="AA200" s="14">
        <f>knicks_players_all_stats[[#This Row],[REB]]/knicks_players_all_stats[[#This Row],[GP]]</f>
        <v>11</v>
      </c>
      <c r="AB200" s="1">
        <v>8</v>
      </c>
      <c r="AC200" s="4">
        <f>knicks_players_all_stats[[#This Row],[AST]]/knicks_players_all_stats[[#This Row],[GP]]</f>
        <v>1.1428571428571428</v>
      </c>
      <c r="AD200" s="1">
        <f>knicks_players_all_stats[[#This Row],[STL2]]/10</f>
        <v>4</v>
      </c>
      <c r="AE200" s="1">
        <v>40</v>
      </c>
      <c r="AF200" s="4">
        <f>knicks_players_all_stats[[#This Row],[STL]]/knicks_players_all_stats[[#This Row],[GP]]</f>
        <v>0.5714285714285714</v>
      </c>
      <c r="AG200">
        <v>40</v>
      </c>
      <c r="AH200" s="1">
        <f>knicks_players_all_stats[[#This Row],[BLK2]]/10</f>
        <v>4</v>
      </c>
      <c r="AI200" s="4">
        <f>knicks_players_all_stats[[#This Row],[BLK]]/knicks_players_all_stats[[#This Row],[GP]]</f>
        <v>0.5714285714285714</v>
      </c>
      <c r="AJ200">
        <v>110</v>
      </c>
      <c r="AK200" s="4">
        <f>knicks_players_all_stats[[#This Row],[BLKPG]]+knicks_players_all_stats[[#This Row],[STLPG]]+knicks_players_all_stats[[#This Row],[REBPG]]</f>
        <v>12.142857142857142</v>
      </c>
      <c r="AL200" s="1">
        <f>knicks_players_all_stats[[#This Row],[TOV2]]/10</f>
        <v>11</v>
      </c>
      <c r="AM200" s="4">
        <f>knicks_players_all_stats[[#This Row],[TOV]]/knicks_players_all_stats[[#This Row],[GP]]</f>
        <v>1.5714285714285714</v>
      </c>
      <c r="AN200" s="1">
        <v>24</v>
      </c>
      <c r="AO200" s="1">
        <f>knicks_players_all_stats[[#This Row],[PF]]/knicks_players_all_stats[[#This Row],[GP]]</f>
        <v>3.4285714285714284</v>
      </c>
      <c r="AP200" s="1">
        <v>82</v>
      </c>
      <c r="AQ200" s="4">
        <f>knicks_players_all_stats[[#This Row],[PTS]]/knicks_players_all_stats[[#This Row],[GP]]</f>
        <v>11.714285714285714</v>
      </c>
    </row>
    <row r="201" spans="1:43" customFormat="1" x14ac:dyDescent="0.3">
      <c r="A201" s="1" t="s">
        <v>1765</v>
      </c>
      <c r="B201" s="1" t="s">
        <v>1295</v>
      </c>
      <c r="C201" s="1" t="str">
        <f>knicks_players_all_stats[[#This Row],[NAME]]&amp;" ("&amp;knicks_players_all_stats[[#This Row],[SEASON]]&amp;")"</f>
        <v>Jermaine Jackson (2004-05)</v>
      </c>
      <c r="D201" s="1">
        <f>knicks_players_all_stats[[#This Row],[PLAYER_AGE]]/10</f>
        <v>29</v>
      </c>
      <c r="E201">
        <v>290</v>
      </c>
      <c r="F201" s="1">
        <v>21</v>
      </c>
      <c r="G201" s="1">
        <v>2300</v>
      </c>
      <c r="H2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</v>
      </c>
      <c r="I201" s="4">
        <f>knicks_players_all_stats[[#This Row],[VALORATION]]/knicks_players_all_stats[[#This Row],[GP]]</f>
        <v>1.9047619047619047</v>
      </c>
      <c r="J201" s="1">
        <v>17</v>
      </c>
      <c r="K201" s="1">
        <v>33</v>
      </c>
      <c r="L201" s="1">
        <v>515</v>
      </c>
      <c r="M201" s="4">
        <f>knicks_players_all_stats[[#This Row],[FG3M2]]/10</f>
        <v>0</v>
      </c>
      <c r="N201" s="1">
        <v>0</v>
      </c>
      <c r="O201" s="1">
        <f>knicks_players_all_stats[[#This Row],[FG3A2]]/10</f>
        <v>2</v>
      </c>
      <c r="P201" s="1">
        <v>20</v>
      </c>
      <c r="Q201" s="2">
        <f>knicks_players_all_stats[[#This Row],[FG3M2]]/knicks_players_all_stats[[#This Row],[FG3A2]]</f>
        <v>0</v>
      </c>
      <c r="R201" s="1">
        <v>8</v>
      </c>
      <c r="S201" s="1">
        <v>13</v>
      </c>
      <c r="T201" s="3">
        <f>knicks_players_all_stats[[#This Row],[FTM]]/knicks_players_all_stats[[#This Row],[FTA]]</f>
        <v>0.61538461538461542</v>
      </c>
      <c r="U201" s="1">
        <f>knicks_players_all_stats[[#This Row],[OREB22]]/10</f>
        <v>3</v>
      </c>
      <c r="V201" s="1">
        <f>knicks_players_all_stats[[#This Row],[DREB33]]/10</f>
        <v>20</v>
      </c>
      <c r="W201" s="1">
        <f>knicks_players_all_stats[[#This Row],[REB44]]/10</f>
        <v>23</v>
      </c>
      <c r="X201">
        <v>30</v>
      </c>
      <c r="Y201">
        <v>200</v>
      </c>
      <c r="Z201">
        <v>230</v>
      </c>
      <c r="AA201" s="14">
        <f>knicks_players_all_stats[[#This Row],[REB]]/knicks_players_all_stats[[#This Row],[GP]]</f>
        <v>1.0952380952380953</v>
      </c>
      <c r="AB201" s="1">
        <v>24</v>
      </c>
      <c r="AC201" s="4">
        <f>knicks_players_all_stats[[#This Row],[AST]]/knicks_players_all_stats[[#This Row],[GP]]</f>
        <v>1.1428571428571428</v>
      </c>
      <c r="AD201" s="1">
        <f>knicks_players_all_stats[[#This Row],[STL2]]/10</f>
        <v>7</v>
      </c>
      <c r="AE201" s="1">
        <v>70</v>
      </c>
      <c r="AF201" s="4">
        <f>knicks_players_all_stats[[#This Row],[STL]]/knicks_players_all_stats[[#This Row],[GP]]</f>
        <v>0.33333333333333331</v>
      </c>
      <c r="AG201">
        <v>10</v>
      </c>
      <c r="AH201" s="1">
        <f>knicks_players_all_stats[[#This Row],[BLK2]]/10</f>
        <v>1</v>
      </c>
      <c r="AI201" s="4">
        <f>knicks_players_all_stats[[#This Row],[BLK]]/knicks_players_all_stats[[#This Row],[GP]]</f>
        <v>4.7619047619047616E-2</v>
      </c>
      <c r="AJ201">
        <v>100</v>
      </c>
      <c r="AK201" s="4">
        <f>knicks_players_all_stats[[#This Row],[BLKPG]]+knicks_players_all_stats[[#This Row],[STLPG]]+knicks_players_all_stats[[#This Row],[REBPG]]</f>
        <v>1.4761904761904763</v>
      </c>
      <c r="AL201" s="1">
        <f>knicks_players_all_stats[[#This Row],[TOV2]]/10</f>
        <v>10</v>
      </c>
      <c r="AM201" s="4">
        <f>knicks_players_all_stats[[#This Row],[TOV]]/knicks_players_all_stats[[#This Row],[GP]]</f>
        <v>0.47619047619047616</v>
      </c>
      <c r="AN201" s="1">
        <v>26</v>
      </c>
      <c r="AO201" s="1">
        <f>knicks_players_all_stats[[#This Row],[PF]]/knicks_players_all_stats[[#This Row],[GP]]</f>
        <v>1.2380952380952381</v>
      </c>
      <c r="AP201" s="1">
        <v>42</v>
      </c>
      <c r="AQ201" s="4">
        <f>knicks_players_all_stats[[#This Row],[PTS]]/knicks_players_all_stats[[#This Row],[GP]]</f>
        <v>2</v>
      </c>
    </row>
    <row r="202" spans="1:43" customFormat="1" x14ac:dyDescent="0.3">
      <c r="A202" s="1" t="s">
        <v>1501</v>
      </c>
      <c r="B202" s="1" t="s">
        <v>1330</v>
      </c>
      <c r="C202" s="1" t="str">
        <f>knicks_players_all_stats[[#This Row],[NAME]]&amp;" ("&amp;knicks_players_all_stats[[#This Row],[SEASON]]&amp;")"</f>
        <v>Marcus Camby (2001-02)</v>
      </c>
      <c r="D202" s="1">
        <f>knicks_players_all_stats[[#This Row],[PLAYER_AGE]]/10</f>
        <v>28</v>
      </c>
      <c r="E202">
        <v>280</v>
      </c>
      <c r="F202" s="1">
        <v>29</v>
      </c>
      <c r="G202" s="1">
        <v>10070</v>
      </c>
      <c r="H2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415</v>
      </c>
      <c r="I202" s="4">
        <f>knicks_players_all_stats[[#This Row],[VALORATION]]/knicks_players_all_stats[[#This Row],[GP]]</f>
        <v>14.310344827586206</v>
      </c>
      <c r="J202" s="1">
        <v>130</v>
      </c>
      <c r="K202" s="1">
        <v>290</v>
      </c>
      <c r="L202" s="2">
        <f>knicks_players_all_stats[[#This Row],[FGM]]/knicks_players_all_stats[[#This Row],[FGA]]</f>
        <v>0.44827586206896552</v>
      </c>
      <c r="M202" s="16">
        <f>knicks_players_all_stats[[#This Row],[FG3M2]]/10</f>
        <v>0</v>
      </c>
      <c r="N202" s="1">
        <v>0</v>
      </c>
      <c r="O202" s="1">
        <f>knicks_players_all_stats[[#This Row],[FG3A2]]/10</f>
        <v>1</v>
      </c>
      <c r="P202" s="1">
        <v>10</v>
      </c>
      <c r="Q202" s="2">
        <f>knicks_players_all_stats[[#This Row],[FG3M2]]/knicks_players_all_stats[[#This Row],[FG3A2]]</f>
        <v>0</v>
      </c>
      <c r="R202" s="1">
        <v>62</v>
      </c>
      <c r="S202" s="1">
        <v>99</v>
      </c>
      <c r="T202" s="3">
        <f>knicks_players_all_stats[[#This Row],[FTM]]/knicks_players_all_stats[[#This Row],[FTA]]</f>
        <v>0.6262626262626263</v>
      </c>
      <c r="U202" s="1">
        <f>knicks_players_all_stats[[#This Row],[OREB22]]/10</f>
        <v>89</v>
      </c>
      <c r="V202" s="1">
        <f>knicks_players_all_stats[[#This Row],[DREB33]]/10</f>
        <v>233</v>
      </c>
      <c r="W202" s="1">
        <f>knicks_players_all_stats[[#This Row],[REB44]]/10</f>
        <v>322</v>
      </c>
      <c r="X202">
        <v>890</v>
      </c>
      <c r="Y202">
        <v>2330</v>
      </c>
      <c r="Z202">
        <v>3220</v>
      </c>
      <c r="AA202" s="14">
        <f>knicks_players_all_stats[[#This Row],[REB]]/knicks_players_all_stats[[#This Row],[GP]]</f>
        <v>11.103448275862069</v>
      </c>
      <c r="AB202" s="1">
        <v>33</v>
      </c>
      <c r="AC202" s="4">
        <f>knicks_players_all_stats[[#This Row],[AST]]/knicks_players_all_stats[[#This Row],[GP]]</f>
        <v>1.1379310344827587</v>
      </c>
      <c r="AD202" s="1">
        <f>knicks_players_all_stats[[#This Row],[STL2]]/10</f>
        <v>34</v>
      </c>
      <c r="AE202" s="1">
        <v>340</v>
      </c>
      <c r="AF202" s="4">
        <f>knicks_players_all_stats[[#This Row],[STL]]/knicks_players_all_stats[[#This Row],[GP]]</f>
        <v>1.1724137931034482</v>
      </c>
      <c r="AG202">
        <v>500</v>
      </c>
      <c r="AH202" s="1">
        <f>knicks_players_all_stats[[#This Row],[BLK2]]/10</f>
        <v>50</v>
      </c>
      <c r="AI202" s="4">
        <f>knicks_players_all_stats[[#This Row],[BLK]]/knicks_players_all_stats[[#This Row],[GP]]</f>
        <v>1.7241379310344827</v>
      </c>
      <c r="AJ202">
        <v>420</v>
      </c>
      <c r="AK202" s="4">
        <f>knicks_players_all_stats[[#This Row],[BLKPG]]+knicks_players_all_stats[[#This Row],[STLPG]]+knicks_players_all_stats[[#This Row],[REBPG]]</f>
        <v>14</v>
      </c>
      <c r="AL202" s="1">
        <f>knicks_players_all_stats[[#This Row],[TOV2]]/10</f>
        <v>42</v>
      </c>
      <c r="AM202" s="4">
        <f>knicks_players_all_stats[[#This Row],[TOV]]/knicks_players_all_stats[[#This Row],[GP]]</f>
        <v>1.4482758620689655</v>
      </c>
      <c r="AN202" s="1">
        <v>107</v>
      </c>
      <c r="AO202" s="1">
        <f>knicks_players_all_stats[[#This Row],[PF]]/knicks_players_all_stats[[#This Row],[GP]]</f>
        <v>3.6896551724137931</v>
      </c>
      <c r="AP202" s="1">
        <v>322</v>
      </c>
      <c r="AQ202" s="4">
        <f>knicks_players_all_stats[[#This Row],[PTS]]/knicks_players_all_stats[[#This Row],[GP]]</f>
        <v>11.103448275862069</v>
      </c>
    </row>
    <row r="203" spans="1:43" customFormat="1" x14ac:dyDescent="0.3">
      <c r="A203" s="1" t="s">
        <v>1438</v>
      </c>
      <c r="B203" s="1" t="s">
        <v>1327</v>
      </c>
      <c r="C203" s="1" t="str">
        <f>knicks_players_all_stats[[#This Row],[NAME]]&amp;" ("&amp;knicks_players_all_stats[[#This Row],[SEASON]]&amp;")"</f>
        <v>Miles McBride (2022-23)</v>
      </c>
      <c r="D203" s="1">
        <f>knicks_players_all_stats[[#This Row],[PLAYER_AGE]]/10</f>
        <v>22</v>
      </c>
      <c r="E203">
        <v>220</v>
      </c>
      <c r="F203" s="1">
        <v>64</v>
      </c>
      <c r="G203" s="1">
        <v>7600</v>
      </c>
      <c r="H2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152</v>
      </c>
      <c r="I203" s="4">
        <f>knicks_players_all_stats[[#This Row],[VALORATION]]/knicks_players_all_stats[[#This Row],[GP]]</f>
        <v>2.375</v>
      </c>
      <c r="J203" s="1">
        <v>77</v>
      </c>
      <c r="K203" s="1">
        <v>215</v>
      </c>
      <c r="L203" s="2">
        <f>knicks_players_all_stats[[#This Row],[FGM]]/knicks_players_all_stats[[#This Row],[FGA]]</f>
        <v>0.35813953488372091</v>
      </c>
      <c r="M203" s="16">
        <f>knicks_players_all_stats[[#This Row],[FG3M2]]/10</f>
        <v>40</v>
      </c>
      <c r="N203" s="1">
        <v>400</v>
      </c>
      <c r="O203" s="1">
        <f>knicks_players_all_stats[[#This Row],[FG3A2]]/10</f>
        <v>134</v>
      </c>
      <c r="P203" s="1">
        <v>1340</v>
      </c>
      <c r="Q203" s="2">
        <f>knicks_players_all_stats[[#This Row],[FG3M2]]/knicks_players_all_stats[[#This Row],[FG3A2]]</f>
        <v>0.29850746268656714</v>
      </c>
      <c r="R203" s="1">
        <v>28</v>
      </c>
      <c r="S203" s="1">
        <v>42</v>
      </c>
      <c r="T203" s="3">
        <f>knicks_players_all_stats[[#This Row],[FTM]]/knicks_players_all_stats[[#This Row],[FTA]]</f>
        <v>0.66666666666666663</v>
      </c>
      <c r="U203" s="1">
        <f>knicks_players_all_stats[[#This Row],[OREB22]]/10</f>
        <v>13</v>
      </c>
      <c r="V203" s="1">
        <f>knicks_players_all_stats[[#This Row],[DREB33]]/10</f>
        <v>37</v>
      </c>
      <c r="W203" s="1">
        <f>knicks_players_all_stats[[#This Row],[REB44]]/10</f>
        <v>50</v>
      </c>
      <c r="X203">
        <v>130</v>
      </c>
      <c r="Y203">
        <v>370</v>
      </c>
      <c r="Z203">
        <v>500</v>
      </c>
      <c r="AA203" s="14">
        <f>knicks_players_all_stats[[#This Row],[REB]]/knicks_players_all_stats[[#This Row],[GP]]</f>
        <v>0.78125</v>
      </c>
      <c r="AB203" s="1">
        <v>72</v>
      </c>
      <c r="AC203" s="4">
        <f>knicks_players_all_stats[[#This Row],[AST]]/knicks_players_all_stats[[#This Row],[GP]]</f>
        <v>1.125</v>
      </c>
      <c r="AD203" s="1">
        <f>knicks_players_all_stats[[#This Row],[STL2]]/10</f>
        <v>37</v>
      </c>
      <c r="AE203" s="1">
        <v>370</v>
      </c>
      <c r="AF203" s="4">
        <f>knicks_players_all_stats[[#This Row],[STL]]/knicks_players_all_stats[[#This Row],[GP]]</f>
        <v>0.578125</v>
      </c>
      <c r="AG203">
        <v>80</v>
      </c>
      <c r="AH203" s="1">
        <f>knicks_players_all_stats[[#This Row],[BLK2]]/10</f>
        <v>8</v>
      </c>
      <c r="AI203" s="4">
        <f>knicks_players_all_stats[[#This Row],[BLK]]/knicks_players_all_stats[[#This Row],[GP]]</f>
        <v>0.125</v>
      </c>
      <c r="AJ203">
        <v>250</v>
      </c>
      <c r="AK203" s="4">
        <f>knicks_players_all_stats[[#This Row],[BLKPG]]+knicks_players_all_stats[[#This Row],[STLPG]]+knicks_players_all_stats[[#This Row],[REBPG]]</f>
        <v>1.484375</v>
      </c>
      <c r="AL203" s="1">
        <f>knicks_players_all_stats[[#This Row],[TOV2]]/10</f>
        <v>25</v>
      </c>
      <c r="AM203" s="4">
        <f>knicks_players_all_stats[[#This Row],[TOV]]/knicks_players_all_stats[[#This Row],[GP]]</f>
        <v>0.390625</v>
      </c>
      <c r="AN203" s="1">
        <v>60</v>
      </c>
      <c r="AO203" s="1">
        <f>knicks_players_all_stats[[#This Row],[PF]]/knicks_players_all_stats[[#This Row],[GP]]</f>
        <v>0.9375</v>
      </c>
      <c r="AP203" s="1">
        <v>222</v>
      </c>
      <c r="AQ203" s="4">
        <f>knicks_players_all_stats[[#This Row],[PTS]]/knicks_players_all_stats[[#This Row],[GP]]</f>
        <v>3.46875</v>
      </c>
    </row>
    <row r="204" spans="1:43" customFormat="1" x14ac:dyDescent="0.3">
      <c r="A204" s="1" t="s">
        <v>1426</v>
      </c>
      <c r="B204" s="1" t="s">
        <v>1293</v>
      </c>
      <c r="C204" s="1" t="str">
        <f>knicks_players_all_stats[[#This Row],[NAME]]&amp;" ("&amp;knicks_players_all_stats[[#This Row],[SEASON]]&amp;")"</f>
        <v>Antonio McDyess (2003-04)</v>
      </c>
      <c r="D204" s="1">
        <f>knicks_players_all_stats[[#This Row],[PLAYER_AGE]]/10</f>
        <v>29</v>
      </c>
      <c r="E204">
        <v>290</v>
      </c>
      <c r="F204" s="1">
        <v>18</v>
      </c>
      <c r="G204" s="1">
        <v>4220</v>
      </c>
      <c r="H2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148</v>
      </c>
      <c r="I204" s="4">
        <f>knicks_players_all_stats[[#This Row],[VALORATION]]/knicks_players_all_stats[[#This Row],[GP]]</f>
        <v>8.2222222222222214</v>
      </c>
      <c r="J204" s="1">
        <v>65</v>
      </c>
      <c r="K204" s="1">
        <v>142</v>
      </c>
      <c r="L204" s="2">
        <f>knicks_players_all_stats[[#This Row],[FGM]]/knicks_players_all_stats[[#This Row],[FGA]]</f>
        <v>0.45774647887323944</v>
      </c>
      <c r="M204" s="16">
        <f>knicks_players_all_stats[[#This Row],[FG3M2]]/10</f>
        <v>0</v>
      </c>
      <c r="N204" s="1">
        <v>0</v>
      </c>
      <c r="O204" s="1">
        <f>knicks_players_all_stats[[#This Row],[FG3A2]]/10</f>
        <v>0</v>
      </c>
      <c r="P204" s="1">
        <v>0</v>
      </c>
      <c r="Q204" s="2" t="e">
        <f>knicks_players_all_stats[[#This Row],[FG3M2]]/knicks_players_all_stats[[#This Row],[FG3A2]]</f>
        <v>#DIV/0!</v>
      </c>
      <c r="R204" s="1">
        <v>22</v>
      </c>
      <c r="S204" s="1">
        <v>38</v>
      </c>
      <c r="T204" s="3">
        <f>knicks_players_all_stats[[#This Row],[FTM]]/knicks_players_all_stats[[#This Row],[FTA]]</f>
        <v>0.57894736842105265</v>
      </c>
      <c r="U204" s="1">
        <f>knicks_players_all_stats[[#This Row],[OREB22]]/10</f>
        <v>31</v>
      </c>
      <c r="V204" s="1">
        <f>knicks_players_all_stats[[#This Row],[DREB33]]/10</f>
        <v>88</v>
      </c>
      <c r="W204" s="1">
        <f>knicks_players_all_stats[[#This Row],[REB44]]/10</f>
        <v>119</v>
      </c>
      <c r="X204">
        <v>310</v>
      </c>
      <c r="Y204">
        <v>880</v>
      </c>
      <c r="Z204">
        <v>1190</v>
      </c>
      <c r="AA204" s="14">
        <f>knicks_players_all_stats[[#This Row],[REB]]/knicks_players_all_stats[[#This Row],[GP]]</f>
        <v>6.6111111111111107</v>
      </c>
      <c r="AB204" s="1">
        <v>20</v>
      </c>
      <c r="AC204" s="4">
        <f>knicks_players_all_stats[[#This Row],[AST]]/knicks_players_all_stats[[#This Row],[GP]]</f>
        <v>1.1111111111111112</v>
      </c>
      <c r="AD204" s="1">
        <f>knicks_players_all_stats[[#This Row],[STL2]]/10</f>
        <v>12</v>
      </c>
      <c r="AE204" s="1">
        <v>120</v>
      </c>
      <c r="AF204" s="4">
        <f>knicks_players_all_stats[[#This Row],[STL]]/knicks_players_all_stats[[#This Row],[GP]]</f>
        <v>0.66666666666666663</v>
      </c>
      <c r="AG204">
        <v>110</v>
      </c>
      <c r="AH204" s="1">
        <f>knicks_players_all_stats[[#This Row],[BLK2]]/10</f>
        <v>11</v>
      </c>
      <c r="AI204" s="4">
        <f>knicks_players_all_stats[[#This Row],[BLK]]/knicks_players_all_stats[[#This Row],[GP]]</f>
        <v>0.61111111111111116</v>
      </c>
      <c r="AJ204">
        <v>270</v>
      </c>
      <c r="AK204" s="4">
        <f>knicks_players_all_stats[[#This Row],[BLKPG]]+knicks_players_all_stats[[#This Row],[STLPG]]+knicks_players_all_stats[[#This Row],[REBPG]]</f>
        <v>7.8888888888888884</v>
      </c>
      <c r="AL204" s="1">
        <f>knicks_players_all_stats[[#This Row],[TOV2]]/10</f>
        <v>27</v>
      </c>
      <c r="AM204" s="4">
        <f>knicks_players_all_stats[[#This Row],[TOV]]/knicks_players_all_stats[[#This Row],[GP]]</f>
        <v>1.5</v>
      </c>
      <c r="AN204" s="1">
        <v>46</v>
      </c>
      <c r="AO204" s="1">
        <f>knicks_players_all_stats[[#This Row],[PF]]/knicks_players_all_stats[[#This Row],[GP]]</f>
        <v>2.5555555555555554</v>
      </c>
      <c r="AP204" s="1">
        <v>152</v>
      </c>
      <c r="AQ204" s="4">
        <f>knicks_players_all_stats[[#This Row],[PTS]]/knicks_players_all_stats[[#This Row],[GP]]</f>
        <v>8.4444444444444446</v>
      </c>
    </row>
    <row r="205" spans="1:43" customFormat="1" x14ac:dyDescent="0.3">
      <c r="A205" s="1" t="s">
        <v>1727</v>
      </c>
      <c r="B205" s="1" t="s">
        <v>1304</v>
      </c>
      <c r="C205" s="1" t="str">
        <f>knicks_players_all_stats[[#This Row],[NAME]]&amp;" ("&amp;knicks_players_all_stats[[#This Row],[SEASON]]&amp;")"</f>
        <v>Mardy Collins (2008-09)</v>
      </c>
      <c r="D205" s="1">
        <f>knicks_players_all_stats[[#This Row],[PLAYER_AGE]]/10</f>
        <v>24</v>
      </c>
      <c r="E205">
        <v>240</v>
      </c>
      <c r="F205" s="1">
        <v>9</v>
      </c>
      <c r="G205" s="1">
        <v>750</v>
      </c>
      <c r="H2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</v>
      </c>
      <c r="I205" s="4">
        <f>knicks_players_all_stats[[#This Row],[VALORATION]]/knicks_players_all_stats[[#This Row],[GP]]</f>
        <v>0.88888888888888884</v>
      </c>
      <c r="J205" s="1">
        <v>8</v>
      </c>
      <c r="K205" s="1">
        <v>23</v>
      </c>
      <c r="L205" s="1">
        <v>348</v>
      </c>
      <c r="M205" s="4">
        <f>knicks_players_all_stats[[#This Row],[FG3M2]]/10</f>
        <v>0</v>
      </c>
      <c r="N205" s="1">
        <v>0</v>
      </c>
      <c r="O205" s="1">
        <f>knicks_players_all_stats[[#This Row],[FG3A2]]/10</f>
        <v>3</v>
      </c>
      <c r="P205" s="1">
        <v>30</v>
      </c>
      <c r="Q205" s="2">
        <f>knicks_players_all_stats[[#This Row],[FG3M2]]/knicks_players_all_stats[[#This Row],[FG3A2]]</f>
        <v>0</v>
      </c>
      <c r="R205" s="1">
        <v>4</v>
      </c>
      <c r="S205" s="1">
        <v>9</v>
      </c>
      <c r="T205" s="3">
        <f>knicks_players_all_stats[[#This Row],[FTM]]/knicks_players_all_stats[[#This Row],[FTA]]</f>
        <v>0.44444444444444442</v>
      </c>
      <c r="U205" s="1">
        <f>knicks_players_all_stats[[#This Row],[OREB22]]/10</f>
        <v>2</v>
      </c>
      <c r="V205" s="1">
        <f>knicks_players_all_stats[[#This Row],[DREB33]]/10</f>
        <v>6</v>
      </c>
      <c r="W205" s="1">
        <f>knicks_players_all_stats[[#This Row],[REB44]]/10</f>
        <v>8</v>
      </c>
      <c r="X205">
        <v>20</v>
      </c>
      <c r="Y205">
        <v>60</v>
      </c>
      <c r="Z205">
        <v>80</v>
      </c>
      <c r="AA205" s="14">
        <f>knicks_players_all_stats[[#This Row],[REB]]/knicks_players_all_stats[[#This Row],[GP]]</f>
        <v>0.88888888888888884</v>
      </c>
      <c r="AB205" s="1">
        <v>10</v>
      </c>
      <c r="AC205" s="4">
        <f>knicks_players_all_stats[[#This Row],[AST]]/knicks_players_all_stats[[#This Row],[GP]]</f>
        <v>1.1111111111111112</v>
      </c>
      <c r="AD205" s="1">
        <f>knicks_players_all_stats[[#This Row],[STL2]]/10</f>
        <v>2</v>
      </c>
      <c r="AE205" s="1">
        <v>20</v>
      </c>
      <c r="AF205" s="4">
        <f>knicks_players_all_stats[[#This Row],[STL]]/knicks_players_all_stats[[#This Row],[GP]]</f>
        <v>0.22222222222222221</v>
      </c>
      <c r="AG205">
        <v>0</v>
      </c>
      <c r="AH205" s="1">
        <f>knicks_players_all_stats[[#This Row],[BLK2]]/10</f>
        <v>0</v>
      </c>
      <c r="AI205" s="4">
        <f>knicks_players_all_stats[[#This Row],[BLK]]/knicks_players_all_stats[[#This Row],[GP]]</f>
        <v>0</v>
      </c>
      <c r="AJ205">
        <v>50</v>
      </c>
      <c r="AK205" s="4">
        <f>knicks_players_all_stats[[#This Row],[BLKPG]]+knicks_players_all_stats[[#This Row],[STLPG]]+knicks_players_all_stats[[#This Row],[REBPG]]</f>
        <v>1.1111111111111112</v>
      </c>
      <c r="AL205" s="1">
        <f>knicks_players_all_stats[[#This Row],[TOV2]]/10</f>
        <v>5</v>
      </c>
      <c r="AM205" s="4">
        <f>knicks_players_all_stats[[#This Row],[TOV]]/knicks_players_all_stats[[#This Row],[GP]]</f>
        <v>0.55555555555555558</v>
      </c>
      <c r="AN205" s="1">
        <v>7</v>
      </c>
      <c r="AO205" s="1">
        <f>knicks_players_all_stats[[#This Row],[PF]]/knicks_players_all_stats[[#This Row],[GP]]</f>
        <v>0.77777777777777779</v>
      </c>
      <c r="AP205" s="1">
        <v>20</v>
      </c>
      <c r="AQ205" s="4">
        <f>knicks_players_all_stats[[#This Row],[PTS]]/knicks_players_all_stats[[#This Row],[GP]]</f>
        <v>2.2222222222222223</v>
      </c>
    </row>
    <row r="206" spans="1:43" customFormat="1" x14ac:dyDescent="0.3">
      <c r="A206" s="1" t="s">
        <v>1280</v>
      </c>
      <c r="B206" s="1" t="s">
        <v>1279</v>
      </c>
      <c r="C206" s="1" t="str">
        <f>knicks_players_all_stats[[#This Row],[NAME]]&amp;" ("&amp;knicks_players_all_stats[[#This Row],[SEASON]]&amp;")"</f>
        <v>Kyle O'Quinn (2015-16)</v>
      </c>
      <c r="D206" s="1">
        <f>knicks_players_all_stats[[#This Row],[PLAYER_AGE]]/10</f>
        <v>26</v>
      </c>
      <c r="E206">
        <v>260</v>
      </c>
      <c r="F206" s="1">
        <v>65</v>
      </c>
      <c r="G206" s="1">
        <v>7640</v>
      </c>
      <c r="H2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376</v>
      </c>
      <c r="I206" s="4">
        <f>knicks_players_all_stats[[#This Row],[VALORATION]]/knicks_players_all_stats[[#This Row],[GP]]</f>
        <v>5.7846153846153845</v>
      </c>
      <c r="J206" s="1">
        <v>129</v>
      </c>
      <c r="K206" s="1">
        <v>271</v>
      </c>
      <c r="L206" s="2">
        <f>knicks_players_all_stats[[#This Row],[FGM]]/knicks_players_all_stats[[#This Row],[FGA]]</f>
        <v>0.47601476014760147</v>
      </c>
      <c r="M206" s="16">
        <f>knicks_players_all_stats[[#This Row],[FG3M2]]/10</f>
        <v>5</v>
      </c>
      <c r="N206" s="1">
        <v>50</v>
      </c>
      <c r="O206" s="1">
        <f>knicks_players_all_stats[[#This Row],[FG3A2]]/10</f>
        <v>22</v>
      </c>
      <c r="P206" s="1">
        <v>220</v>
      </c>
      <c r="Q206" s="2">
        <f>knicks_players_all_stats[[#This Row],[FG3M2]]/knicks_players_all_stats[[#This Row],[FG3A2]]</f>
        <v>0.22727272727272727</v>
      </c>
      <c r="R206" s="1">
        <v>46</v>
      </c>
      <c r="S206" s="1">
        <v>60</v>
      </c>
      <c r="T206" s="3">
        <f>knicks_players_all_stats[[#This Row],[FTM]]/knicks_players_all_stats[[#This Row],[FTA]]</f>
        <v>0.76666666666666672</v>
      </c>
      <c r="U206" s="1">
        <f>knicks_players_all_stats[[#This Row],[OREB22]]/10</f>
        <v>76</v>
      </c>
      <c r="V206" s="1">
        <f>knicks_players_all_stats[[#This Row],[DREB33]]/10</f>
        <v>174</v>
      </c>
      <c r="W206" s="1">
        <f>knicks_players_all_stats[[#This Row],[REB44]]/10</f>
        <v>250</v>
      </c>
      <c r="X206">
        <v>760</v>
      </c>
      <c r="Y206">
        <v>1740</v>
      </c>
      <c r="Z206">
        <v>2500</v>
      </c>
      <c r="AA206" s="14">
        <f>knicks_players_all_stats[[#This Row],[REB]]/knicks_players_all_stats[[#This Row],[GP]]</f>
        <v>3.8461538461538463</v>
      </c>
      <c r="AB206" s="1">
        <v>72</v>
      </c>
      <c r="AC206" s="4">
        <f>knicks_players_all_stats[[#This Row],[AST]]/knicks_players_all_stats[[#This Row],[GP]]</f>
        <v>1.1076923076923078</v>
      </c>
      <c r="AD206" s="1">
        <f>knicks_players_all_stats[[#This Row],[STL2]]/10</f>
        <v>20</v>
      </c>
      <c r="AE206" s="1">
        <v>200</v>
      </c>
      <c r="AF206" s="4">
        <f>knicks_players_all_stats[[#This Row],[STL]]/knicks_players_all_stats[[#This Row],[GP]]</f>
        <v>0.30769230769230771</v>
      </c>
      <c r="AG206">
        <v>490</v>
      </c>
      <c r="AH206" s="1">
        <f>knicks_players_all_stats[[#This Row],[BLK2]]/10</f>
        <v>49</v>
      </c>
      <c r="AI206" s="4">
        <f>knicks_players_all_stats[[#This Row],[BLK]]/knicks_players_all_stats[[#This Row],[GP]]</f>
        <v>0.75384615384615383</v>
      </c>
      <c r="AJ206">
        <v>610</v>
      </c>
      <c r="AK206" s="4">
        <f>knicks_players_all_stats[[#This Row],[BLKPG]]+knicks_players_all_stats[[#This Row],[STLPG]]+knicks_players_all_stats[[#This Row],[REBPG]]</f>
        <v>4.907692307692308</v>
      </c>
      <c r="AL206" s="1">
        <f>knicks_players_all_stats[[#This Row],[TOV2]]/10</f>
        <v>61</v>
      </c>
      <c r="AM206" s="4">
        <f>knicks_players_all_stats[[#This Row],[TOV]]/knicks_players_all_stats[[#This Row],[GP]]</f>
        <v>0.93846153846153846</v>
      </c>
      <c r="AN206" s="1">
        <v>107</v>
      </c>
      <c r="AO206" s="1">
        <f>knicks_players_all_stats[[#This Row],[PF]]/knicks_players_all_stats[[#This Row],[GP]]</f>
        <v>1.6461538461538461</v>
      </c>
      <c r="AP206" s="1">
        <v>309</v>
      </c>
      <c r="AQ206" s="4">
        <f>knicks_players_all_stats[[#This Row],[PTS]]/knicks_players_all_stats[[#This Row],[GP]]</f>
        <v>4.7538461538461538</v>
      </c>
    </row>
    <row r="207" spans="1:43" customFormat="1" x14ac:dyDescent="0.3">
      <c r="A207" s="1" t="s">
        <v>1738</v>
      </c>
      <c r="B207" s="1" t="s">
        <v>1290</v>
      </c>
      <c r="C207" s="1" t="str">
        <f>knicks_players_all_stats[[#This Row],[NAME]]&amp;" ("&amp;knicks_players_all_stats[[#This Row],[SEASON]]&amp;")"</f>
        <v>Amar'e Stoudemire (2011-12)</v>
      </c>
      <c r="D207" s="1">
        <f>knicks_players_all_stats[[#This Row],[PLAYER_AGE]]/10</f>
        <v>29</v>
      </c>
      <c r="E207">
        <v>290</v>
      </c>
      <c r="F207" s="1">
        <v>47</v>
      </c>
      <c r="G207" s="1">
        <v>15430</v>
      </c>
      <c r="H2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680</v>
      </c>
      <c r="I207" s="4">
        <f>knicks_players_all_stats[[#This Row],[VALORATION]]/knicks_players_all_stats[[#This Row],[GP]]</f>
        <v>14.468085106382979</v>
      </c>
      <c r="J207" s="1">
        <v>316</v>
      </c>
      <c r="K207" s="1">
        <v>654</v>
      </c>
      <c r="L207" s="1">
        <v>483</v>
      </c>
      <c r="M207" s="4">
        <f>knicks_players_all_stats[[#This Row],[FG3M2]]/10</f>
        <v>5</v>
      </c>
      <c r="N207" s="1">
        <v>50</v>
      </c>
      <c r="O207" s="1">
        <f>knicks_players_all_stats[[#This Row],[FG3A2]]/10</f>
        <v>21</v>
      </c>
      <c r="P207" s="1">
        <v>210</v>
      </c>
      <c r="Q207" s="2">
        <f>knicks_players_all_stats[[#This Row],[FG3M2]]/knicks_players_all_stats[[#This Row],[FG3A2]]</f>
        <v>0.23809523809523808</v>
      </c>
      <c r="R207" s="1">
        <v>186</v>
      </c>
      <c r="S207" s="1">
        <v>243</v>
      </c>
      <c r="T207" s="3">
        <f>knicks_players_all_stats[[#This Row],[FTM]]/knicks_players_all_stats[[#This Row],[FTA]]</f>
        <v>0.76543209876543206</v>
      </c>
      <c r="U207" s="1">
        <f>knicks_players_all_stats[[#This Row],[OREB22]]/10</f>
        <v>106</v>
      </c>
      <c r="V207" s="1">
        <f>knicks_players_all_stats[[#This Row],[DREB33]]/10</f>
        <v>261</v>
      </c>
      <c r="W207" s="1">
        <f>knicks_players_all_stats[[#This Row],[REB44]]/10</f>
        <v>367</v>
      </c>
      <c r="X207">
        <v>1060</v>
      </c>
      <c r="Y207">
        <v>2610</v>
      </c>
      <c r="Z207">
        <v>3670</v>
      </c>
      <c r="AA207" s="14">
        <f>knicks_players_all_stats[[#This Row],[REB]]/knicks_players_all_stats[[#This Row],[GP]]</f>
        <v>7.8085106382978724</v>
      </c>
      <c r="AB207" s="1">
        <v>52</v>
      </c>
      <c r="AC207" s="4">
        <f>knicks_players_all_stats[[#This Row],[AST]]/knicks_players_all_stats[[#This Row],[GP]]</f>
        <v>1.1063829787234043</v>
      </c>
      <c r="AD207" s="1">
        <f>knicks_players_all_stats[[#This Row],[STL2]]/10</f>
        <v>38</v>
      </c>
      <c r="AE207" s="1">
        <v>380</v>
      </c>
      <c r="AF207" s="4">
        <f>knicks_players_all_stats[[#This Row],[STL]]/knicks_players_all_stats[[#This Row],[GP]]</f>
        <v>0.80851063829787229</v>
      </c>
      <c r="AG207">
        <v>450</v>
      </c>
      <c r="AH207" s="1">
        <f>knicks_players_all_stats[[#This Row],[BLK2]]/10</f>
        <v>45</v>
      </c>
      <c r="AI207" s="4">
        <f>knicks_players_all_stats[[#This Row],[BLK]]/knicks_players_all_stats[[#This Row],[GP]]</f>
        <v>0.95744680851063835</v>
      </c>
      <c r="AJ207">
        <v>1120</v>
      </c>
      <c r="AK207" s="4">
        <f>knicks_players_all_stats[[#This Row],[BLKPG]]+knicks_players_all_stats[[#This Row],[STLPG]]+knicks_players_all_stats[[#This Row],[REBPG]]</f>
        <v>9.5744680851063837</v>
      </c>
      <c r="AL207" s="1">
        <f>knicks_players_all_stats[[#This Row],[TOV2]]/10</f>
        <v>112</v>
      </c>
      <c r="AM207" s="4">
        <f>knicks_players_all_stats[[#This Row],[TOV]]/knicks_players_all_stats[[#This Row],[GP]]</f>
        <v>2.3829787234042552</v>
      </c>
      <c r="AN207" s="1">
        <v>138</v>
      </c>
      <c r="AO207" s="1">
        <f>knicks_players_all_stats[[#This Row],[PF]]/knicks_players_all_stats[[#This Row],[GP]]</f>
        <v>2.9361702127659575</v>
      </c>
      <c r="AP207" s="1">
        <v>823</v>
      </c>
      <c r="AQ207" s="4">
        <f>knicks_players_all_stats[[#This Row],[PTS]]/knicks_players_all_stats[[#This Row],[GP]]</f>
        <v>17.51063829787234</v>
      </c>
    </row>
    <row r="208" spans="1:43" customFormat="1" x14ac:dyDescent="0.3">
      <c r="A208" s="1" t="s">
        <v>1762</v>
      </c>
      <c r="B208" s="1" t="s">
        <v>1369</v>
      </c>
      <c r="C208" s="1" t="str">
        <f>knicks_players_all_stats[[#This Row],[NAME]]&amp;" ("&amp;knicks_players_all_stats[[#This Row],[SEASON]]&amp;")"</f>
        <v>Precious Achiuwa (2023-24)</v>
      </c>
      <c r="D208" s="1">
        <f>knicks_players_all_stats[[#This Row],[PLAYER_AGE]]/10</f>
        <v>24</v>
      </c>
      <c r="E208">
        <v>240</v>
      </c>
      <c r="F208" s="1">
        <v>49</v>
      </c>
      <c r="G208" s="1">
        <v>11870</v>
      </c>
      <c r="H2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538</v>
      </c>
      <c r="I208" s="4">
        <f>knicks_players_all_stats[[#This Row],[VALORATION]]/knicks_players_all_stats[[#This Row],[GP]]</f>
        <v>10.979591836734693</v>
      </c>
      <c r="J208" s="1">
        <v>157</v>
      </c>
      <c r="K208" s="1">
        <v>299</v>
      </c>
      <c r="L208" s="1">
        <v>525</v>
      </c>
      <c r="M208" s="4">
        <f>knicks_players_all_stats[[#This Row],[FG3M2]]/10</f>
        <v>13</v>
      </c>
      <c r="N208" s="1">
        <v>130</v>
      </c>
      <c r="O208" s="1">
        <f>knicks_players_all_stats[[#This Row],[FG3A2]]/10</f>
        <v>50</v>
      </c>
      <c r="P208" s="1">
        <v>500</v>
      </c>
      <c r="Q208" s="2">
        <f>knicks_players_all_stats[[#This Row],[FG3M2]]/knicks_players_all_stats[[#This Row],[FG3A2]]</f>
        <v>0.26</v>
      </c>
      <c r="R208" s="1">
        <v>45</v>
      </c>
      <c r="S208" s="1">
        <v>70</v>
      </c>
      <c r="T208" s="3">
        <f>knicks_players_all_stats[[#This Row],[FTM]]/knicks_players_all_stats[[#This Row],[FTA]]</f>
        <v>0.6428571428571429</v>
      </c>
      <c r="U208" s="1">
        <f>knicks_players_all_stats[[#This Row],[OREB22]]/10</f>
        <v>141</v>
      </c>
      <c r="V208" s="1">
        <f>knicks_players_all_stats[[#This Row],[DREB33]]/10</f>
        <v>210</v>
      </c>
      <c r="W208" s="1">
        <f>knicks_players_all_stats[[#This Row],[REB44]]/10</f>
        <v>351</v>
      </c>
      <c r="X208">
        <v>1410</v>
      </c>
      <c r="Y208">
        <v>2100</v>
      </c>
      <c r="Z208">
        <v>3510</v>
      </c>
      <c r="AA208" s="14">
        <f>knicks_players_all_stats[[#This Row],[REB]]/knicks_players_all_stats[[#This Row],[GP]]</f>
        <v>7.1632653061224492</v>
      </c>
      <c r="AB208" s="1">
        <v>53</v>
      </c>
      <c r="AC208" s="4">
        <f>knicks_players_all_stats[[#This Row],[AST]]/knicks_players_all_stats[[#This Row],[GP]]</f>
        <v>1.0816326530612246</v>
      </c>
      <c r="AD208" s="1">
        <f>knicks_players_all_stats[[#This Row],[STL2]]/10</f>
        <v>30</v>
      </c>
      <c r="AE208" s="1">
        <v>300</v>
      </c>
      <c r="AF208" s="4">
        <f>knicks_players_all_stats[[#This Row],[STL]]/knicks_players_all_stats[[#This Row],[GP]]</f>
        <v>0.61224489795918369</v>
      </c>
      <c r="AG208">
        <v>560</v>
      </c>
      <c r="AH208" s="1">
        <f>knicks_players_all_stats[[#This Row],[BLK2]]/10</f>
        <v>56</v>
      </c>
      <c r="AI208" s="4">
        <f>knicks_players_all_stats[[#This Row],[BLK]]/knicks_players_all_stats[[#This Row],[GP]]</f>
        <v>1.1428571428571428</v>
      </c>
      <c r="AJ208">
        <v>540</v>
      </c>
      <c r="AK208" s="4">
        <f>knicks_players_all_stats[[#This Row],[BLKPG]]+knicks_players_all_stats[[#This Row],[STLPG]]+knicks_players_all_stats[[#This Row],[REBPG]]</f>
        <v>8.9183673469387763</v>
      </c>
      <c r="AL208" s="1">
        <f>knicks_players_all_stats[[#This Row],[TOV2]]/10</f>
        <v>54</v>
      </c>
      <c r="AM208" s="4">
        <f>knicks_players_all_stats[[#This Row],[TOV]]/knicks_players_all_stats[[#This Row],[GP]]</f>
        <v>1.1020408163265305</v>
      </c>
      <c r="AN208" s="1">
        <v>103</v>
      </c>
      <c r="AO208" s="1">
        <f>knicks_players_all_stats[[#This Row],[PF]]/knicks_players_all_stats[[#This Row],[GP]]</f>
        <v>2.1020408163265305</v>
      </c>
      <c r="AP208" s="1">
        <v>372</v>
      </c>
      <c r="AQ208" s="4">
        <f>knicks_players_all_stats[[#This Row],[PTS]]/knicks_players_all_stats[[#This Row],[GP]]</f>
        <v>7.591836734693878</v>
      </c>
    </row>
    <row r="209" spans="1:43" customFormat="1" x14ac:dyDescent="0.3">
      <c r="A209" s="1" t="s">
        <v>1450</v>
      </c>
      <c r="B209" s="1" t="s">
        <v>1337</v>
      </c>
      <c r="C209" s="1" t="str">
        <f>knicks_players_all_stats[[#This Row],[NAME]]&amp;" ("&amp;knicks_players_all_stats[[#This Row],[SEASON]]&amp;")"</f>
        <v>Tyson Chandler (2013-14)</v>
      </c>
      <c r="D209" s="1">
        <f>knicks_players_all_stats[[#This Row],[PLAYER_AGE]]/10</f>
        <v>31</v>
      </c>
      <c r="E209">
        <v>310</v>
      </c>
      <c r="F209" s="1">
        <v>55</v>
      </c>
      <c r="G209" s="1">
        <v>16620</v>
      </c>
      <c r="H2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763</v>
      </c>
      <c r="I209" s="4">
        <f>knicks_players_all_stats[[#This Row],[VALORATION]]/knicks_players_all_stats[[#This Row],[GP]]</f>
        <v>13.872727272727273</v>
      </c>
      <c r="J209" s="1">
        <v>191</v>
      </c>
      <c r="K209" s="1">
        <v>322</v>
      </c>
      <c r="L209" s="2">
        <f>knicks_players_all_stats[[#This Row],[FGM]]/knicks_players_all_stats[[#This Row],[FGA]]</f>
        <v>0.59316770186335399</v>
      </c>
      <c r="M209" s="16">
        <f>knicks_players_all_stats[[#This Row],[FG3M2]]/10</f>
        <v>0</v>
      </c>
      <c r="N209" s="1">
        <v>0</v>
      </c>
      <c r="O209" s="1">
        <f>knicks_players_all_stats[[#This Row],[FG3A2]]/10</f>
        <v>1</v>
      </c>
      <c r="P209" s="1">
        <v>10</v>
      </c>
      <c r="Q209" s="2">
        <f>knicks_players_all_stats[[#This Row],[FG3M2]]/knicks_players_all_stats[[#This Row],[FG3A2]]</f>
        <v>0</v>
      </c>
      <c r="R209" s="1">
        <v>98</v>
      </c>
      <c r="S209" s="1">
        <v>155</v>
      </c>
      <c r="T209" s="3">
        <f>knicks_players_all_stats[[#This Row],[FTM]]/knicks_players_all_stats[[#This Row],[FTA]]</f>
        <v>0.63225806451612898</v>
      </c>
      <c r="U209" s="1">
        <f>knicks_players_all_stats[[#This Row],[OREB22]]/10</f>
        <v>159</v>
      </c>
      <c r="V209" s="1">
        <f>knicks_players_all_stats[[#This Row],[DREB33]]/10</f>
        <v>370</v>
      </c>
      <c r="W209" s="1">
        <f>knicks_players_all_stats[[#This Row],[REB44]]/10</f>
        <v>529</v>
      </c>
      <c r="X209">
        <v>1590</v>
      </c>
      <c r="Y209">
        <v>3700</v>
      </c>
      <c r="Z209">
        <v>5290</v>
      </c>
      <c r="AA209" s="14">
        <f>knicks_players_all_stats[[#This Row],[REB]]/knicks_players_all_stats[[#This Row],[GP]]</f>
        <v>9.6181818181818191</v>
      </c>
      <c r="AB209" s="1">
        <v>59</v>
      </c>
      <c r="AC209" s="4">
        <f>knicks_players_all_stats[[#This Row],[AST]]/knicks_players_all_stats[[#This Row],[GP]]</f>
        <v>1.0727272727272728</v>
      </c>
      <c r="AD209" s="1">
        <f>knicks_players_all_stats[[#This Row],[STL2]]/10</f>
        <v>36</v>
      </c>
      <c r="AE209" s="1">
        <v>360</v>
      </c>
      <c r="AF209" s="4">
        <f>knicks_players_all_stats[[#This Row],[STL]]/knicks_players_all_stats[[#This Row],[GP]]</f>
        <v>0.65454545454545454</v>
      </c>
      <c r="AG209">
        <v>630</v>
      </c>
      <c r="AH209" s="1">
        <f>knicks_players_all_stats[[#This Row],[BLK2]]/10</f>
        <v>63</v>
      </c>
      <c r="AI209" s="4">
        <f>knicks_players_all_stats[[#This Row],[BLK]]/knicks_players_all_stats[[#This Row],[GP]]</f>
        <v>1.1454545454545455</v>
      </c>
      <c r="AJ209">
        <v>710</v>
      </c>
      <c r="AK209" s="4">
        <f>knicks_players_all_stats[[#This Row],[BLKPG]]+knicks_players_all_stats[[#This Row],[STLPG]]+knicks_players_all_stats[[#This Row],[REBPG]]</f>
        <v>11.41818181818182</v>
      </c>
      <c r="AL209" s="1">
        <f>knicks_players_all_stats[[#This Row],[TOV2]]/10</f>
        <v>71</v>
      </c>
      <c r="AM209" s="4">
        <f>knicks_players_all_stats[[#This Row],[TOV]]/knicks_players_all_stats[[#This Row],[GP]]</f>
        <v>1.290909090909091</v>
      </c>
      <c r="AN209" s="1">
        <v>145</v>
      </c>
      <c r="AO209" s="1">
        <f>knicks_players_all_stats[[#This Row],[PF]]/knicks_players_all_stats[[#This Row],[GP]]</f>
        <v>2.6363636363636362</v>
      </c>
      <c r="AP209" s="1">
        <v>480</v>
      </c>
      <c r="AQ209" s="4">
        <f>knicks_players_all_stats[[#This Row],[PTS]]/knicks_players_all_stats[[#This Row],[GP]]</f>
        <v>8.7272727272727266</v>
      </c>
    </row>
    <row r="210" spans="1:43" customFormat="1" x14ac:dyDescent="0.3">
      <c r="A210" s="1" t="s">
        <v>1342</v>
      </c>
      <c r="B210" s="1" t="s">
        <v>1337</v>
      </c>
      <c r="C210" s="1" t="str">
        <f>knicks_players_all_stats[[#This Row],[NAME]]&amp;" ("&amp;knicks_players_all_stats[[#This Row],[SEASON]]&amp;")"</f>
        <v>Andrea Bargnani (2013-14)</v>
      </c>
      <c r="D210" s="1">
        <f>knicks_players_all_stats[[#This Row],[PLAYER_AGE]]/10</f>
        <v>28</v>
      </c>
      <c r="E210">
        <v>280</v>
      </c>
      <c r="F210" s="1">
        <v>42</v>
      </c>
      <c r="G210" s="1">
        <v>12570</v>
      </c>
      <c r="H2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435</v>
      </c>
      <c r="I210" s="4">
        <f>knicks_players_all_stats[[#This Row],[VALORATION]]/knicks_players_all_stats[[#This Row],[GP]]</f>
        <v>10.357142857142858</v>
      </c>
      <c r="J210" s="1">
        <v>222</v>
      </c>
      <c r="K210" s="1">
        <v>502</v>
      </c>
      <c r="L210" s="2">
        <f>knicks_players_all_stats[[#This Row],[FGM]]/knicks_players_all_stats[[#This Row],[FGA]]</f>
        <v>0.44223107569721115</v>
      </c>
      <c r="M210" s="16">
        <f>knicks_players_all_stats[[#This Row],[FG3M2]]/10</f>
        <v>30</v>
      </c>
      <c r="N210" s="1">
        <v>300</v>
      </c>
      <c r="O210" s="1">
        <f>knicks_players_all_stats[[#This Row],[FG3A2]]/10</f>
        <v>108</v>
      </c>
      <c r="P210" s="1">
        <v>1080</v>
      </c>
      <c r="Q210" s="2">
        <f>knicks_players_all_stats[[#This Row],[FG3M2]]/knicks_players_all_stats[[#This Row],[FG3A2]]</f>
        <v>0.27777777777777779</v>
      </c>
      <c r="R210" s="1">
        <v>84</v>
      </c>
      <c r="S210" s="1">
        <v>102</v>
      </c>
      <c r="T210" s="3">
        <f>knicks_players_all_stats[[#This Row],[FTM]]/knicks_players_all_stats[[#This Row],[FTA]]</f>
        <v>0.82352941176470584</v>
      </c>
      <c r="U210" s="1">
        <f>knicks_players_all_stats[[#This Row],[OREB22]]/10</f>
        <v>69</v>
      </c>
      <c r="V210" s="1">
        <f>knicks_players_all_stats[[#This Row],[DREB33]]/10</f>
        <v>153</v>
      </c>
      <c r="W210" s="1">
        <f>knicks_players_all_stats[[#This Row],[REB44]]/10</f>
        <v>222</v>
      </c>
      <c r="X210">
        <v>690</v>
      </c>
      <c r="Y210">
        <v>1530</v>
      </c>
      <c r="Z210">
        <v>2220</v>
      </c>
      <c r="AA210" s="14">
        <f>knicks_players_all_stats[[#This Row],[REB]]/knicks_players_all_stats[[#This Row],[GP]]</f>
        <v>5.2857142857142856</v>
      </c>
      <c r="AB210" s="1">
        <v>45</v>
      </c>
      <c r="AC210" s="4">
        <f>knicks_players_all_stats[[#This Row],[AST]]/knicks_players_all_stats[[#This Row],[GP]]</f>
        <v>1.0714285714285714</v>
      </c>
      <c r="AD210" s="1">
        <f>knicks_players_all_stats[[#This Row],[STL2]]/10</f>
        <v>14</v>
      </c>
      <c r="AE210" s="1">
        <v>140</v>
      </c>
      <c r="AF210" s="4">
        <f>knicks_players_all_stats[[#This Row],[STL]]/knicks_players_all_stats[[#This Row],[GP]]</f>
        <v>0.33333333333333331</v>
      </c>
      <c r="AG210">
        <v>520</v>
      </c>
      <c r="AH210" s="1">
        <f>knicks_players_all_stats[[#This Row],[BLK2]]/10</f>
        <v>52</v>
      </c>
      <c r="AI210" s="4">
        <f>knicks_players_all_stats[[#This Row],[BLK]]/knicks_players_all_stats[[#This Row],[GP]]</f>
        <v>1.2380952380952381</v>
      </c>
      <c r="AJ210">
        <v>580</v>
      </c>
      <c r="AK210" s="4">
        <f>knicks_players_all_stats[[#This Row],[BLKPG]]+knicks_players_all_stats[[#This Row],[STLPG]]+knicks_players_all_stats[[#This Row],[REBPG]]</f>
        <v>6.8571428571428568</v>
      </c>
      <c r="AL210" s="1">
        <f>knicks_players_all_stats[[#This Row],[TOV2]]/10</f>
        <v>58</v>
      </c>
      <c r="AM210" s="4">
        <f>knicks_players_all_stats[[#This Row],[TOV]]/knicks_players_all_stats[[#This Row],[GP]]</f>
        <v>1.3809523809523809</v>
      </c>
      <c r="AN210" s="1">
        <v>100</v>
      </c>
      <c r="AO210" s="1">
        <f>knicks_players_all_stats[[#This Row],[PF]]/knicks_players_all_stats[[#This Row],[GP]]</f>
        <v>2.3809523809523809</v>
      </c>
      <c r="AP210" s="1">
        <v>558</v>
      </c>
      <c r="AQ210" s="4">
        <f>knicks_players_all_stats[[#This Row],[PTS]]/knicks_players_all_stats[[#This Row],[GP]]</f>
        <v>13.285714285714286</v>
      </c>
    </row>
    <row r="211" spans="1:43" x14ac:dyDescent="0.3">
      <c r="A211" s="1" t="s">
        <v>1853</v>
      </c>
      <c r="B211" s="1" t="s">
        <v>1330</v>
      </c>
      <c r="C211" s="1" t="str">
        <f>knicks_players_all_stats[[#This Row],[NAME]]&amp;" ("&amp;knicks_players_all_stats[[#This Row],[SEASON]]&amp;")"</f>
        <v>Clar. Weatherspoon (2001-02)</v>
      </c>
      <c r="D211" s="1">
        <f>knicks_players_all_stats[[#This Row],[PLAYER_AGE]]/10</f>
        <v>31</v>
      </c>
      <c r="E211">
        <v>310</v>
      </c>
      <c r="F211" s="1">
        <v>56</v>
      </c>
      <c r="G211" s="1">
        <v>17260</v>
      </c>
      <c r="H2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627</v>
      </c>
      <c r="I211" s="4">
        <f>knicks_players_all_stats[[#This Row],[VALORATION]]/knicks_players_all_stats[[#This Row],[GP]]</f>
        <v>11.196428571428571</v>
      </c>
      <c r="J211" s="1">
        <v>189</v>
      </c>
      <c r="K211" s="1">
        <v>452</v>
      </c>
      <c r="L211" s="1">
        <v>418</v>
      </c>
      <c r="M211" s="4">
        <f>knicks_players_all_stats[[#This Row],[FG3M2]]/10</f>
        <v>0</v>
      </c>
      <c r="N211" s="1">
        <v>0</v>
      </c>
      <c r="O211" s="1">
        <f>knicks_players_all_stats[[#This Row],[FG3A2]]/10</f>
        <v>0</v>
      </c>
      <c r="P211" s="1">
        <v>0</v>
      </c>
      <c r="Q211" s="2" t="e">
        <f>knicks_players_all_stats[[#This Row],[FG3M2]]/knicks_players_all_stats[[#This Row],[FG3A2]]</f>
        <v>#DIV/0!</v>
      </c>
      <c r="R211" s="1">
        <v>116</v>
      </c>
      <c r="S211" s="1">
        <v>146</v>
      </c>
      <c r="T211" s="3">
        <f>knicks_players_all_stats[[#This Row],[FTM]]/knicks_players_all_stats[[#This Row],[FTA]]</f>
        <v>0.79452054794520544</v>
      </c>
      <c r="U211" s="1">
        <f>knicks_players_all_stats[[#This Row],[OREB22]]/10</f>
        <v>149</v>
      </c>
      <c r="V211" s="1">
        <f>knicks_players_all_stats[[#This Row],[DREB33]]/10</f>
        <v>311</v>
      </c>
      <c r="W211" s="1">
        <f>knicks_players_all_stats[[#This Row],[REB44]]/10</f>
        <v>460</v>
      </c>
      <c r="X211">
        <v>1490</v>
      </c>
      <c r="Y211">
        <v>3110</v>
      </c>
      <c r="Z211">
        <v>4600</v>
      </c>
      <c r="AA211" s="14">
        <f>knicks_players_all_stats[[#This Row],[REB]]/knicks_players_all_stats[[#This Row],[GP]]</f>
        <v>8.2142857142857135</v>
      </c>
      <c r="AB211" s="1">
        <v>60</v>
      </c>
      <c r="AC211" s="4">
        <f>knicks_players_all_stats[[#This Row],[AST]]/knicks_players_all_stats[[#This Row],[GP]]</f>
        <v>1.0714285714285714</v>
      </c>
      <c r="AD211" s="1">
        <f>knicks_players_all_stats[[#This Row],[STL2]]/10</f>
        <v>37</v>
      </c>
      <c r="AE211" s="1">
        <v>370</v>
      </c>
      <c r="AF211" s="4">
        <f>knicks_players_all_stats[[#This Row],[STL]]/knicks_players_all_stats[[#This Row],[GP]]</f>
        <v>0.6607142857142857</v>
      </c>
      <c r="AG211">
        <v>480</v>
      </c>
      <c r="AH211" s="1">
        <f>knicks_players_all_stats[[#This Row],[BLK2]]/10</f>
        <v>48</v>
      </c>
      <c r="AI211" s="4">
        <f>knicks_players_all_stats[[#This Row],[BLK]]/knicks_players_all_stats[[#This Row],[GP]]</f>
        <v>0.8571428571428571</v>
      </c>
      <c r="AJ211">
        <v>470</v>
      </c>
      <c r="AK211" s="4">
        <f>knicks_players_all_stats[[#This Row],[BLKPG]]+knicks_players_all_stats[[#This Row],[STLPG]]+knicks_players_all_stats[[#This Row],[REBPG]]</f>
        <v>9.7321428571428559</v>
      </c>
      <c r="AL211" s="1">
        <f>knicks_players_all_stats[[#This Row],[TOV2]]/10</f>
        <v>47</v>
      </c>
      <c r="AM211" s="4">
        <f>knicks_players_all_stats[[#This Row],[TOV]]/knicks_players_all_stats[[#This Row],[GP]]</f>
        <v>0.8392857142857143</v>
      </c>
      <c r="AN211" s="1">
        <v>132</v>
      </c>
      <c r="AO211" s="1">
        <f>knicks_players_all_stats[[#This Row],[PF]]/knicks_players_all_stats[[#This Row],[GP]]</f>
        <v>2.3571428571428572</v>
      </c>
      <c r="AP211" s="1">
        <v>494</v>
      </c>
      <c r="AQ211" s="4">
        <f>knicks_players_all_stats[[#This Row],[PTS]]/knicks_players_all_stats[[#This Row],[GP]]</f>
        <v>8.8214285714285712</v>
      </c>
    </row>
    <row r="212" spans="1:43" x14ac:dyDescent="0.3">
      <c r="A212" s="1" t="s">
        <v>1798</v>
      </c>
      <c r="B212" s="1" t="s">
        <v>1308</v>
      </c>
      <c r="C212" s="1" t="str">
        <f>knicks_players_all_stats[[#This Row],[NAME]]&amp;" ("&amp;knicks_players_all_stats[[#This Row],[SEASON]]&amp;")"</f>
        <v>Obi Toppin (2021-22)</v>
      </c>
      <c r="D212" s="1">
        <f>knicks_players_all_stats[[#This Row],[PLAYER_AGE]]/10</f>
        <v>24</v>
      </c>
      <c r="E212">
        <v>240</v>
      </c>
      <c r="F212" s="1">
        <v>72</v>
      </c>
      <c r="G212" s="1">
        <v>12300</v>
      </c>
      <c r="H2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641</v>
      </c>
      <c r="I212" s="4">
        <f>knicks_players_all_stats[[#This Row],[VALORATION]]/knicks_players_all_stats[[#This Row],[GP]]</f>
        <v>8.9027777777777786</v>
      </c>
      <c r="J212" s="1">
        <v>251</v>
      </c>
      <c r="K212" s="1">
        <v>473</v>
      </c>
      <c r="L212" s="1">
        <v>531</v>
      </c>
      <c r="M212" s="4">
        <f>knicks_players_all_stats[[#This Row],[FG3M2]]/10</f>
        <v>52</v>
      </c>
      <c r="N212" s="1">
        <v>520</v>
      </c>
      <c r="O212" s="1">
        <f>knicks_players_all_stats[[#This Row],[FG3A2]]/10</f>
        <v>169</v>
      </c>
      <c r="P212" s="1">
        <v>1690</v>
      </c>
      <c r="Q212" s="2">
        <f>knicks_players_all_stats[[#This Row],[FG3M2]]/knicks_players_all_stats[[#This Row],[FG3A2]]</f>
        <v>0.30769230769230771</v>
      </c>
      <c r="R212" s="1">
        <v>94</v>
      </c>
      <c r="S212" s="1">
        <v>124</v>
      </c>
      <c r="T212" s="3">
        <f>knicks_players_all_stats[[#This Row],[FTM]]/knicks_players_all_stats[[#This Row],[FTA]]</f>
        <v>0.75806451612903225</v>
      </c>
      <c r="U212" s="1">
        <f>knicks_players_all_stats[[#This Row],[OREB22]]/10</f>
        <v>69</v>
      </c>
      <c r="V212" s="1">
        <f>knicks_players_all_stats[[#This Row],[DREB33]]/10</f>
        <v>199</v>
      </c>
      <c r="W212" s="1">
        <f>knicks_players_all_stats[[#This Row],[REB44]]/10</f>
        <v>268</v>
      </c>
      <c r="X212">
        <v>690</v>
      </c>
      <c r="Y212">
        <v>1990</v>
      </c>
      <c r="Z212">
        <v>2680</v>
      </c>
      <c r="AA212" s="14">
        <f>knicks_players_all_stats[[#This Row],[REB]]/knicks_players_all_stats[[#This Row],[GP]]</f>
        <v>3.7222222222222223</v>
      </c>
      <c r="AB212" s="1">
        <v>77</v>
      </c>
      <c r="AC212" s="4">
        <f>knicks_players_all_stats[[#This Row],[AST]]/knicks_players_all_stats[[#This Row],[GP]]</f>
        <v>1.0694444444444444</v>
      </c>
      <c r="AD212" s="1">
        <f>knicks_players_all_stats[[#This Row],[STL2]]/10</f>
        <v>25</v>
      </c>
      <c r="AE212" s="1">
        <v>250</v>
      </c>
      <c r="AF212" s="4">
        <f>knicks_players_all_stats[[#This Row],[STL]]/knicks_players_all_stats[[#This Row],[GP]]</f>
        <v>0.34722222222222221</v>
      </c>
      <c r="AG212">
        <v>330</v>
      </c>
      <c r="AH212" s="1">
        <f>knicks_players_all_stats[[#This Row],[BLK2]]/10</f>
        <v>33</v>
      </c>
      <c r="AI212" s="4">
        <f>knicks_players_all_stats[[#This Row],[BLK]]/knicks_players_all_stats[[#This Row],[GP]]</f>
        <v>0.45833333333333331</v>
      </c>
      <c r="AJ212">
        <v>560</v>
      </c>
      <c r="AK212" s="4">
        <f>knicks_players_all_stats[[#This Row],[BLKPG]]+knicks_players_all_stats[[#This Row],[STLPG]]+knicks_players_all_stats[[#This Row],[REBPG]]</f>
        <v>4.5277777777777777</v>
      </c>
      <c r="AL212" s="1">
        <f>knicks_players_all_stats[[#This Row],[TOV2]]/10</f>
        <v>56</v>
      </c>
      <c r="AM212" s="4">
        <f>knicks_players_all_stats[[#This Row],[TOV]]/knicks_players_all_stats[[#This Row],[GP]]</f>
        <v>0.77777777777777779</v>
      </c>
      <c r="AN212" s="1">
        <v>102</v>
      </c>
      <c r="AO212" s="1">
        <f>knicks_players_all_stats[[#This Row],[PF]]/knicks_players_all_stats[[#This Row],[GP]]</f>
        <v>1.4166666666666667</v>
      </c>
      <c r="AP212" s="1">
        <v>648</v>
      </c>
      <c r="AQ212" s="4">
        <f>knicks_players_all_stats[[#This Row],[PTS]]/knicks_players_all_stats[[#This Row],[GP]]</f>
        <v>9</v>
      </c>
    </row>
    <row r="213" spans="1:43" x14ac:dyDescent="0.3">
      <c r="A213" s="1" t="s">
        <v>1368</v>
      </c>
      <c r="B213" s="1" t="s">
        <v>1295</v>
      </c>
      <c r="C213" s="1" t="str">
        <f>knicks_players_all_stats[[#This Row],[NAME]]&amp;" ("&amp;knicks_players_all_stats[[#This Row],[SEASON]]&amp;")"</f>
        <v>Trevor Ariza (2004-05)</v>
      </c>
      <c r="D213" s="1">
        <f>knicks_players_all_stats[[#This Row],[PLAYER_AGE]]/10</f>
        <v>20</v>
      </c>
      <c r="E213">
        <v>200</v>
      </c>
      <c r="F213" s="1">
        <v>80</v>
      </c>
      <c r="G213" s="1">
        <v>13850</v>
      </c>
      <c r="H2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390</v>
      </c>
      <c r="I213" s="4">
        <f>knicks_players_all_stats[[#This Row],[VALORATION]]/knicks_players_all_stats[[#This Row],[GP]]</f>
        <v>4.875</v>
      </c>
      <c r="J213" s="1">
        <v>172</v>
      </c>
      <c r="K213" s="1">
        <v>389</v>
      </c>
      <c r="L213" s="2">
        <f>knicks_players_all_stats[[#This Row],[FGM]]/knicks_players_all_stats[[#This Row],[FGA]]</f>
        <v>0.44215938303341901</v>
      </c>
      <c r="M213" s="16">
        <f>knicks_players_all_stats[[#This Row],[FG3M2]]/10</f>
        <v>3</v>
      </c>
      <c r="N213" s="1">
        <v>30</v>
      </c>
      <c r="O213" s="1">
        <f>knicks_players_all_stats[[#This Row],[FG3A2]]/10</f>
        <v>13</v>
      </c>
      <c r="P213" s="1">
        <v>130</v>
      </c>
      <c r="Q213" s="2">
        <f>knicks_players_all_stats[[#This Row],[FG3M2]]/knicks_players_all_stats[[#This Row],[FG3A2]]</f>
        <v>0.23076923076923078</v>
      </c>
      <c r="R213" s="1">
        <v>121</v>
      </c>
      <c r="S213" s="1">
        <v>174</v>
      </c>
      <c r="T213" s="3">
        <f>knicks_players_all_stats[[#This Row],[FTM]]/knicks_players_all_stats[[#This Row],[FTA]]</f>
        <v>0.6954022988505747</v>
      </c>
      <c r="U213" s="1">
        <f>knicks_players_all_stats[[#This Row],[OREB22]]/10</f>
        <v>89</v>
      </c>
      <c r="V213" s="1">
        <f>knicks_players_all_stats[[#This Row],[DREB33]]/10</f>
        <v>153</v>
      </c>
      <c r="W213" s="1">
        <f>knicks_players_all_stats[[#This Row],[REB44]]/10</f>
        <v>242</v>
      </c>
      <c r="X213">
        <v>890</v>
      </c>
      <c r="Y213">
        <v>1530</v>
      </c>
      <c r="Z213">
        <v>2420</v>
      </c>
      <c r="AA213" s="14">
        <f>knicks_players_all_stats[[#This Row],[REB]]/knicks_players_all_stats[[#This Row],[GP]]</f>
        <v>3.0249999999999999</v>
      </c>
      <c r="AB213" s="1">
        <v>85</v>
      </c>
      <c r="AC213" s="4">
        <f>knicks_players_all_stats[[#This Row],[AST]]/knicks_players_all_stats[[#This Row],[GP]]</f>
        <v>1.0625</v>
      </c>
      <c r="AD213" s="1">
        <f>knicks_players_all_stats[[#This Row],[STL2]]/10</f>
        <v>70</v>
      </c>
      <c r="AE213" s="1">
        <v>700</v>
      </c>
      <c r="AF213" s="4">
        <f>knicks_players_all_stats[[#This Row],[STL]]/knicks_players_all_stats[[#This Row],[GP]]</f>
        <v>0.875</v>
      </c>
      <c r="AG213">
        <v>180</v>
      </c>
      <c r="AH213" s="1">
        <f>knicks_players_all_stats[[#This Row],[BLK2]]/10</f>
        <v>18</v>
      </c>
      <c r="AI213" s="4">
        <f>knicks_players_all_stats[[#This Row],[BLK]]/knicks_players_all_stats[[#This Row],[GP]]</f>
        <v>0.22500000000000001</v>
      </c>
      <c r="AJ213">
        <v>730</v>
      </c>
      <c r="AK213" s="4">
        <f>knicks_players_all_stats[[#This Row],[BLKPG]]+knicks_players_all_stats[[#This Row],[STLPG]]+knicks_players_all_stats[[#This Row],[REBPG]]</f>
        <v>4.125</v>
      </c>
      <c r="AL213" s="1">
        <f>knicks_players_all_stats[[#This Row],[TOV2]]/10</f>
        <v>73</v>
      </c>
      <c r="AM213" s="4">
        <f>knicks_players_all_stats[[#This Row],[TOV]]/knicks_players_all_stats[[#This Row],[GP]]</f>
        <v>0.91249999999999998</v>
      </c>
      <c r="AN213" s="1">
        <v>150</v>
      </c>
      <c r="AO213" s="1">
        <f>knicks_players_all_stats[[#This Row],[PF]]/knicks_players_all_stats[[#This Row],[GP]]</f>
        <v>1.875</v>
      </c>
      <c r="AP213" s="1">
        <v>468</v>
      </c>
      <c r="AQ213" s="4">
        <f>knicks_players_all_stats[[#This Row],[PTS]]/knicks_players_all_stats[[#This Row],[GP]]</f>
        <v>5.85</v>
      </c>
    </row>
    <row r="214" spans="1:43" x14ac:dyDescent="0.3">
      <c r="A214" s="1" t="s">
        <v>1294</v>
      </c>
      <c r="B214" s="1" t="s">
        <v>1295</v>
      </c>
      <c r="C214" s="1" t="str">
        <f>knicks_players_all_stats[[#This Row],[NAME]]&amp;" ("&amp;knicks_players_all_stats[[#This Row],[SEASON]]&amp;")"</f>
        <v>Moochie Norris (2004-05)</v>
      </c>
      <c r="D214" s="1">
        <f>knicks_players_all_stats[[#This Row],[PLAYER_AGE]]/10</f>
        <v>31</v>
      </c>
      <c r="E214">
        <v>310</v>
      </c>
      <c r="F214" s="1">
        <v>32</v>
      </c>
      <c r="G214" s="1">
        <v>3210</v>
      </c>
      <c r="H2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</v>
      </c>
      <c r="I214" s="4">
        <f>knicks_players_all_stats[[#This Row],[VALORATION]]/knicks_players_all_stats[[#This Row],[GP]]</f>
        <v>1.40625</v>
      </c>
      <c r="J214" s="1">
        <v>32</v>
      </c>
      <c r="K214" s="1">
        <v>93</v>
      </c>
      <c r="L214" s="2">
        <f>knicks_players_all_stats[[#This Row],[FGM]]/knicks_players_all_stats[[#This Row],[FGA]]</f>
        <v>0.34408602150537637</v>
      </c>
      <c r="M214" s="16">
        <f>knicks_players_all_stats[[#This Row],[FG3M2]]/10</f>
        <v>0</v>
      </c>
      <c r="N214" s="1">
        <v>0</v>
      </c>
      <c r="O214" s="1">
        <f>knicks_players_all_stats[[#This Row],[FG3A2]]/10</f>
        <v>12</v>
      </c>
      <c r="P214" s="1">
        <v>120</v>
      </c>
      <c r="Q214" s="2">
        <f>knicks_players_all_stats[[#This Row],[FG3M2]]/knicks_players_all_stats[[#This Row],[FG3A2]]</f>
        <v>0</v>
      </c>
      <c r="R214" s="1">
        <v>18</v>
      </c>
      <c r="S214" s="1">
        <v>22</v>
      </c>
      <c r="T214" s="3">
        <f>knicks_players_all_stats[[#This Row],[FTM]]/knicks_players_all_stats[[#This Row],[FTA]]</f>
        <v>0.81818181818181823</v>
      </c>
      <c r="U214" s="1">
        <f>knicks_players_all_stats[[#This Row],[OREB22]]/10</f>
        <v>9</v>
      </c>
      <c r="V214" s="1">
        <f>knicks_players_all_stats[[#This Row],[DREB33]]/10</f>
        <v>33</v>
      </c>
      <c r="W214" s="1">
        <f>knicks_players_all_stats[[#This Row],[REB44]]/10</f>
        <v>42</v>
      </c>
      <c r="X214">
        <v>90</v>
      </c>
      <c r="Y214">
        <v>330</v>
      </c>
      <c r="Z214">
        <v>420</v>
      </c>
      <c r="AA214" s="14">
        <f>knicks_players_all_stats[[#This Row],[REB]]/knicks_players_all_stats[[#This Row],[GP]]</f>
        <v>1.3125</v>
      </c>
      <c r="AB214" s="1">
        <v>34</v>
      </c>
      <c r="AC214" s="4">
        <f>knicks_players_all_stats[[#This Row],[AST]]/knicks_players_all_stats[[#This Row],[GP]]</f>
        <v>1.0625</v>
      </c>
      <c r="AD214" s="1">
        <f>knicks_players_all_stats[[#This Row],[STL2]]/10</f>
        <v>17</v>
      </c>
      <c r="AE214" s="1">
        <v>170</v>
      </c>
      <c r="AF214" s="4">
        <f>knicks_players_all_stats[[#This Row],[STL]]/knicks_players_all_stats[[#This Row],[GP]]</f>
        <v>0.53125</v>
      </c>
      <c r="AG214">
        <v>20</v>
      </c>
      <c r="AH214" s="1">
        <f>knicks_players_all_stats[[#This Row],[BLK2]]/10</f>
        <v>2</v>
      </c>
      <c r="AI214" s="4">
        <f>knicks_players_all_stats[[#This Row],[BLK]]/knicks_players_all_stats[[#This Row],[GP]]</f>
        <v>6.25E-2</v>
      </c>
      <c r="AJ214">
        <v>250</v>
      </c>
      <c r="AK214" s="4">
        <f>knicks_players_all_stats[[#This Row],[BLKPG]]+knicks_players_all_stats[[#This Row],[STLPG]]+knicks_players_all_stats[[#This Row],[REBPG]]</f>
        <v>1.90625</v>
      </c>
      <c r="AL214" s="1">
        <f>knicks_players_all_stats[[#This Row],[TOV2]]/10</f>
        <v>25</v>
      </c>
      <c r="AM214" s="4">
        <f>knicks_players_all_stats[[#This Row],[TOV]]/knicks_players_all_stats[[#This Row],[GP]]</f>
        <v>0.78125</v>
      </c>
      <c r="AN214" s="1">
        <v>42</v>
      </c>
      <c r="AO214" s="1">
        <f>knicks_players_all_stats[[#This Row],[PF]]/knicks_players_all_stats[[#This Row],[GP]]</f>
        <v>1.3125</v>
      </c>
      <c r="AP214" s="1">
        <v>82</v>
      </c>
      <c r="AQ214" s="4">
        <f>knicks_players_all_stats[[#This Row],[PTS]]/knicks_players_all_stats[[#This Row],[GP]]</f>
        <v>2.5625</v>
      </c>
    </row>
    <row r="215" spans="1:43" x14ac:dyDescent="0.3">
      <c r="A215" s="1" t="s">
        <v>1790</v>
      </c>
      <c r="B215" s="1" t="s">
        <v>1330</v>
      </c>
      <c r="C215" s="1" t="str">
        <f>knicks_players_all_stats[[#This Row],[NAME]]&amp;" ("&amp;knicks_players_all_stats[[#This Row],[SEASON]]&amp;")"</f>
        <v>Kurt Thomas (2001-02)</v>
      </c>
      <c r="D215" s="1">
        <f>knicks_players_all_stats[[#This Row],[PLAYER_AGE]]/10</f>
        <v>29</v>
      </c>
      <c r="E215">
        <v>290</v>
      </c>
      <c r="F215" s="1">
        <v>82</v>
      </c>
      <c r="G215" s="1">
        <v>27690</v>
      </c>
      <c r="H2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1109</v>
      </c>
      <c r="I215" s="4">
        <f>knicks_players_all_stats[[#This Row],[VALORATION]]/knicks_players_all_stats[[#This Row],[GP]]</f>
        <v>13.524390243902438</v>
      </c>
      <c r="J215" s="1">
        <v>463</v>
      </c>
      <c r="K215" s="1">
        <v>938</v>
      </c>
      <c r="L215" s="1">
        <v>494</v>
      </c>
      <c r="M215" s="4">
        <f>knicks_players_all_stats[[#This Row],[FG3M2]]/10</f>
        <v>1</v>
      </c>
      <c r="N215" s="1">
        <v>10</v>
      </c>
      <c r="O215" s="1">
        <f>knicks_players_all_stats[[#This Row],[FG3A2]]/10</f>
        <v>6</v>
      </c>
      <c r="P215" s="1">
        <v>60</v>
      </c>
      <c r="Q215" s="2">
        <f>knicks_players_all_stats[[#This Row],[FG3M2]]/knicks_players_all_stats[[#This Row],[FG3A2]]</f>
        <v>0.16666666666666666</v>
      </c>
      <c r="R215" s="1">
        <v>216</v>
      </c>
      <c r="S215" s="1">
        <v>265</v>
      </c>
      <c r="T215" s="3">
        <f>knicks_players_all_stats[[#This Row],[FTM]]/knicks_players_all_stats[[#This Row],[FTA]]</f>
        <v>0.81509433962264155</v>
      </c>
      <c r="U215" s="1">
        <f>knicks_players_all_stats[[#This Row],[OREB22]]/10</f>
        <v>214</v>
      </c>
      <c r="V215" s="1">
        <f>knicks_players_all_stats[[#This Row],[DREB33]]/10</f>
        <v>533</v>
      </c>
      <c r="W215" s="1">
        <f>knicks_players_all_stats[[#This Row],[REB44]]/10</f>
        <v>747</v>
      </c>
      <c r="X215">
        <v>2140</v>
      </c>
      <c r="Y215">
        <v>5330</v>
      </c>
      <c r="Z215">
        <v>7470</v>
      </c>
      <c r="AA215" s="14">
        <f>knicks_players_all_stats[[#This Row],[REB]]/knicks_players_all_stats[[#This Row],[GP]]</f>
        <v>9.1097560975609753</v>
      </c>
      <c r="AB215" s="1">
        <v>87</v>
      </c>
      <c r="AC215" s="4">
        <f>knicks_players_all_stats[[#This Row],[AST]]/knicks_players_all_stats[[#This Row],[GP]]</f>
        <v>1.0609756097560976</v>
      </c>
      <c r="AD215" s="1">
        <f>knicks_players_all_stats[[#This Row],[STL2]]/10</f>
        <v>71</v>
      </c>
      <c r="AE215" s="1">
        <v>710</v>
      </c>
      <c r="AF215" s="4">
        <f>knicks_players_all_stats[[#This Row],[STL]]/knicks_players_all_stats[[#This Row],[GP]]</f>
        <v>0.86585365853658536</v>
      </c>
      <c r="AG215">
        <v>790</v>
      </c>
      <c r="AH215" s="1">
        <f>knicks_players_all_stats[[#This Row],[BLK2]]/10</f>
        <v>79</v>
      </c>
      <c r="AI215" s="4">
        <f>knicks_players_all_stats[[#This Row],[BLK]]/knicks_players_all_stats[[#This Row],[GP]]</f>
        <v>0.96341463414634143</v>
      </c>
      <c r="AJ215">
        <v>1530</v>
      </c>
      <c r="AK215" s="4">
        <f>knicks_players_all_stats[[#This Row],[BLKPG]]+knicks_players_all_stats[[#This Row],[STLPG]]+knicks_players_all_stats[[#This Row],[REBPG]]</f>
        <v>10.939024390243901</v>
      </c>
      <c r="AL215" s="1">
        <f>knicks_players_all_stats[[#This Row],[TOV2]]/10</f>
        <v>153</v>
      </c>
      <c r="AM215" s="4">
        <f>knicks_players_all_stats[[#This Row],[TOV]]/knicks_players_all_stats[[#This Row],[GP]]</f>
        <v>1.8658536585365855</v>
      </c>
      <c r="AN215" s="1">
        <v>341</v>
      </c>
      <c r="AO215" s="1">
        <f>knicks_players_all_stats[[#This Row],[PF]]/knicks_players_all_stats[[#This Row],[GP]]</f>
        <v>4.1585365853658534</v>
      </c>
      <c r="AP215" s="1">
        <v>1143</v>
      </c>
      <c r="AQ215" s="4">
        <f>knicks_players_all_stats[[#This Row],[PTS]]/knicks_players_all_stats[[#This Row],[GP]]</f>
        <v>13.939024390243903</v>
      </c>
    </row>
    <row r="216" spans="1:43" x14ac:dyDescent="0.3">
      <c r="A216" s="1" t="s">
        <v>1632</v>
      </c>
      <c r="B216" s="1" t="s">
        <v>1325</v>
      </c>
      <c r="C216" s="1" t="str">
        <f>knicks_players_all_stats[[#This Row],[NAME]]&amp;" ("&amp;knicks_players_all_stats[[#This Row],[SEASON]]&amp;")"</f>
        <v>Shandon Anderson (2002-03)</v>
      </c>
      <c r="D216" s="1">
        <f>knicks_players_all_stats[[#This Row],[PLAYER_AGE]]/10</f>
        <v>29</v>
      </c>
      <c r="E216">
        <v>290</v>
      </c>
      <c r="F216" s="1">
        <v>82</v>
      </c>
      <c r="G216" s="1">
        <v>17290</v>
      </c>
      <c r="H2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490</v>
      </c>
      <c r="I216" s="4">
        <f>knicks_players_all_stats[[#This Row],[VALORATION]]/knicks_players_all_stats[[#This Row],[GP]]</f>
        <v>5.975609756097561</v>
      </c>
      <c r="J216" s="1">
        <v>248</v>
      </c>
      <c r="K216" s="1">
        <v>537</v>
      </c>
      <c r="L216" s="2">
        <f>knicks_players_all_stats[[#This Row],[FGM]]/knicks_players_all_stats[[#This Row],[FGA]]</f>
        <v>0.46182495344506519</v>
      </c>
      <c r="M216" s="16">
        <f>knicks_players_all_stats[[#This Row],[FG3M2]]/10</f>
        <v>52</v>
      </c>
      <c r="N216" s="1">
        <v>520</v>
      </c>
      <c r="O216" s="1">
        <f>knicks_players_all_stats[[#This Row],[FG3A2]]/10</f>
        <v>140</v>
      </c>
      <c r="P216" s="1">
        <v>1400</v>
      </c>
      <c r="Q216" s="2">
        <f>knicks_players_all_stats[[#This Row],[FG3M2]]/knicks_players_all_stats[[#This Row],[FG3A2]]</f>
        <v>0.37142857142857144</v>
      </c>
      <c r="R216" s="1">
        <v>139</v>
      </c>
      <c r="S216" s="1">
        <v>190</v>
      </c>
      <c r="T216" s="3">
        <f>knicks_players_all_stats[[#This Row],[FTM]]/knicks_players_all_stats[[#This Row],[FTA]]</f>
        <v>0.73157894736842111</v>
      </c>
      <c r="U216" s="1">
        <f>knicks_players_all_stats[[#This Row],[OREB22]]/10</f>
        <v>64</v>
      </c>
      <c r="V216" s="1">
        <f>knicks_players_all_stats[[#This Row],[DREB33]]/10</f>
        <v>190</v>
      </c>
      <c r="W216" s="1">
        <f>knicks_players_all_stats[[#This Row],[REB44]]/10</f>
        <v>254</v>
      </c>
      <c r="X216">
        <v>640</v>
      </c>
      <c r="Y216">
        <v>1900</v>
      </c>
      <c r="Z216">
        <v>2540</v>
      </c>
      <c r="AA216" s="14">
        <f>knicks_players_all_stats[[#This Row],[REB]]/knicks_players_all_stats[[#This Row],[GP]]</f>
        <v>3.0975609756097562</v>
      </c>
      <c r="AB216" s="1">
        <v>87</v>
      </c>
      <c r="AC216" s="4">
        <f>knicks_players_all_stats[[#This Row],[AST]]/knicks_players_all_stats[[#This Row],[GP]]</f>
        <v>1.0609756097560976</v>
      </c>
      <c r="AD216" s="1">
        <f>knicks_players_all_stats[[#This Row],[STL2]]/10</f>
        <v>73</v>
      </c>
      <c r="AE216" s="1">
        <v>730</v>
      </c>
      <c r="AF216" s="4">
        <f>knicks_players_all_stats[[#This Row],[STL]]/knicks_players_all_stats[[#This Row],[GP]]</f>
        <v>0.8902439024390244</v>
      </c>
      <c r="AG216">
        <v>200</v>
      </c>
      <c r="AH216" s="1">
        <f>knicks_players_all_stats[[#This Row],[BLK2]]/10</f>
        <v>20</v>
      </c>
      <c r="AI216" s="4">
        <f>knicks_players_all_stats[[#This Row],[BLK]]/knicks_players_all_stats[[#This Row],[GP]]</f>
        <v>0.24390243902439024</v>
      </c>
      <c r="AJ216">
        <v>1140</v>
      </c>
      <c r="AK216" s="4">
        <f>knicks_players_all_stats[[#This Row],[BLKPG]]+knicks_players_all_stats[[#This Row],[STLPG]]+knicks_players_all_stats[[#This Row],[REBPG]]</f>
        <v>4.2317073170731714</v>
      </c>
      <c r="AL216" s="1">
        <f>knicks_players_all_stats[[#This Row],[TOV2]]/10</f>
        <v>114</v>
      </c>
      <c r="AM216" s="4">
        <f>knicks_players_all_stats[[#This Row],[TOV]]/knicks_players_all_stats[[#This Row],[GP]]</f>
        <v>1.3902439024390243</v>
      </c>
      <c r="AN216" s="1">
        <v>177</v>
      </c>
      <c r="AO216" s="1">
        <f>knicks_players_all_stats[[#This Row],[PF]]/knicks_players_all_stats[[#This Row],[GP]]</f>
        <v>2.1585365853658538</v>
      </c>
      <c r="AP216" s="1">
        <v>687</v>
      </c>
      <c r="AQ216" s="4">
        <f>knicks_players_all_stats[[#This Row],[PTS]]/knicks_players_all_stats[[#This Row],[GP]]</f>
        <v>8.3780487804878057</v>
      </c>
    </row>
    <row r="217" spans="1:43" x14ac:dyDescent="0.3">
      <c r="A217" s="1" t="s">
        <v>1734</v>
      </c>
      <c r="B217" s="1" t="s">
        <v>1312</v>
      </c>
      <c r="C217" s="1" t="str">
        <f>knicks_players_all_stats[[#This Row],[NAME]]&amp;" ("&amp;knicks_players_all_stats[[#This Row],[SEASON]]&amp;")"</f>
        <v>Jared Jeffries (2010-11)</v>
      </c>
      <c r="D217" s="1">
        <f>knicks_players_all_stats[[#This Row],[PLAYER_AGE]]/10</f>
        <v>29</v>
      </c>
      <c r="E217">
        <v>290</v>
      </c>
      <c r="F217" s="1">
        <v>24</v>
      </c>
      <c r="G217" s="1">
        <v>4630</v>
      </c>
      <c r="H2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</v>
      </c>
      <c r="I217" s="4">
        <f>knicks_players_all_stats[[#This Row],[VALORATION]]/knicks_players_all_stats[[#This Row],[GP]]</f>
        <v>3.25</v>
      </c>
      <c r="J217" s="1">
        <v>19</v>
      </c>
      <c r="K217" s="1">
        <v>50</v>
      </c>
      <c r="L217" s="1">
        <v>38</v>
      </c>
      <c r="M217" s="4">
        <f>knicks_players_all_stats[[#This Row],[FG3M2]]/10</f>
        <v>1</v>
      </c>
      <c r="N217" s="1">
        <v>10</v>
      </c>
      <c r="O217" s="1">
        <f>knicks_players_all_stats[[#This Row],[FG3A2]]/10</f>
        <v>3</v>
      </c>
      <c r="P217" s="1">
        <v>30</v>
      </c>
      <c r="Q217" s="2">
        <f>knicks_players_all_stats[[#This Row],[FG3M2]]/knicks_players_all_stats[[#This Row],[FG3A2]]</f>
        <v>0.33333333333333331</v>
      </c>
      <c r="R217" s="1">
        <v>8</v>
      </c>
      <c r="S217" s="1">
        <v>19</v>
      </c>
      <c r="T217" s="3">
        <f>knicks_players_all_stats[[#This Row],[FTM]]/knicks_players_all_stats[[#This Row],[FTA]]</f>
        <v>0.42105263157894735</v>
      </c>
      <c r="U217" s="1">
        <f>knicks_players_all_stats[[#This Row],[OREB22]]/10</f>
        <v>42</v>
      </c>
      <c r="V217" s="1">
        <f>knicks_players_all_stats[[#This Row],[DREB33]]/10</f>
        <v>39</v>
      </c>
      <c r="W217" s="1">
        <f>knicks_players_all_stats[[#This Row],[REB44]]/10</f>
        <v>81</v>
      </c>
      <c r="X217">
        <v>420</v>
      </c>
      <c r="Y217">
        <v>390</v>
      </c>
      <c r="Z217">
        <v>810</v>
      </c>
      <c r="AA217" s="14">
        <f>knicks_players_all_stats[[#This Row],[REB]]/knicks_players_all_stats[[#This Row],[GP]]</f>
        <v>3.375</v>
      </c>
      <c r="AB217" s="1">
        <v>25</v>
      </c>
      <c r="AC217" s="4">
        <f>knicks_players_all_stats[[#This Row],[AST]]/knicks_players_all_stats[[#This Row],[GP]]</f>
        <v>1.0416666666666667</v>
      </c>
      <c r="AD217" s="1">
        <f>knicks_players_all_stats[[#This Row],[STL2]]/10</f>
        <v>24</v>
      </c>
      <c r="AE217" s="1">
        <v>240</v>
      </c>
      <c r="AF217" s="4">
        <f>knicks_players_all_stats[[#This Row],[STL]]/knicks_players_all_stats[[#This Row],[GP]]</f>
        <v>1</v>
      </c>
      <c r="AG217">
        <v>140</v>
      </c>
      <c r="AH217" s="1">
        <f>knicks_players_all_stats[[#This Row],[BLK2]]/10</f>
        <v>14</v>
      </c>
      <c r="AI217" s="4">
        <f>knicks_players_all_stats[[#This Row],[BLK]]/knicks_players_all_stats[[#This Row],[GP]]</f>
        <v>0.58333333333333337</v>
      </c>
      <c r="AJ217">
        <v>170</v>
      </c>
      <c r="AK217" s="4">
        <f>knicks_players_all_stats[[#This Row],[BLKPG]]+knicks_players_all_stats[[#This Row],[STLPG]]+knicks_players_all_stats[[#This Row],[REBPG]]</f>
        <v>4.9583333333333339</v>
      </c>
      <c r="AL217" s="1">
        <f>knicks_players_all_stats[[#This Row],[TOV2]]/10</f>
        <v>17</v>
      </c>
      <c r="AM217" s="4">
        <f>knicks_players_all_stats[[#This Row],[TOV]]/knicks_players_all_stats[[#This Row],[GP]]</f>
        <v>0.70833333333333337</v>
      </c>
      <c r="AN217" s="1">
        <v>54</v>
      </c>
      <c r="AO217" s="1">
        <f>knicks_players_all_stats[[#This Row],[PF]]/knicks_players_all_stats[[#This Row],[GP]]</f>
        <v>2.25</v>
      </c>
      <c r="AP217" s="1">
        <v>47</v>
      </c>
      <c r="AQ217" s="4">
        <f>knicks_players_all_stats[[#This Row],[PTS]]/knicks_players_all_stats[[#This Row],[GP]]</f>
        <v>1.9583333333333333</v>
      </c>
    </row>
    <row r="218" spans="1:43" x14ac:dyDescent="0.3">
      <c r="A218" s="1" t="s">
        <v>1807</v>
      </c>
      <c r="B218" s="1" t="s">
        <v>1465</v>
      </c>
      <c r="C218" s="1" t="str">
        <f>knicks_players_all_stats[[#This Row],[NAME]]&amp;" ("&amp;knicks_players_all_stats[[#This Row],[SEASON]]&amp;")"</f>
        <v>Erick Strickland (2000-01)</v>
      </c>
      <c r="D218" s="1">
        <f>knicks_players_all_stats[[#This Row],[PLAYER_AGE]]/10</f>
        <v>27</v>
      </c>
      <c r="E218">
        <v>270</v>
      </c>
      <c r="F218" s="1">
        <v>28</v>
      </c>
      <c r="G218" s="1">
        <v>4210</v>
      </c>
      <c r="H2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62</v>
      </c>
      <c r="I218" s="4">
        <f>knicks_players_all_stats[[#This Row],[VALORATION]]/knicks_players_all_stats[[#This Row],[GP]]</f>
        <v>2.2142857142857144</v>
      </c>
      <c r="J218" s="1">
        <v>40</v>
      </c>
      <c r="K218" s="1">
        <v>131</v>
      </c>
      <c r="L218" s="1">
        <v>305</v>
      </c>
      <c r="M218" s="4">
        <f>knicks_players_all_stats[[#This Row],[FG3M2]]/10</f>
        <v>16</v>
      </c>
      <c r="N218" s="1">
        <v>160</v>
      </c>
      <c r="O218" s="1">
        <f>knicks_players_all_stats[[#This Row],[FG3A2]]/10</f>
        <v>47</v>
      </c>
      <c r="P218" s="1">
        <v>470</v>
      </c>
      <c r="Q218" s="2">
        <f>knicks_players_all_stats[[#This Row],[FG3M2]]/knicks_players_all_stats[[#This Row],[FG3A2]]</f>
        <v>0.34042553191489361</v>
      </c>
      <c r="R218" s="1">
        <v>24</v>
      </c>
      <c r="S218" s="1">
        <v>28</v>
      </c>
      <c r="T218" s="3">
        <f>knicks_players_all_stats[[#This Row],[FTM]]/knicks_players_all_stats[[#This Row],[FTA]]</f>
        <v>0.8571428571428571</v>
      </c>
      <c r="U218" s="1">
        <f>knicks_players_all_stats[[#This Row],[OREB22]]/10</f>
        <v>9</v>
      </c>
      <c r="V218" s="1">
        <f>knicks_players_all_stats[[#This Row],[DREB33]]/10</f>
        <v>43</v>
      </c>
      <c r="W218" s="1">
        <f>knicks_players_all_stats[[#This Row],[REB44]]/10</f>
        <v>52</v>
      </c>
      <c r="X218">
        <v>90</v>
      </c>
      <c r="Y218">
        <v>430</v>
      </c>
      <c r="Z218">
        <v>520</v>
      </c>
      <c r="AA218" s="14">
        <f>knicks_players_all_stats[[#This Row],[REB]]/knicks_players_all_stats[[#This Row],[GP]]</f>
        <v>1.8571428571428572</v>
      </c>
      <c r="AB218" s="1">
        <v>29</v>
      </c>
      <c r="AC218" s="4">
        <f>knicks_players_all_stats[[#This Row],[AST]]/knicks_players_all_stats[[#This Row],[GP]]</f>
        <v>1.0357142857142858</v>
      </c>
      <c r="AD218" s="1">
        <f>knicks_players_all_stats[[#This Row],[STL2]]/10</f>
        <v>22</v>
      </c>
      <c r="AE218" s="1">
        <v>220</v>
      </c>
      <c r="AF218" s="4">
        <f>knicks_players_all_stats[[#This Row],[STL]]/knicks_players_all_stats[[#This Row],[GP]]</f>
        <v>0.7857142857142857</v>
      </c>
      <c r="AG218">
        <v>10</v>
      </c>
      <c r="AH218" s="1">
        <f>knicks_players_all_stats[[#This Row],[BLK2]]/10</f>
        <v>1</v>
      </c>
      <c r="AI218" s="4">
        <f>knicks_players_all_stats[[#This Row],[BLK]]/knicks_players_all_stats[[#This Row],[GP]]</f>
        <v>3.5714285714285712E-2</v>
      </c>
      <c r="AJ218">
        <v>210</v>
      </c>
      <c r="AK218" s="4">
        <f>knicks_players_all_stats[[#This Row],[BLKPG]]+knicks_players_all_stats[[#This Row],[STLPG]]+knicks_players_all_stats[[#This Row],[REBPG]]</f>
        <v>2.6785714285714288</v>
      </c>
      <c r="AL218" s="1">
        <f>knicks_players_all_stats[[#This Row],[TOV2]]/10</f>
        <v>21</v>
      </c>
      <c r="AM218" s="4">
        <f>knicks_players_all_stats[[#This Row],[TOV]]/knicks_players_all_stats[[#This Row],[GP]]</f>
        <v>0.75</v>
      </c>
      <c r="AN218" s="1">
        <v>46</v>
      </c>
      <c r="AO218" s="1">
        <f>knicks_players_all_stats[[#This Row],[PF]]/knicks_players_all_stats[[#This Row],[GP]]</f>
        <v>1.6428571428571428</v>
      </c>
      <c r="AP218" s="1">
        <v>120</v>
      </c>
      <c r="AQ218" s="4">
        <f>knicks_players_all_stats[[#This Row],[PTS]]/knicks_players_all_stats[[#This Row],[GP]]</f>
        <v>4.2857142857142856</v>
      </c>
    </row>
    <row r="219" spans="1:43" customFormat="1" x14ac:dyDescent="0.3">
      <c r="A219" s="1" t="s">
        <v>1738</v>
      </c>
      <c r="B219" s="1" t="s">
        <v>1343</v>
      </c>
      <c r="C219" s="1" t="str">
        <f>knicks_players_all_stats[[#This Row],[NAME]]&amp;" ("&amp;knicks_players_all_stats[[#This Row],[SEASON]]&amp;")"</f>
        <v>Amar'e Stoudemire (2014-15)</v>
      </c>
      <c r="D219" s="1">
        <f>knicks_players_all_stats[[#This Row],[PLAYER_AGE]]/10</f>
        <v>32</v>
      </c>
      <c r="E219">
        <v>320</v>
      </c>
      <c r="F219" s="1">
        <v>36</v>
      </c>
      <c r="G219" s="1">
        <v>8650</v>
      </c>
      <c r="H2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419</v>
      </c>
      <c r="I219" s="4">
        <f>knicks_players_all_stats[[#This Row],[VALORATION]]/knicks_players_all_stats[[#This Row],[GP]]</f>
        <v>11.638888888888889</v>
      </c>
      <c r="J219" s="1">
        <v>169</v>
      </c>
      <c r="K219" s="1">
        <v>311</v>
      </c>
      <c r="L219" s="1">
        <v>543</v>
      </c>
      <c r="M219" s="4">
        <f>knicks_players_all_stats[[#This Row],[FG3M2]]/10</f>
        <v>0</v>
      </c>
      <c r="N219" s="1">
        <v>0</v>
      </c>
      <c r="O219" s="1">
        <f>knicks_players_all_stats[[#This Row],[FG3A2]]/10</f>
        <v>3</v>
      </c>
      <c r="P219" s="1">
        <v>30</v>
      </c>
      <c r="Q219" s="2">
        <f>knicks_players_all_stats[[#This Row],[FG3M2]]/knicks_players_all_stats[[#This Row],[FG3A2]]</f>
        <v>0</v>
      </c>
      <c r="R219" s="1">
        <v>94</v>
      </c>
      <c r="S219" s="1">
        <v>127</v>
      </c>
      <c r="T219" s="3">
        <f>knicks_players_all_stats[[#This Row],[FTM]]/knicks_players_all_stats[[#This Row],[FTA]]</f>
        <v>0.74015748031496065</v>
      </c>
      <c r="U219" s="1">
        <f>knicks_players_all_stats[[#This Row],[OREB22]]/10</f>
        <v>83</v>
      </c>
      <c r="V219" s="1">
        <f>knicks_players_all_stats[[#This Row],[DREB33]]/10</f>
        <v>162</v>
      </c>
      <c r="W219" s="1">
        <f>knicks_players_all_stats[[#This Row],[REB44]]/10</f>
        <v>245</v>
      </c>
      <c r="X219">
        <v>830</v>
      </c>
      <c r="Y219">
        <v>1620</v>
      </c>
      <c r="Z219">
        <v>2450</v>
      </c>
      <c r="AA219" s="14">
        <f>knicks_players_all_stats[[#This Row],[REB]]/knicks_players_all_stats[[#This Row],[GP]]</f>
        <v>6.8055555555555554</v>
      </c>
      <c r="AB219" s="1">
        <v>37</v>
      </c>
      <c r="AC219" s="4">
        <f>knicks_players_all_stats[[#This Row],[AST]]/knicks_players_all_stats[[#This Row],[GP]]</f>
        <v>1.0277777777777777</v>
      </c>
      <c r="AD219" s="1">
        <f>knicks_players_all_stats[[#This Row],[STL2]]/10</f>
        <v>20</v>
      </c>
      <c r="AE219" s="1">
        <v>200</v>
      </c>
      <c r="AF219" s="4">
        <f>knicks_players_all_stats[[#This Row],[STL]]/knicks_players_all_stats[[#This Row],[GP]]</f>
        <v>0.55555555555555558</v>
      </c>
      <c r="AG219">
        <v>340</v>
      </c>
      <c r="AH219" s="1">
        <f>knicks_players_all_stats[[#This Row],[BLK2]]/10</f>
        <v>34</v>
      </c>
      <c r="AI219" s="4">
        <f>knicks_players_all_stats[[#This Row],[BLK]]/knicks_players_all_stats[[#This Row],[GP]]</f>
        <v>0.94444444444444442</v>
      </c>
      <c r="AJ219">
        <v>630</v>
      </c>
      <c r="AK219" s="4">
        <f>knicks_players_all_stats[[#This Row],[BLKPG]]+knicks_players_all_stats[[#This Row],[STLPG]]+knicks_players_all_stats[[#This Row],[REBPG]]</f>
        <v>8.3055555555555554</v>
      </c>
      <c r="AL219" s="1">
        <f>knicks_players_all_stats[[#This Row],[TOV2]]/10</f>
        <v>63</v>
      </c>
      <c r="AM219" s="4">
        <f>knicks_players_all_stats[[#This Row],[TOV]]/knicks_players_all_stats[[#This Row],[GP]]</f>
        <v>1.75</v>
      </c>
      <c r="AN219" s="1">
        <v>111</v>
      </c>
      <c r="AO219" s="1">
        <f>knicks_players_all_stats[[#This Row],[PF]]/knicks_players_all_stats[[#This Row],[GP]]</f>
        <v>3.0833333333333335</v>
      </c>
      <c r="AP219" s="1">
        <v>432</v>
      </c>
      <c r="AQ219" s="4">
        <f>knicks_players_all_stats[[#This Row],[PTS]]/knicks_players_all_stats[[#This Row],[GP]]</f>
        <v>12</v>
      </c>
    </row>
    <row r="220" spans="1:43" x14ac:dyDescent="0.3">
      <c r="A220" s="1" t="s">
        <v>1438</v>
      </c>
      <c r="B220" s="1" t="s">
        <v>1308</v>
      </c>
      <c r="C220" s="1" t="str">
        <f>knicks_players_all_stats[[#This Row],[NAME]]&amp;" ("&amp;knicks_players_all_stats[[#This Row],[SEASON]]&amp;")"</f>
        <v>Miles McBride (2021-22)</v>
      </c>
      <c r="D220" s="1">
        <f>knicks_players_all_stats[[#This Row],[PLAYER_AGE]]/10</f>
        <v>21</v>
      </c>
      <c r="E220">
        <v>210</v>
      </c>
      <c r="F220" s="1">
        <v>40</v>
      </c>
      <c r="G220" s="1">
        <v>3720</v>
      </c>
      <c r="H2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57</v>
      </c>
      <c r="I220" s="4">
        <f>knicks_players_all_stats[[#This Row],[VALORATION]]/knicks_players_all_stats[[#This Row],[GP]]</f>
        <v>1.425</v>
      </c>
      <c r="J220" s="1">
        <v>32</v>
      </c>
      <c r="K220" s="1">
        <v>108</v>
      </c>
      <c r="L220" s="2">
        <f>knicks_players_all_stats[[#This Row],[FGM]]/knicks_players_all_stats[[#This Row],[FGA]]</f>
        <v>0.29629629629629628</v>
      </c>
      <c r="M220" s="16">
        <f>knicks_players_all_stats[[#This Row],[FG3M2]]/10</f>
        <v>17</v>
      </c>
      <c r="N220" s="1">
        <v>170</v>
      </c>
      <c r="O220" s="1">
        <f>knicks_players_all_stats[[#This Row],[FG3A2]]/10</f>
        <v>68</v>
      </c>
      <c r="P220" s="1">
        <v>680</v>
      </c>
      <c r="Q220" s="2">
        <f>knicks_players_all_stats[[#This Row],[FG3M2]]/knicks_players_all_stats[[#This Row],[FG3A2]]</f>
        <v>0.25</v>
      </c>
      <c r="R220" s="1">
        <v>8</v>
      </c>
      <c r="S220" s="1">
        <v>12</v>
      </c>
      <c r="T220" s="3">
        <f>knicks_players_all_stats[[#This Row],[FTM]]/knicks_players_all_stats[[#This Row],[FTA]]</f>
        <v>0.66666666666666663</v>
      </c>
      <c r="U220" s="1">
        <f>knicks_players_all_stats[[#This Row],[OREB22]]/10</f>
        <v>4</v>
      </c>
      <c r="V220" s="1">
        <f>knicks_players_all_stats[[#This Row],[DREB33]]/10</f>
        <v>38</v>
      </c>
      <c r="W220" s="1">
        <f>knicks_players_all_stats[[#This Row],[REB44]]/10</f>
        <v>42</v>
      </c>
      <c r="X220">
        <v>40</v>
      </c>
      <c r="Y220">
        <v>380</v>
      </c>
      <c r="Z220">
        <v>420</v>
      </c>
      <c r="AA220" s="14">
        <f>knicks_players_all_stats[[#This Row],[REB]]/knicks_players_all_stats[[#This Row],[GP]]</f>
        <v>1.05</v>
      </c>
      <c r="AB220" s="1">
        <v>41</v>
      </c>
      <c r="AC220" s="4">
        <f>knicks_players_all_stats[[#This Row],[AST]]/knicks_players_all_stats[[#This Row],[GP]]</f>
        <v>1.0249999999999999</v>
      </c>
      <c r="AD220" s="1">
        <f>knicks_players_all_stats[[#This Row],[STL2]]/10</f>
        <v>14</v>
      </c>
      <c r="AE220" s="1">
        <v>140</v>
      </c>
      <c r="AF220" s="4">
        <f>knicks_players_all_stats[[#This Row],[STL]]/knicks_players_all_stats[[#This Row],[GP]]</f>
        <v>0.35</v>
      </c>
      <c r="AG220">
        <v>10</v>
      </c>
      <c r="AH220" s="1">
        <f>knicks_players_all_stats[[#This Row],[BLK2]]/10</f>
        <v>1</v>
      </c>
      <c r="AI220" s="4">
        <f>knicks_players_all_stats[[#This Row],[BLK]]/knicks_players_all_stats[[#This Row],[GP]]</f>
        <v>2.5000000000000001E-2</v>
      </c>
      <c r="AJ220">
        <v>50</v>
      </c>
      <c r="AK220" s="4">
        <f>knicks_players_all_stats[[#This Row],[BLKPG]]+knicks_players_all_stats[[#This Row],[STLPG]]+knicks_players_all_stats[[#This Row],[REBPG]]</f>
        <v>1.425</v>
      </c>
      <c r="AL220" s="1">
        <f>knicks_players_all_stats[[#This Row],[TOV2]]/10</f>
        <v>5</v>
      </c>
      <c r="AM220" s="4">
        <f>knicks_players_all_stats[[#This Row],[TOV]]/knicks_players_all_stats[[#This Row],[GP]]</f>
        <v>0.125</v>
      </c>
      <c r="AN220" s="1">
        <v>45</v>
      </c>
      <c r="AO220" s="1">
        <f>knicks_players_all_stats[[#This Row],[PF]]/knicks_players_all_stats[[#This Row],[GP]]</f>
        <v>1.125</v>
      </c>
      <c r="AP220" s="1">
        <v>89</v>
      </c>
      <c r="AQ220" s="4">
        <f>knicks_players_all_stats[[#This Row],[PTS]]/knicks_players_all_stats[[#This Row],[GP]]</f>
        <v>2.2250000000000001</v>
      </c>
    </row>
    <row r="221" spans="1:43" x14ac:dyDescent="0.3">
      <c r="A221" s="1" t="s">
        <v>1588</v>
      </c>
      <c r="B221" s="1" t="s">
        <v>1281</v>
      </c>
      <c r="C221" s="1" t="str">
        <f>knicks_players_all_stats[[#This Row],[NAME]]&amp;" ("&amp;knicks_players_all_stats[[#This Row],[SEASON]]&amp;")"</f>
        <v>Mindaugas Kuzminskas (2016-17)</v>
      </c>
      <c r="D221" s="1">
        <f>knicks_players_all_stats[[#This Row],[PLAYER_AGE]]/10</f>
        <v>27</v>
      </c>
      <c r="E221">
        <v>270</v>
      </c>
      <c r="F221" s="1">
        <v>68</v>
      </c>
      <c r="G221" s="1">
        <v>10160</v>
      </c>
      <c r="H2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306</v>
      </c>
      <c r="I221" s="4">
        <f>knicks_players_all_stats[[#This Row],[VALORATION]]/knicks_players_all_stats[[#This Row],[GP]]</f>
        <v>4.5</v>
      </c>
      <c r="J221" s="1">
        <v>158</v>
      </c>
      <c r="K221" s="1">
        <v>369</v>
      </c>
      <c r="L221" s="2">
        <f>knicks_players_all_stats[[#This Row],[FGM]]/knicks_players_all_stats[[#This Row],[FGA]]</f>
        <v>0.42818428184281843</v>
      </c>
      <c r="M221" s="16">
        <f>knicks_players_all_stats[[#This Row],[FG3M2]]/10</f>
        <v>54</v>
      </c>
      <c r="N221" s="1">
        <v>540</v>
      </c>
      <c r="O221" s="1">
        <f>knicks_players_all_stats[[#This Row],[FG3A2]]/10</f>
        <v>168</v>
      </c>
      <c r="P221" s="1">
        <v>1680</v>
      </c>
      <c r="Q221" s="2">
        <f>knicks_players_all_stats[[#This Row],[FG3M2]]/knicks_players_all_stats[[#This Row],[FG3A2]]</f>
        <v>0.32142857142857145</v>
      </c>
      <c r="R221" s="1">
        <v>55</v>
      </c>
      <c r="S221" s="1">
        <v>68</v>
      </c>
      <c r="T221" s="3">
        <f>knicks_players_all_stats[[#This Row],[FTM]]/knicks_players_all_stats[[#This Row],[FTA]]</f>
        <v>0.80882352941176472</v>
      </c>
      <c r="U221" s="1">
        <f>knicks_players_all_stats[[#This Row],[OREB22]]/10</f>
        <v>47</v>
      </c>
      <c r="V221" s="1">
        <f>knicks_players_all_stats[[#This Row],[DREB33]]/10</f>
        <v>79</v>
      </c>
      <c r="W221" s="1">
        <f>knicks_players_all_stats[[#This Row],[REB44]]/10</f>
        <v>126</v>
      </c>
      <c r="X221">
        <v>470</v>
      </c>
      <c r="Y221">
        <v>790</v>
      </c>
      <c r="Z221">
        <v>1260</v>
      </c>
      <c r="AA221" s="14">
        <f>knicks_players_all_stats[[#This Row],[REB]]/knicks_players_all_stats[[#This Row],[GP]]</f>
        <v>1.8529411764705883</v>
      </c>
      <c r="AB221" s="1">
        <v>69</v>
      </c>
      <c r="AC221" s="4">
        <f>knicks_players_all_stats[[#This Row],[AST]]/knicks_players_all_stats[[#This Row],[GP]]</f>
        <v>1.0147058823529411</v>
      </c>
      <c r="AD221" s="1">
        <f>knicks_players_all_stats[[#This Row],[STL2]]/10</f>
        <v>29</v>
      </c>
      <c r="AE221" s="1">
        <v>290</v>
      </c>
      <c r="AF221" s="4">
        <f>knicks_players_all_stats[[#This Row],[STL]]/knicks_players_all_stats[[#This Row],[GP]]</f>
        <v>0.4264705882352941</v>
      </c>
      <c r="AG221">
        <v>110</v>
      </c>
      <c r="AH221" s="1">
        <f>knicks_players_all_stats[[#This Row],[BLK2]]/10</f>
        <v>11</v>
      </c>
      <c r="AI221" s="4">
        <f>knicks_players_all_stats[[#This Row],[BLK]]/knicks_players_all_stats[[#This Row],[GP]]</f>
        <v>0.16176470588235295</v>
      </c>
      <c r="AJ221">
        <v>510</v>
      </c>
      <c r="AK221" s="4">
        <f>knicks_players_all_stats[[#This Row],[BLKPG]]+knicks_players_all_stats[[#This Row],[STLPG]]+knicks_players_all_stats[[#This Row],[REBPG]]</f>
        <v>2.4411764705882355</v>
      </c>
      <c r="AL221" s="1">
        <f>knicks_players_all_stats[[#This Row],[TOV2]]/10</f>
        <v>51</v>
      </c>
      <c r="AM221" s="4">
        <f>knicks_players_all_stats[[#This Row],[TOV]]/knicks_players_all_stats[[#This Row],[GP]]</f>
        <v>0.75</v>
      </c>
      <c r="AN221" s="1">
        <v>79</v>
      </c>
      <c r="AO221" s="1">
        <f>knicks_players_all_stats[[#This Row],[PF]]/knicks_players_all_stats[[#This Row],[GP]]</f>
        <v>1.161764705882353</v>
      </c>
      <c r="AP221" s="1">
        <v>425</v>
      </c>
      <c r="AQ221" s="4">
        <f>knicks_players_all_stats[[#This Row],[PTS]]/knicks_players_all_stats[[#This Row],[GP]]</f>
        <v>6.25</v>
      </c>
    </row>
    <row r="222" spans="1:43" customFormat="1" x14ac:dyDescent="0.3">
      <c r="A222" s="1" t="s">
        <v>1678</v>
      </c>
      <c r="B222" s="1" t="s">
        <v>1327</v>
      </c>
      <c r="C222" s="1" t="str">
        <f>knicks_players_all_stats[[#This Row],[NAME]]&amp;" ("&amp;knicks_players_all_stats[[#This Row],[SEASON]]&amp;")"</f>
        <v>Cam Reddish (2022-23)</v>
      </c>
      <c r="D222" s="1">
        <f>knicks_players_all_stats[[#This Row],[PLAYER_AGE]]/10</f>
        <v>23</v>
      </c>
      <c r="E222">
        <v>230</v>
      </c>
      <c r="F222" s="1">
        <v>20</v>
      </c>
      <c r="G222" s="1">
        <v>4380</v>
      </c>
      <c r="H2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</v>
      </c>
      <c r="I222" s="4">
        <f>knicks_players_all_stats[[#This Row],[VALORATION]]/knicks_players_all_stats[[#This Row],[GP]]</f>
        <v>5.8</v>
      </c>
      <c r="J222" s="1">
        <v>61</v>
      </c>
      <c r="K222" s="1">
        <v>136</v>
      </c>
      <c r="L222" s="1">
        <v>449</v>
      </c>
      <c r="M222" s="4">
        <f>knicks_players_all_stats[[#This Row],[FG3M2]]/10</f>
        <v>17</v>
      </c>
      <c r="N222" s="1">
        <v>170</v>
      </c>
      <c r="O222" s="1">
        <f>knicks_players_all_stats[[#This Row],[FG3A2]]/10</f>
        <v>56</v>
      </c>
      <c r="P222" s="1">
        <v>560</v>
      </c>
      <c r="Q222" s="2">
        <f>knicks_players_all_stats[[#This Row],[FG3M2]]/knicks_players_all_stats[[#This Row],[FG3A2]]</f>
        <v>0.30357142857142855</v>
      </c>
      <c r="R222" s="1">
        <v>29</v>
      </c>
      <c r="S222" s="1">
        <v>33</v>
      </c>
      <c r="T222" s="3">
        <f>knicks_players_all_stats[[#This Row],[FTM]]/knicks_players_all_stats[[#This Row],[FTA]]</f>
        <v>0.87878787878787878</v>
      </c>
      <c r="U222" s="1">
        <f>knicks_players_all_stats[[#This Row],[OREB22]]/10</f>
        <v>7</v>
      </c>
      <c r="V222" s="1">
        <f>knicks_players_all_stats[[#This Row],[DREB33]]/10</f>
        <v>24</v>
      </c>
      <c r="W222" s="1">
        <f>knicks_players_all_stats[[#This Row],[REB44]]/10</f>
        <v>31</v>
      </c>
      <c r="X222">
        <v>70</v>
      </c>
      <c r="Y222">
        <v>240</v>
      </c>
      <c r="Z222">
        <v>310</v>
      </c>
      <c r="AA222" s="14">
        <f>knicks_players_all_stats[[#This Row],[REB]]/knicks_players_all_stats[[#This Row],[GP]]</f>
        <v>1.55</v>
      </c>
      <c r="AB222" s="1">
        <v>20</v>
      </c>
      <c r="AC222" s="4">
        <f>knicks_players_all_stats[[#This Row],[AST]]/knicks_players_all_stats[[#This Row],[GP]]</f>
        <v>1</v>
      </c>
      <c r="AD222" s="1">
        <f>knicks_players_all_stats[[#This Row],[STL2]]/10</f>
        <v>15</v>
      </c>
      <c r="AE222" s="1">
        <v>150</v>
      </c>
      <c r="AF222" s="4">
        <f>knicks_players_all_stats[[#This Row],[STL]]/knicks_players_all_stats[[#This Row],[GP]]</f>
        <v>0.75</v>
      </c>
      <c r="AG222">
        <v>80</v>
      </c>
      <c r="AH222" s="1">
        <f>knicks_players_all_stats[[#This Row],[BLK2]]/10</f>
        <v>8</v>
      </c>
      <c r="AI222" s="4">
        <f>knicks_players_all_stats[[#This Row],[BLK]]/knicks_players_all_stats[[#This Row],[GP]]</f>
        <v>0.4</v>
      </c>
      <c r="AJ222">
        <v>150</v>
      </c>
      <c r="AK222" s="4">
        <f>knicks_players_all_stats[[#This Row],[BLKPG]]+knicks_players_all_stats[[#This Row],[STLPG]]+knicks_players_all_stats[[#This Row],[REBPG]]</f>
        <v>2.7</v>
      </c>
      <c r="AL222" s="1">
        <f>knicks_players_all_stats[[#This Row],[TOV2]]/10</f>
        <v>15</v>
      </c>
      <c r="AM222" s="4">
        <f>knicks_players_all_stats[[#This Row],[TOV]]/knicks_players_all_stats[[#This Row],[GP]]</f>
        <v>0.75</v>
      </c>
      <c r="AN222" s="1">
        <v>32</v>
      </c>
      <c r="AO222" s="1">
        <f>knicks_players_all_stats[[#This Row],[PF]]/knicks_players_all_stats[[#This Row],[GP]]</f>
        <v>1.6</v>
      </c>
      <c r="AP222" s="1">
        <v>168</v>
      </c>
      <c r="AQ222" s="4">
        <f>knicks_players_all_stats[[#This Row],[PTS]]/knicks_players_all_stats[[#This Row],[GP]]</f>
        <v>8.4</v>
      </c>
    </row>
    <row r="223" spans="1:43" customFormat="1" x14ac:dyDescent="0.3">
      <c r="A223" s="1" t="s">
        <v>1703</v>
      </c>
      <c r="B223" s="1" t="s">
        <v>1343</v>
      </c>
      <c r="C223" s="1" t="str">
        <f>knicks_players_all_stats[[#This Row],[NAME]]&amp;" ("&amp;knicks_players_all_stats[[#This Row],[SEASON]]&amp;")"</f>
        <v>Quincy Acy (2014-15)</v>
      </c>
      <c r="D223" s="1">
        <f>knicks_players_all_stats[[#This Row],[PLAYER_AGE]]/10</f>
        <v>24</v>
      </c>
      <c r="E223">
        <v>240</v>
      </c>
      <c r="F223" s="1">
        <v>68</v>
      </c>
      <c r="G223" s="1">
        <v>12870</v>
      </c>
      <c r="H2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409</v>
      </c>
      <c r="I223" s="4">
        <f>knicks_players_all_stats[[#This Row],[VALORATION]]/knicks_players_all_stats[[#This Row],[GP]]</f>
        <v>6.0147058823529411</v>
      </c>
      <c r="J223" s="1">
        <v>152</v>
      </c>
      <c r="K223" s="1">
        <v>331</v>
      </c>
      <c r="L223" s="1">
        <v>459</v>
      </c>
      <c r="M223" s="4">
        <f>knicks_players_all_stats[[#This Row],[FG3M2]]/10</f>
        <v>18</v>
      </c>
      <c r="N223" s="1">
        <v>180</v>
      </c>
      <c r="O223" s="1">
        <f>knicks_players_all_stats[[#This Row],[FG3A2]]/10</f>
        <v>60</v>
      </c>
      <c r="P223" s="1">
        <v>600</v>
      </c>
      <c r="Q223" s="2">
        <f>knicks_players_all_stats[[#This Row],[FG3M2]]/knicks_players_all_stats[[#This Row],[FG3A2]]</f>
        <v>0.3</v>
      </c>
      <c r="R223" s="1">
        <v>76</v>
      </c>
      <c r="S223" s="1">
        <v>97</v>
      </c>
      <c r="T223" s="3">
        <f>knicks_players_all_stats[[#This Row],[FTM]]/knicks_players_all_stats[[#This Row],[FTA]]</f>
        <v>0.78350515463917525</v>
      </c>
      <c r="U223" s="1">
        <f>knicks_players_all_stats[[#This Row],[OREB22]]/10</f>
        <v>79</v>
      </c>
      <c r="V223" s="1">
        <f>knicks_players_all_stats[[#This Row],[DREB33]]/10</f>
        <v>222</v>
      </c>
      <c r="W223" s="1">
        <f>knicks_players_all_stats[[#This Row],[REB44]]/10</f>
        <v>301</v>
      </c>
      <c r="X223">
        <v>790</v>
      </c>
      <c r="Y223">
        <v>2220</v>
      </c>
      <c r="Z223">
        <v>3010</v>
      </c>
      <c r="AA223" s="14">
        <f>knicks_players_all_stats[[#This Row],[REB]]/knicks_players_all_stats[[#This Row],[GP]]</f>
        <v>4.4264705882352944</v>
      </c>
      <c r="AB223" s="1">
        <v>68</v>
      </c>
      <c r="AC223" s="4">
        <f>knicks_players_all_stats[[#This Row],[AST]]/knicks_players_all_stats[[#This Row],[GP]]</f>
        <v>1</v>
      </c>
      <c r="AD223" s="1">
        <f>knicks_players_all_stats[[#This Row],[STL2]]/10</f>
        <v>27</v>
      </c>
      <c r="AE223" s="1">
        <v>270</v>
      </c>
      <c r="AF223" s="4">
        <f>knicks_players_all_stats[[#This Row],[STL]]/knicks_players_all_stats[[#This Row],[GP]]</f>
        <v>0.39705882352941174</v>
      </c>
      <c r="AG223">
        <v>220</v>
      </c>
      <c r="AH223" s="1">
        <f>knicks_players_all_stats[[#This Row],[BLK2]]/10</f>
        <v>22</v>
      </c>
      <c r="AI223" s="4">
        <f>knicks_players_all_stats[[#This Row],[BLK]]/knicks_players_all_stats[[#This Row],[GP]]</f>
        <v>0.3235294117647059</v>
      </c>
      <c r="AJ223">
        <v>600</v>
      </c>
      <c r="AK223" s="4">
        <f>knicks_players_all_stats[[#This Row],[BLKPG]]+knicks_players_all_stats[[#This Row],[STLPG]]+knicks_players_all_stats[[#This Row],[REBPG]]</f>
        <v>5.1470588235294121</v>
      </c>
      <c r="AL223" s="1">
        <f>knicks_players_all_stats[[#This Row],[TOV2]]/10</f>
        <v>60</v>
      </c>
      <c r="AM223" s="4">
        <f>knicks_players_all_stats[[#This Row],[TOV]]/knicks_players_all_stats[[#This Row],[GP]]</f>
        <v>0.88235294117647056</v>
      </c>
      <c r="AN223" s="1">
        <v>147</v>
      </c>
      <c r="AO223" s="1">
        <f>knicks_players_all_stats[[#This Row],[PF]]/knicks_players_all_stats[[#This Row],[GP]]</f>
        <v>2.1617647058823528</v>
      </c>
      <c r="AP223" s="1">
        <v>398</v>
      </c>
      <c r="AQ223" s="4">
        <f>knicks_players_all_stats[[#This Row],[PTS]]/knicks_players_all_stats[[#This Row],[GP]]</f>
        <v>5.8529411764705879</v>
      </c>
    </row>
    <row r="224" spans="1:43" x14ac:dyDescent="0.3">
      <c r="A224" s="1" t="s">
        <v>1773</v>
      </c>
      <c r="B224" s="1" t="s">
        <v>1292</v>
      </c>
      <c r="C224" s="1" t="str">
        <f>knicks_players_all_stats[[#This Row],[NAME]]&amp;" ("&amp;knicks_players_all_stats[[#This Row],[SEASON]]&amp;")"</f>
        <v>Quentin Richardson (2012-13)</v>
      </c>
      <c r="D224" s="1">
        <f>knicks_players_all_stats[[#This Row],[PLAYER_AGE]]/10</f>
        <v>33</v>
      </c>
      <c r="E224">
        <v>330</v>
      </c>
      <c r="F224" s="1">
        <v>1</v>
      </c>
      <c r="G224" s="1">
        <v>290</v>
      </c>
      <c r="H2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224" s="4">
        <f>knicks_players_all_stats[[#This Row],[VALORATION]]/knicks_players_all_stats[[#This Row],[GP]]</f>
        <v>3</v>
      </c>
      <c r="J224" s="1">
        <v>1</v>
      </c>
      <c r="K224" s="1">
        <v>11</v>
      </c>
      <c r="L224" s="1">
        <v>91</v>
      </c>
      <c r="M224" s="4">
        <f>knicks_players_all_stats[[#This Row],[FG3M2]]/10</f>
        <v>1</v>
      </c>
      <c r="N224" s="1">
        <v>10</v>
      </c>
      <c r="O224" s="1">
        <f>knicks_players_all_stats[[#This Row],[FG3A2]]/10</f>
        <v>4</v>
      </c>
      <c r="P224" s="1">
        <v>40</v>
      </c>
      <c r="Q224" s="2">
        <f>knicks_players_all_stats[[#This Row],[FG3M2]]/knicks_players_all_stats[[#This Row],[FG3A2]]</f>
        <v>0.25</v>
      </c>
      <c r="R224" s="1">
        <v>2</v>
      </c>
      <c r="S224" s="1">
        <v>2</v>
      </c>
      <c r="T224" s="3">
        <f>knicks_players_all_stats[[#This Row],[FTM]]/knicks_players_all_stats[[#This Row],[FTA]]</f>
        <v>1</v>
      </c>
      <c r="U224" s="1">
        <f>knicks_players_all_stats[[#This Row],[OREB22]]/10</f>
        <v>5</v>
      </c>
      <c r="V224" s="1">
        <f>knicks_players_all_stats[[#This Row],[DREB33]]/10</f>
        <v>5</v>
      </c>
      <c r="W224" s="1">
        <f>knicks_players_all_stats[[#This Row],[REB44]]/10</f>
        <v>10</v>
      </c>
      <c r="X224">
        <v>50</v>
      </c>
      <c r="Y224">
        <v>50</v>
      </c>
      <c r="Z224">
        <v>100</v>
      </c>
      <c r="AA224" s="14">
        <f>knicks_players_all_stats[[#This Row],[REB]]/knicks_players_all_stats[[#This Row],[GP]]</f>
        <v>10</v>
      </c>
      <c r="AB224" s="1">
        <v>1</v>
      </c>
      <c r="AC224" s="4">
        <f>knicks_players_all_stats[[#This Row],[AST]]/knicks_players_all_stats[[#This Row],[GP]]</f>
        <v>1</v>
      </c>
      <c r="AD224" s="1">
        <f>knicks_players_all_stats[[#This Row],[STL2]]/10</f>
        <v>0</v>
      </c>
      <c r="AE224" s="1">
        <v>0</v>
      </c>
      <c r="AF224" s="4">
        <f>knicks_players_all_stats[[#This Row],[STL]]/knicks_players_all_stats[[#This Row],[GP]]</f>
        <v>0</v>
      </c>
      <c r="AG224">
        <v>0</v>
      </c>
      <c r="AH224" s="1">
        <f>knicks_players_all_stats[[#This Row],[BLK2]]/10</f>
        <v>0</v>
      </c>
      <c r="AI224" s="4">
        <f>knicks_players_all_stats[[#This Row],[BLK]]/knicks_players_all_stats[[#This Row],[GP]]</f>
        <v>0</v>
      </c>
      <c r="AJ224">
        <v>20</v>
      </c>
      <c r="AK224" s="4">
        <f>knicks_players_all_stats[[#This Row],[BLKPG]]+knicks_players_all_stats[[#This Row],[STLPG]]+knicks_players_all_stats[[#This Row],[REBPG]]</f>
        <v>10</v>
      </c>
      <c r="AL224" s="1">
        <f>knicks_players_all_stats[[#This Row],[TOV2]]/10</f>
        <v>2</v>
      </c>
      <c r="AM224" s="4">
        <f>knicks_players_all_stats[[#This Row],[TOV]]/knicks_players_all_stats[[#This Row],[GP]]</f>
        <v>2</v>
      </c>
      <c r="AN224" s="1">
        <v>1</v>
      </c>
      <c r="AO224" s="1">
        <f>knicks_players_all_stats[[#This Row],[PF]]/knicks_players_all_stats[[#This Row],[GP]]</f>
        <v>1</v>
      </c>
      <c r="AP224" s="1">
        <v>5</v>
      </c>
      <c r="AQ224" s="4">
        <f>knicks_players_all_stats[[#This Row],[PTS]]/knicks_players_all_stats[[#This Row],[GP]]</f>
        <v>5</v>
      </c>
    </row>
    <row r="225" spans="1:43" x14ac:dyDescent="0.3">
      <c r="A225" s="1" t="s">
        <v>1384</v>
      </c>
      <c r="B225" s="1" t="s">
        <v>1300</v>
      </c>
      <c r="C225" s="1" t="str">
        <f>knicks_players_all_stats[[#This Row],[NAME]]&amp;" ("&amp;knicks_players_all_stats[[#This Row],[SEASON]]&amp;")"</f>
        <v>Matt Barnes (2005-06)</v>
      </c>
      <c r="D225" s="1">
        <f>knicks_players_all_stats[[#This Row],[PLAYER_AGE]]/10</f>
        <v>26</v>
      </c>
      <c r="E225">
        <v>260</v>
      </c>
      <c r="F225" s="1">
        <v>6</v>
      </c>
      <c r="G225" s="1">
        <v>930</v>
      </c>
      <c r="H2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</v>
      </c>
      <c r="I225" s="4">
        <f>knicks_players_all_stats[[#This Row],[VALORATION]]/knicks_players_all_stats[[#This Row],[GP]]</f>
        <v>4.333333333333333</v>
      </c>
      <c r="J225" s="1">
        <v>11</v>
      </c>
      <c r="K225" s="1">
        <v>30</v>
      </c>
      <c r="L225" s="2">
        <f>knicks_players_all_stats[[#This Row],[FGM]]/knicks_players_all_stats[[#This Row],[FGA]]</f>
        <v>0.36666666666666664</v>
      </c>
      <c r="M225" s="16">
        <f>knicks_players_all_stats[[#This Row],[FG3M2]]/10</f>
        <v>1</v>
      </c>
      <c r="N225" s="1">
        <v>10</v>
      </c>
      <c r="O225" s="1">
        <f>knicks_players_all_stats[[#This Row],[FG3A2]]/10</f>
        <v>4</v>
      </c>
      <c r="P225" s="1">
        <v>40</v>
      </c>
      <c r="Q225" s="2">
        <f>knicks_players_all_stats[[#This Row],[FG3M2]]/knicks_players_all_stats[[#This Row],[FG3A2]]</f>
        <v>0.25</v>
      </c>
      <c r="R225" s="1">
        <v>3</v>
      </c>
      <c r="S225" s="1">
        <v>4</v>
      </c>
      <c r="T225" s="3">
        <f>knicks_players_all_stats[[#This Row],[FTM]]/knicks_players_all_stats[[#This Row],[FTA]]</f>
        <v>0.75</v>
      </c>
      <c r="U225" s="1">
        <f>knicks_players_all_stats[[#This Row],[OREB22]]/10</f>
        <v>7</v>
      </c>
      <c r="V225" s="1">
        <f>knicks_players_all_stats[[#This Row],[DREB33]]/10</f>
        <v>17</v>
      </c>
      <c r="W225" s="1">
        <f>knicks_players_all_stats[[#This Row],[REB44]]/10</f>
        <v>24</v>
      </c>
      <c r="X225">
        <v>70</v>
      </c>
      <c r="Y225">
        <v>170</v>
      </c>
      <c r="Z225">
        <v>240</v>
      </c>
      <c r="AA225" s="14">
        <f>knicks_players_all_stats[[#This Row],[REB]]/knicks_players_all_stats[[#This Row],[GP]]</f>
        <v>4</v>
      </c>
      <c r="AB225" s="1">
        <v>6</v>
      </c>
      <c r="AC225" s="4">
        <f>knicks_players_all_stats[[#This Row],[AST]]/knicks_players_all_stats[[#This Row],[GP]]</f>
        <v>1</v>
      </c>
      <c r="AD225" s="1">
        <f>knicks_players_all_stats[[#This Row],[STL2]]/10</f>
        <v>4</v>
      </c>
      <c r="AE225" s="1">
        <v>40</v>
      </c>
      <c r="AF225" s="4">
        <f>knicks_players_all_stats[[#This Row],[STL]]/knicks_players_all_stats[[#This Row],[GP]]</f>
        <v>0.66666666666666663</v>
      </c>
      <c r="AG225">
        <v>0</v>
      </c>
      <c r="AH225" s="1">
        <f>knicks_players_all_stats[[#This Row],[BLK2]]/10</f>
        <v>0</v>
      </c>
      <c r="AI225" s="4">
        <f>knicks_players_all_stats[[#This Row],[BLK]]/knicks_players_all_stats[[#This Row],[GP]]</f>
        <v>0</v>
      </c>
      <c r="AJ225">
        <v>60</v>
      </c>
      <c r="AK225" s="4">
        <f>knicks_players_all_stats[[#This Row],[BLKPG]]+knicks_players_all_stats[[#This Row],[STLPG]]+knicks_players_all_stats[[#This Row],[REBPG]]</f>
        <v>4.666666666666667</v>
      </c>
      <c r="AL225" s="1">
        <f>knicks_players_all_stats[[#This Row],[TOV2]]/10</f>
        <v>6</v>
      </c>
      <c r="AM225" s="4">
        <f>knicks_players_all_stats[[#This Row],[TOV]]/knicks_players_all_stats[[#This Row],[GP]]</f>
        <v>1</v>
      </c>
      <c r="AN225" s="1">
        <v>8</v>
      </c>
      <c r="AO225" s="1">
        <f>knicks_players_all_stats[[#This Row],[PF]]/knicks_players_all_stats[[#This Row],[GP]]</f>
        <v>1.3333333333333333</v>
      </c>
      <c r="AP225" s="1">
        <v>26</v>
      </c>
      <c r="AQ225" s="4">
        <f>knicks_players_all_stats[[#This Row],[PTS]]/knicks_players_all_stats[[#This Row],[GP]]</f>
        <v>4.333333333333333</v>
      </c>
    </row>
    <row r="226" spans="1:43" x14ac:dyDescent="0.3">
      <c r="A226" s="1" t="s">
        <v>1455</v>
      </c>
      <c r="B226" s="1" t="s">
        <v>1369</v>
      </c>
      <c r="C226" s="1" t="str">
        <f>knicks_players_all_stats[[#This Row],[NAME]]&amp;" ("&amp;knicks_players_all_stats[[#This Row],[SEASON]]&amp;")"</f>
        <v>Evan Fournier (2023-24)</v>
      </c>
      <c r="D226" s="1">
        <f>knicks_players_all_stats[[#This Row],[PLAYER_AGE]]/10</f>
        <v>31</v>
      </c>
      <c r="E226">
        <v>310</v>
      </c>
      <c r="F226" s="1">
        <v>3</v>
      </c>
      <c r="G226" s="1">
        <v>390</v>
      </c>
      <c r="H2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</v>
      </c>
      <c r="I226" s="4">
        <f>knicks_players_all_stats[[#This Row],[VALORATION]]/knicks_players_all_stats[[#This Row],[GP]]</f>
        <v>0.66666666666666663</v>
      </c>
      <c r="J226" s="1">
        <v>4</v>
      </c>
      <c r="K226" s="1">
        <v>20</v>
      </c>
      <c r="L226" s="2">
        <f>knicks_players_all_stats[[#This Row],[FGM]]/knicks_players_all_stats[[#This Row],[FGA]]</f>
        <v>0.2</v>
      </c>
      <c r="M226" s="16">
        <f>knicks_players_all_stats[[#This Row],[FG3M2]]/10</f>
        <v>2</v>
      </c>
      <c r="N226" s="1">
        <v>20</v>
      </c>
      <c r="O226" s="1">
        <f>knicks_players_all_stats[[#This Row],[FG3A2]]/10</f>
        <v>15</v>
      </c>
      <c r="P226" s="1">
        <v>150</v>
      </c>
      <c r="Q226" s="2">
        <f>knicks_players_all_stats[[#This Row],[FG3M2]]/knicks_players_all_stats[[#This Row],[FG3A2]]</f>
        <v>0.13333333333333333</v>
      </c>
      <c r="R226" s="1">
        <v>2</v>
      </c>
      <c r="S226" s="1">
        <v>2</v>
      </c>
      <c r="T226" s="3">
        <f>knicks_players_all_stats[[#This Row],[FTM]]/knicks_players_all_stats[[#This Row],[FTA]]</f>
        <v>1</v>
      </c>
      <c r="U226" s="1">
        <f>knicks_players_all_stats[[#This Row],[OREB22]]/10</f>
        <v>0</v>
      </c>
      <c r="V226" s="1">
        <f>knicks_players_all_stats[[#This Row],[DREB33]]/10</f>
        <v>4</v>
      </c>
      <c r="W226" s="1">
        <f>knicks_players_all_stats[[#This Row],[REB44]]/10</f>
        <v>4</v>
      </c>
      <c r="X226">
        <v>0</v>
      </c>
      <c r="Y226">
        <v>40</v>
      </c>
      <c r="Z226">
        <v>40</v>
      </c>
      <c r="AA226" s="14">
        <f>knicks_players_all_stats[[#This Row],[REB]]/knicks_players_all_stats[[#This Row],[GP]]</f>
        <v>1.3333333333333333</v>
      </c>
      <c r="AB226" s="1">
        <v>3</v>
      </c>
      <c r="AC226" s="4">
        <f>knicks_players_all_stats[[#This Row],[AST]]/knicks_players_all_stats[[#This Row],[GP]]</f>
        <v>1</v>
      </c>
      <c r="AD226" s="1">
        <f>knicks_players_all_stats[[#This Row],[STL2]]/10</f>
        <v>4</v>
      </c>
      <c r="AE226" s="1">
        <v>40</v>
      </c>
      <c r="AF226" s="4">
        <f>knicks_players_all_stats[[#This Row],[STL]]/knicks_players_all_stats[[#This Row],[GP]]</f>
        <v>1.3333333333333333</v>
      </c>
      <c r="AG226">
        <v>0</v>
      </c>
      <c r="AH226" s="1">
        <f>knicks_players_all_stats[[#This Row],[BLK2]]/10</f>
        <v>0</v>
      </c>
      <c r="AI226" s="4">
        <f>knicks_players_all_stats[[#This Row],[BLK]]/knicks_players_all_stats[[#This Row],[GP]]</f>
        <v>0</v>
      </c>
      <c r="AJ226">
        <v>10</v>
      </c>
      <c r="AK226" s="4">
        <f>knicks_players_all_stats[[#This Row],[BLKPG]]+knicks_players_all_stats[[#This Row],[STLPG]]+knicks_players_all_stats[[#This Row],[REBPG]]</f>
        <v>2.6666666666666665</v>
      </c>
      <c r="AL226" s="1">
        <f>knicks_players_all_stats[[#This Row],[TOV2]]/10</f>
        <v>1</v>
      </c>
      <c r="AM226" s="4">
        <f>knicks_players_all_stats[[#This Row],[TOV]]/knicks_players_all_stats[[#This Row],[GP]]</f>
        <v>0.33333333333333331</v>
      </c>
      <c r="AN226" s="1">
        <v>4</v>
      </c>
      <c r="AO226" s="1">
        <f>knicks_players_all_stats[[#This Row],[PF]]/knicks_players_all_stats[[#This Row],[GP]]</f>
        <v>1.3333333333333333</v>
      </c>
      <c r="AP226" s="1">
        <v>12</v>
      </c>
      <c r="AQ226" s="4">
        <f>knicks_players_all_stats[[#This Row],[PTS]]/knicks_players_all_stats[[#This Row],[GP]]</f>
        <v>4</v>
      </c>
    </row>
    <row r="227" spans="1:43" x14ac:dyDescent="0.3">
      <c r="A227" s="1" t="s">
        <v>1491</v>
      </c>
      <c r="B227" s="1" t="s">
        <v>1289</v>
      </c>
      <c r="C227" s="1" t="str">
        <f>knicks_players_all_stats[[#This Row],[NAME]]&amp;" ("&amp;knicks_players_all_stats[[#This Row],[SEASON]]&amp;")"</f>
        <v>Dennis Smith Jr. (2020-21)</v>
      </c>
      <c r="D227" s="1">
        <f>knicks_players_all_stats[[#This Row],[PLAYER_AGE]]/10</f>
        <v>23</v>
      </c>
      <c r="E227">
        <v>230</v>
      </c>
      <c r="F227" s="1">
        <v>3</v>
      </c>
      <c r="G227" s="1">
        <v>280</v>
      </c>
      <c r="H2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227" s="4">
        <f>knicks_players_all_stats[[#This Row],[VALORATION]]/knicks_players_all_stats[[#This Row],[GP]]</f>
        <v>1</v>
      </c>
      <c r="J227" s="1">
        <v>2</v>
      </c>
      <c r="K227" s="1">
        <v>10</v>
      </c>
      <c r="L227" s="2">
        <f>knicks_players_all_stats[[#This Row],[FGM]]/knicks_players_all_stats[[#This Row],[FGA]]</f>
        <v>0.2</v>
      </c>
      <c r="M227" s="16">
        <f>knicks_players_all_stats[[#This Row],[FG3M2]]/10</f>
        <v>0</v>
      </c>
      <c r="N227" s="1">
        <v>0</v>
      </c>
      <c r="O227" s="1">
        <f>knicks_players_all_stats[[#This Row],[FG3A2]]/10</f>
        <v>4</v>
      </c>
      <c r="P227" s="1">
        <v>40</v>
      </c>
      <c r="Q227" s="2">
        <f>knicks_players_all_stats[[#This Row],[FG3M2]]/knicks_players_all_stats[[#This Row],[FG3A2]]</f>
        <v>0</v>
      </c>
      <c r="R227" s="1">
        <v>5</v>
      </c>
      <c r="S227" s="1">
        <v>6</v>
      </c>
      <c r="T227" s="3">
        <f>knicks_players_all_stats[[#This Row],[FTM]]/knicks_players_all_stats[[#This Row],[FTA]]</f>
        <v>0.83333333333333337</v>
      </c>
      <c r="U227" s="1">
        <f>knicks_players_all_stats[[#This Row],[OREB22]]/10</f>
        <v>0</v>
      </c>
      <c r="V227" s="1">
        <f>knicks_players_all_stats[[#This Row],[DREB33]]/10</f>
        <v>2</v>
      </c>
      <c r="W227" s="1">
        <f>knicks_players_all_stats[[#This Row],[REB44]]/10</f>
        <v>2</v>
      </c>
      <c r="X227">
        <v>0</v>
      </c>
      <c r="Y227">
        <v>20</v>
      </c>
      <c r="Z227">
        <v>20</v>
      </c>
      <c r="AA227" s="14">
        <f>knicks_players_all_stats[[#This Row],[REB]]/knicks_players_all_stats[[#This Row],[GP]]</f>
        <v>0.66666666666666663</v>
      </c>
      <c r="AB227" s="1">
        <v>3</v>
      </c>
      <c r="AC227" s="4">
        <f>knicks_players_all_stats[[#This Row],[AST]]/knicks_players_all_stats[[#This Row],[GP]]</f>
        <v>1</v>
      </c>
      <c r="AD227" s="1">
        <f>knicks_players_all_stats[[#This Row],[STL2]]/10</f>
        <v>3</v>
      </c>
      <c r="AE227" s="1">
        <v>30</v>
      </c>
      <c r="AF227" s="4">
        <f>knicks_players_all_stats[[#This Row],[STL]]/knicks_players_all_stats[[#This Row],[GP]]</f>
        <v>1</v>
      </c>
      <c r="AG227">
        <v>0</v>
      </c>
      <c r="AH227" s="1">
        <f>knicks_players_all_stats[[#This Row],[BLK2]]/10</f>
        <v>0</v>
      </c>
      <c r="AI227" s="4">
        <f>knicks_players_all_stats[[#This Row],[BLK]]/knicks_players_all_stats[[#This Row],[GP]]</f>
        <v>0</v>
      </c>
      <c r="AJ227">
        <v>10</v>
      </c>
      <c r="AK227" s="4">
        <f>knicks_players_all_stats[[#This Row],[BLKPG]]+knicks_players_all_stats[[#This Row],[STLPG]]+knicks_players_all_stats[[#This Row],[REBPG]]</f>
        <v>1.6666666666666665</v>
      </c>
      <c r="AL227" s="1">
        <f>knicks_players_all_stats[[#This Row],[TOV2]]/10</f>
        <v>1</v>
      </c>
      <c r="AM227" s="4">
        <f>knicks_players_all_stats[[#This Row],[TOV]]/knicks_players_all_stats[[#This Row],[GP]]</f>
        <v>0.33333333333333331</v>
      </c>
      <c r="AN227" s="1">
        <v>4</v>
      </c>
      <c r="AO227" s="1">
        <f>knicks_players_all_stats[[#This Row],[PF]]/knicks_players_all_stats[[#This Row],[GP]]</f>
        <v>1.3333333333333333</v>
      </c>
      <c r="AP227" s="1">
        <v>9</v>
      </c>
      <c r="AQ227" s="4">
        <f>knicks_players_all_stats[[#This Row],[PTS]]/knicks_players_all_stats[[#This Row],[GP]]</f>
        <v>3</v>
      </c>
    </row>
    <row r="228" spans="1:43" x14ac:dyDescent="0.3">
      <c r="A228" s="1" t="s">
        <v>1663</v>
      </c>
      <c r="B228" s="1" t="s">
        <v>1302</v>
      </c>
      <c r="C228" s="1" t="str">
        <f>knicks_players_all_stats[[#This Row],[NAME]]&amp;" ("&amp;knicks_players_all_stats[[#This Row],[SEASON]]&amp;")"</f>
        <v>Malik Rose (2006-07)</v>
      </c>
      <c r="D228" s="1">
        <f>knicks_players_all_stats[[#This Row],[PLAYER_AGE]]/10</f>
        <v>32</v>
      </c>
      <c r="E228">
        <v>320</v>
      </c>
      <c r="F228" s="1">
        <v>65</v>
      </c>
      <c r="G228" s="1">
        <v>8100</v>
      </c>
      <c r="H2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160</v>
      </c>
      <c r="I228" s="4">
        <f>knicks_players_all_stats[[#This Row],[VALORATION]]/knicks_players_all_stats[[#This Row],[GP]]</f>
        <v>2.4615384615384617</v>
      </c>
      <c r="J228" s="1">
        <v>74</v>
      </c>
      <c r="K228" s="1">
        <v>186</v>
      </c>
      <c r="L228" s="1">
        <v>398</v>
      </c>
      <c r="M228" s="4">
        <f>knicks_players_all_stats[[#This Row],[FG3M2]]/10</f>
        <v>2</v>
      </c>
      <c r="N228" s="1">
        <v>20</v>
      </c>
      <c r="O228" s="1">
        <f>knicks_players_all_stats[[#This Row],[FG3A2]]/10</f>
        <v>8</v>
      </c>
      <c r="P228" s="1">
        <v>80</v>
      </c>
      <c r="Q228" s="2">
        <f>knicks_players_all_stats[[#This Row],[FG3M2]]/knicks_players_all_stats[[#This Row],[FG3A2]]</f>
        <v>0.25</v>
      </c>
      <c r="R228" s="1">
        <v>42</v>
      </c>
      <c r="S228" s="1">
        <v>52</v>
      </c>
      <c r="T228" s="3">
        <f>knicks_players_all_stats[[#This Row],[FTM]]/knicks_players_all_stats[[#This Row],[FTA]]</f>
        <v>0.80769230769230771</v>
      </c>
      <c r="U228" s="1">
        <f>knicks_players_all_stats[[#This Row],[OREB22]]/10</f>
        <v>47</v>
      </c>
      <c r="V228" s="1">
        <f>knicks_players_all_stats[[#This Row],[DREB33]]/10</f>
        <v>128</v>
      </c>
      <c r="W228" s="1">
        <f>knicks_players_all_stats[[#This Row],[REB44]]/10</f>
        <v>175</v>
      </c>
      <c r="X228">
        <v>470</v>
      </c>
      <c r="Y228">
        <v>1280</v>
      </c>
      <c r="Z228">
        <v>1750</v>
      </c>
      <c r="AA228" s="14">
        <f>knicks_players_all_stats[[#This Row],[REB]]/knicks_players_all_stats[[#This Row],[GP]]</f>
        <v>2.6923076923076925</v>
      </c>
      <c r="AB228" s="1">
        <v>65</v>
      </c>
      <c r="AC228" s="4">
        <f>knicks_players_all_stats[[#This Row],[AST]]/knicks_players_all_stats[[#This Row],[GP]]</f>
        <v>1</v>
      </c>
      <c r="AD228" s="1">
        <f>knicks_players_all_stats[[#This Row],[STL2]]/10</f>
        <v>26</v>
      </c>
      <c r="AE228" s="1">
        <v>260</v>
      </c>
      <c r="AF228" s="4">
        <f>knicks_players_all_stats[[#This Row],[STL]]/knicks_players_all_stats[[#This Row],[GP]]</f>
        <v>0.4</v>
      </c>
      <c r="AG228">
        <v>90</v>
      </c>
      <c r="AH228" s="1">
        <f>knicks_players_all_stats[[#This Row],[BLK2]]/10</f>
        <v>9</v>
      </c>
      <c r="AI228" s="4">
        <f>knicks_players_all_stats[[#This Row],[BLK]]/knicks_players_all_stats[[#This Row],[GP]]</f>
        <v>0.13846153846153847</v>
      </c>
      <c r="AJ228">
        <v>650</v>
      </c>
      <c r="AK228" s="4">
        <f>knicks_players_all_stats[[#This Row],[BLKPG]]+knicks_players_all_stats[[#This Row],[STLPG]]+knicks_players_all_stats[[#This Row],[REBPG]]</f>
        <v>3.2307692307692308</v>
      </c>
      <c r="AL228" s="1">
        <f>knicks_players_all_stats[[#This Row],[TOV2]]/10</f>
        <v>65</v>
      </c>
      <c r="AM228" s="4">
        <f>knicks_players_all_stats[[#This Row],[TOV]]/knicks_players_all_stats[[#This Row],[GP]]</f>
        <v>1</v>
      </c>
      <c r="AN228" s="1">
        <v>120</v>
      </c>
      <c r="AO228" s="1">
        <f>knicks_players_all_stats[[#This Row],[PF]]/knicks_players_all_stats[[#This Row],[GP]]</f>
        <v>1.8461538461538463</v>
      </c>
      <c r="AP228" s="1">
        <v>192</v>
      </c>
      <c r="AQ228" s="4">
        <f>knicks_players_all_stats[[#This Row],[PTS]]/knicks_players_all_stats[[#This Row],[GP]]</f>
        <v>2.953846153846154</v>
      </c>
    </row>
    <row r="229" spans="1:43" x14ac:dyDescent="0.3">
      <c r="A229" s="1" t="s">
        <v>1784</v>
      </c>
      <c r="B229" s="1" t="s">
        <v>1293</v>
      </c>
      <c r="C229" s="1" t="str">
        <f>knicks_players_all_stats[[#This Row],[NAME]]&amp;" ("&amp;knicks_players_all_stats[[#This Row],[SEASON]]&amp;")"</f>
        <v>Bruno Sundov (2003-04)</v>
      </c>
      <c r="D229" s="1">
        <f>knicks_players_all_stats[[#This Row],[PLAYER_AGE]]/10</f>
        <v>24</v>
      </c>
      <c r="E229">
        <v>240</v>
      </c>
      <c r="F229" s="1">
        <v>1</v>
      </c>
      <c r="G229" s="1">
        <v>40</v>
      </c>
      <c r="H2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229" s="4">
        <f>knicks_players_all_stats[[#This Row],[VALORATION]]/knicks_players_all_stats[[#This Row],[GP]]</f>
        <v>1</v>
      </c>
      <c r="J229" s="1">
        <v>1</v>
      </c>
      <c r="K229" s="1">
        <v>1</v>
      </c>
      <c r="L229" s="1">
        <v>10</v>
      </c>
      <c r="M229" s="4">
        <f>knicks_players_all_stats[[#This Row],[FG3M2]]/10</f>
        <v>0</v>
      </c>
      <c r="N229" s="1">
        <v>0</v>
      </c>
      <c r="O229" s="1">
        <f>knicks_players_all_stats[[#This Row],[FG3A2]]/10</f>
        <v>0</v>
      </c>
      <c r="P229" s="1">
        <v>0</v>
      </c>
      <c r="Q229" s="2" t="e">
        <f>knicks_players_all_stats[[#This Row],[FG3M2]]/knicks_players_all_stats[[#This Row],[FG3A2]]</f>
        <v>#DIV/0!</v>
      </c>
      <c r="R229" s="1">
        <v>0</v>
      </c>
      <c r="S229" s="1">
        <v>0</v>
      </c>
      <c r="T229" s="3" t="e">
        <f>knicks_players_all_stats[[#This Row],[FTM]]/knicks_players_all_stats[[#This Row],[FTA]]</f>
        <v>#DIV/0!</v>
      </c>
      <c r="U229" s="1">
        <f>knicks_players_all_stats[[#This Row],[OREB22]]/10</f>
        <v>0</v>
      </c>
      <c r="V229" s="1">
        <f>knicks_players_all_stats[[#This Row],[DREB33]]/10</f>
        <v>0</v>
      </c>
      <c r="W229" s="1">
        <f>knicks_players_all_stats[[#This Row],[REB44]]/10</f>
        <v>0</v>
      </c>
      <c r="X229">
        <v>0</v>
      </c>
      <c r="Y229">
        <v>0</v>
      </c>
      <c r="Z229">
        <v>0</v>
      </c>
      <c r="AA229" s="14">
        <f>knicks_players_all_stats[[#This Row],[REB]]/knicks_players_all_stats[[#This Row],[GP]]</f>
        <v>0</v>
      </c>
      <c r="AB229" s="1">
        <v>1</v>
      </c>
      <c r="AC229" s="4">
        <f>knicks_players_all_stats[[#This Row],[AST]]/knicks_players_all_stats[[#This Row],[GP]]</f>
        <v>1</v>
      </c>
      <c r="AD229" s="1">
        <f>knicks_players_all_stats[[#This Row],[STL2]]/10</f>
        <v>0</v>
      </c>
      <c r="AE229" s="1">
        <v>0</v>
      </c>
      <c r="AF229" s="4">
        <f>knicks_players_all_stats[[#This Row],[STL]]/knicks_players_all_stats[[#This Row],[GP]]</f>
        <v>0</v>
      </c>
      <c r="AG229">
        <v>0</v>
      </c>
      <c r="AH229" s="1">
        <f>knicks_players_all_stats[[#This Row],[BLK2]]/10</f>
        <v>0</v>
      </c>
      <c r="AI229" s="4">
        <f>knicks_players_all_stats[[#This Row],[BLK]]/knicks_players_all_stats[[#This Row],[GP]]</f>
        <v>0</v>
      </c>
      <c r="AJ229">
        <v>0</v>
      </c>
      <c r="AK229" s="4">
        <f>knicks_players_all_stats[[#This Row],[BLKPG]]+knicks_players_all_stats[[#This Row],[STLPG]]+knicks_players_all_stats[[#This Row],[REBPG]]</f>
        <v>0</v>
      </c>
      <c r="AL229" s="1">
        <f>knicks_players_all_stats[[#This Row],[TOV2]]/10</f>
        <v>0</v>
      </c>
      <c r="AM229" s="4">
        <f>knicks_players_all_stats[[#This Row],[TOV]]/knicks_players_all_stats[[#This Row],[GP]]</f>
        <v>0</v>
      </c>
      <c r="AN229" s="1">
        <v>2</v>
      </c>
      <c r="AO229" s="1">
        <f>knicks_players_all_stats[[#This Row],[PF]]/knicks_players_all_stats[[#This Row],[GP]]</f>
        <v>2</v>
      </c>
      <c r="AP229" s="1">
        <v>2</v>
      </c>
      <c r="AQ229" s="4">
        <f>knicks_players_all_stats[[#This Row],[PTS]]/knicks_players_all_stats[[#This Row],[GP]]</f>
        <v>2</v>
      </c>
    </row>
    <row r="230" spans="1:43" customFormat="1" x14ac:dyDescent="0.3">
      <c r="A230" s="1" t="s">
        <v>1798</v>
      </c>
      <c r="B230" s="1" t="s">
        <v>1327</v>
      </c>
      <c r="C230" s="1" t="str">
        <f>knicks_players_all_stats[[#This Row],[NAME]]&amp;" ("&amp;knicks_players_all_stats[[#This Row],[SEASON]]&amp;")"</f>
        <v>Obi Toppin (2022-23)</v>
      </c>
      <c r="D230" s="1">
        <f>knicks_players_all_stats[[#This Row],[PLAYER_AGE]]/10</f>
        <v>25</v>
      </c>
      <c r="E230">
        <v>250</v>
      </c>
      <c r="F230" s="1">
        <v>67</v>
      </c>
      <c r="G230" s="1">
        <v>10510</v>
      </c>
      <c r="H2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438</v>
      </c>
      <c r="I230" s="4">
        <f>knicks_players_all_stats[[#This Row],[VALORATION]]/knicks_players_all_stats[[#This Row],[GP]]</f>
        <v>6.5373134328358207</v>
      </c>
      <c r="J230" s="1">
        <v>187</v>
      </c>
      <c r="K230" s="1">
        <v>419</v>
      </c>
      <c r="L230" s="1">
        <v>446</v>
      </c>
      <c r="M230" s="4">
        <f>knicks_players_all_stats[[#This Row],[FG3M2]]/10</f>
        <v>85</v>
      </c>
      <c r="N230" s="1">
        <v>850</v>
      </c>
      <c r="O230" s="1">
        <f>knicks_players_all_stats[[#This Row],[FG3A2]]/10</f>
        <v>247</v>
      </c>
      <c r="P230" s="1">
        <v>2470</v>
      </c>
      <c r="Q230" s="2">
        <f>knicks_players_all_stats[[#This Row],[FG3M2]]/knicks_players_all_stats[[#This Row],[FG3A2]]</f>
        <v>0.34412955465587042</v>
      </c>
      <c r="R230" s="1">
        <v>38</v>
      </c>
      <c r="S230" s="1">
        <v>47</v>
      </c>
      <c r="T230" s="3">
        <f>knicks_players_all_stats[[#This Row],[FTM]]/knicks_players_all_stats[[#This Row],[FTA]]</f>
        <v>0.80851063829787229</v>
      </c>
      <c r="U230" s="1">
        <f>knicks_players_all_stats[[#This Row],[OREB22]]/10</f>
        <v>29</v>
      </c>
      <c r="V230" s="1">
        <f>knicks_players_all_stats[[#This Row],[DREB33]]/10</f>
        <v>158</v>
      </c>
      <c r="W230" s="1">
        <f>knicks_players_all_stats[[#This Row],[REB44]]/10</f>
        <v>187</v>
      </c>
      <c r="X230">
        <v>290</v>
      </c>
      <c r="Y230">
        <v>1580</v>
      </c>
      <c r="Z230">
        <v>1870</v>
      </c>
      <c r="AA230" s="14">
        <f>knicks_players_all_stats[[#This Row],[REB]]/knicks_players_all_stats[[#This Row],[GP]]</f>
        <v>2.7910447761194028</v>
      </c>
      <c r="AB230" s="1">
        <v>66</v>
      </c>
      <c r="AC230" s="4">
        <f>knicks_players_all_stats[[#This Row],[AST]]/knicks_players_all_stats[[#This Row],[GP]]</f>
        <v>0.9850746268656716</v>
      </c>
      <c r="AD230" s="1">
        <f>knicks_players_all_stats[[#This Row],[STL2]]/10</f>
        <v>23</v>
      </c>
      <c r="AE230" s="1">
        <v>230</v>
      </c>
      <c r="AF230" s="4">
        <f>knicks_players_all_stats[[#This Row],[STL]]/knicks_players_all_stats[[#This Row],[GP]]</f>
        <v>0.34328358208955223</v>
      </c>
      <c r="AG230">
        <v>120</v>
      </c>
      <c r="AH230" s="1">
        <f>knicks_players_all_stats[[#This Row],[BLK2]]/10</f>
        <v>12</v>
      </c>
      <c r="AI230" s="4">
        <f>knicks_players_all_stats[[#This Row],[BLK]]/knicks_players_all_stats[[#This Row],[GP]]</f>
        <v>0.17910447761194029</v>
      </c>
      <c r="AJ230">
        <v>380</v>
      </c>
      <c r="AK230" s="4">
        <f>knicks_players_all_stats[[#This Row],[BLKPG]]+knicks_players_all_stats[[#This Row],[STLPG]]+knicks_players_all_stats[[#This Row],[REBPG]]</f>
        <v>3.3134328358208953</v>
      </c>
      <c r="AL230" s="1">
        <f>knicks_players_all_stats[[#This Row],[TOV2]]/10</f>
        <v>38</v>
      </c>
      <c r="AM230" s="4">
        <f>knicks_players_all_stats[[#This Row],[TOV]]/knicks_players_all_stats[[#This Row],[GP]]</f>
        <v>0.56716417910447758</v>
      </c>
      <c r="AN230" s="1">
        <v>68</v>
      </c>
      <c r="AO230" s="1">
        <f>knicks_players_all_stats[[#This Row],[PF]]/knicks_players_all_stats[[#This Row],[GP]]</f>
        <v>1.0149253731343284</v>
      </c>
      <c r="AP230" s="1">
        <v>497</v>
      </c>
      <c r="AQ230" s="4">
        <f>knicks_players_all_stats[[#This Row],[PTS]]/knicks_players_all_stats[[#This Row],[GP]]</f>
        <v>7.4179104477611943</v>
      </c>
    </row>
    <row r="231" spans="1:43" customFormat="1" x14ac:dyDescent="0.3">
      <c r="A231" s="1" t="s">
        <v>1401</v>
      </c>
      <c r="B231" s="1" t="s">
        <v>1279</v>
      </c>
      <c r="C231" s="1" t="str">
        <f>knicks_players_all_stats[[#This Row],[NAME]]&amp;" ("&amp;knicks_players_all_stats[[#This Row],[SEASON]]&amp;")"</f>
        <v>Kevin Seraphin (2015-16)</v>
      </c>
      <c r="D231" s="1">
        <f>knicks_players_all_stats[[#This Row],[PLAYER_AGE]]/10</f>
        <v>26</v>
      </c>
      <c r="E231">
        <v>260</v>
      </c>
      <c r="F231" s="1">
        <v>48</v>
      </c>
      <c r="G231" s="1">
        <v>5260</v>
      </c>
      <c r="H2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169</v>
      </c>
      <c r="I231" s="4">
        <f>knicks_players_all_stats[[#This Row],[VALORATION]]/knicks_players_all_stats[[#This Row],[GP]]</f>
        <v>3.5208333333333335</v>
      </c>
      <c r="J231" s="1">
        <v>84</v>
      </c>
      <c r="K231" s="1">
        <v>205</v>
      </c>
      <c r="L231" s="2">
        <f>knicks_players_all_stats[[#This Row],[FGM]]/knicks_players_all_stats[[#This Row],[FGA]]</f>
        <v>0.40975609756097559</v>
      </c>
      <c r="M231" s="16">
        <f>knicks_players_all_stats[[#This Row],[FG3M2]]/10</f>
        <v>0</v>
      </c>
      <c r="N231" s="1">
        <v>0</v>
      </c>
      <c r="O231" s="1">
        <f>knicks_players_all_stats[[#This Row],[FG3A2]]/10</f>
        <v>2</v>
      </c>
      <c r="P231" s="1">
        <v>20</v>
      </c>
      <c r="Q231" s="2">
        <f>knicks_players_all_stats[[#This Row],[FG3M2]]/knicks_players_all_stats[[#This Row],[FG3A2]]</f>
        <v>0</v>
      </c>
      <c r="R231" s="1">
        <v>19</v>
      </c>
      <c r="S231" s="1">
        <v>23</v>
      </c>
      <c r="T231" s="3">
        <f>knicks_players_all_stats[[#This Row],[FTM]]/knicks_players_all_stats[[#This Row],[FTA]]</f>
        <v>0.82608695652173914</v>
      </c>
      <c r="U231" s="1">
        <f>knicks_players_all_stats[[#This Row],[OREB22]]/10</f>
        <v>31</v>
      </c>
      <c r="V231" s="1">
        <f>knicks_players_all_stats[[#This Row],[DREB33]]/10</f>
        <v>95</v>
      </c>
      <c r="W231" s="1">
        <f>knicks_players_all_stats[[#This Row],[REB44]]/10</f>
        <v>126</v>
      </c>
      <c r="X231">
        <v>310</v>
      </c>
      <c r="Y231">
        <v>950</v>
      </c>
      <c r="Z231">
        <v>1260</v>
      </c>
      <c r="AA231" s="14">
        <f>knicks_players_all_stats[[#This Row],[REB]]/knicks_players_all_stats[[#This Row],[GP]]</f>
        <v>2.625</v>
      </c>
      <c r="AB231" s="1">
        <v>47</v>
      </c>
      <c r="AC231" s="4">
        <f>knicks_players_all_stats[[#This Row],[AST]]/knicks_players_all_stats[[#This Row],[GP]]</f>
        <v>0.97916666666666663</v>
      </c>
      <c r="AD231" s="1">
        <f>knicks_players_all_stats[[#This Row],[STL2]]/10</f>
        <v>8</v>
      </c>
      <c r="AE231" s="1">
        <v>80</v>
      </c>
      <c r="AF231" s="4">
        <f>knicks_players_all_stats[[#This Row],[STL]]/knicks_players_all_stats[[#This Row],[GP]]</f>
        <v>0.16666666666666666</v>
      </c>
      <c r="AG231">
        <v>360</v>
      </c>
      <c r="AH231" s="1">
        <f>knicks_players_all_stats[[#This Row],[BLK2]]/10</f>
        <v>36</v>
      </c>
      <c r="AI231" s="4">
        <f>knicks_players_all_stats[[#This Row],[BLK]]/knicks_players_all_stats[[#This Row],[GP]]</f>
        <v>0.75</v>
      </c>
      <c r="AJ231">
        <v>430</v>
      </c>
      <c r="AK231" s="4">
        <f>knicks_players_all_stats[[#This Row],[BLKPG]]+knicks_players_all_stats[[#This Row],[STLPG]]+knicks_players_all_stats[[#This Row],[REBPG]]</f>
        <v>3.5416666666666665</v>
      </c>
      <c r="AL231" s="1">
        <f>knicks_players_all_stats[[#This Row],[TOV2]]/10</f>
        <v>43</v>
      </c>
      <c r="AM231" s="4">
        <f>knicks_players_all_stats[[#This Row],[TOV]]/knicks_players_all_stats[[#This Row],[GP]]</f>
        <v>0.89583333333333337</v>
      </c>
      <c r="AN231" s="1">
        <v>67</v>
      </c>
      <c r="AO231" s="1">
        <f>knicks_players_all_stats[[#This Row],[PF]]/knicks_players_all_stats[[#This Row],[GP]]</f>
        <v>1.3958333333333333</v>
      </c>
      <c r="AP231" s="1">
        <v>187</v>
      </c>
      <c r="AQ231" s="4">
        <f>knicks_players_all_stats[[#This Row],[PTS]]/knicks_players_all_stats[[#This Row],[GP]]</f>
        <v>3.8958333333333335</v>
      </c>
    </row>
    <row r="232" spans="1:43" customFormat="1" x14ac:dyDescent="0.3">
      <c r="A232" s="1" t="s">
        <v>1338</v>
      </c>
      <c r="B232" s="1" t="s">
        <v>1337</v>
      </c>
      <c r="C232" s="1" t="str">
        <f>knicks_players_all_stats[[#This Row],[NAME]]&amp;" ("&amp;knicks_players_all_stats[[#This Row],[SEASON]]&amp;")"</f>
        <v>Toure' Murry (2013-14)</v>
      </c>
      <c r="D232" s="1">
        <f>knicks_players_all_stats[[#This Row],[PLAYER_AGE]]/10</f>
        <v>24</v>
      </c>
      <c r="E232">
        <v>240</v>
      </c>
      <c r="F232" s="1">
        <v>51</v>
      </c>
      <c r="G232" s="1">
        <v>3720</v>
      </c>
      <c r="H2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</v>
      </c>
      <c r="I232" s="4">
        <f>knicks_players_all_stats[[#This Row],[VALORATION]]/knicks_players_all_stats[[#This Row],[GP]]</f>
        <v>1.6470588235294117</v>
      </c>
      <c r="J232" s="1">
        <v>56</v>
      </c>
      <c r="K232" s="1">
        <v>129</v>
      </c>
      <c r="L232" s="2">
        <f>knicks_players_all_stats[[#This Row],[FGM]]/knicks_players_all_stats[[#This Row],[FGA]]</f>
        <v>0.43410852713178294</v>
      </c>
      <c r="M232" s="16">
        <f>knicks_players_all_stats[[#This Row],[FG3M2]]/10</f>
        <v>5</v>
      </c>
      <c r="N232" s="1">
        <v>50</v>
      </c>
      <c r="O232" s="1">
        <f>knicks_players_all_stats[[#This Row],[FG3A2]]/10</f>
        <v>12</v>
      </c>
      <c r="P232" s="1">
        <v>120</v>
      </c>
      <c r="Q232" s="2">
        <f>knicks_players_all_stats[[#This Row],[FG3M2]]/knicks_players_all_stats[[#This Row],[FG3A2]]</f>
        <v>0.41666666666666669</v>
      </c>
      <c r="R232" s="1">
        <v>23</v>
      </c>
      <c r="S232" s="1">
        <v>39</v>
      </c>
      <c r="T232" s="3">
        <f>knicks_players_all_stats[[#This Row],[FTM]]/knicks_players_all_stats[[#This Row],[FTA]]</f>
        <v>0.58974358974358976</v>
      </c>
      <c r="U232" s="1">
        <f>knicks_players_all_stats[[#This Row],[OREB22]]/10</f>
        <v>13</v>
      </c>
      <c r="V232" s="1">
        <f>knicks_players_all_stats[[#This Row],[DREB33]]/10</f>
        <v>31</v>
      </c>
      <c r="W232" s="1">
        <f>knicks_players_all_stats[[#This Row],[REB44]]/10</f>
        <v>44</v>
      </c>
      <c r="X232">
        <v>130</v>
      </c>
      <c r="Y232">
        <v>310</v>
      </c>
      <c r="Z232">
        <v>440</v>
      </c>
      <c r="AA232" s="14">
        <f>knicks_players_all_stats[[#This Row],[REB]]/knicks_players_all_stats[[#This Row],[GP]]</f>
        <v>0.86274509803921573</v>
      </c>
      <c r="AB232" s="1">
        <v>49</v>
      </c>
      <c r="AC232" s="4">
        <f>knicks_players_all_stats[[#This Row],[AST]]/knicks_players_all_stats[[#This Row],[GP]]</f>
        <v>0.96078431372549022</v>
      </c>
      <c r="AD232" s="1">
        <f>knicks_players_all_stats[[#This Row],[STL2]]/10</f>
        <v>19</v>
      </c>
      <c r="AE232" s="1">
        <v>190</v>
      </c>
      <c r="AF232" s="4">
        <f>knicks_players_all_stats[[#This Row],[STL]]/knicks_players_all_stats[[#This Row],[GP]]</f>
        <v>0.37254901960784315</v>
      </c>
      <c r="AG232">
        <v>10</v>
      </c>
      <c r="AH232" s="1">
        <f>knicks_players_all_stats[[#This Row],[BLK2]]/10</f>
        <v>1</v>
      </c>
      <c r="AI232" s="4">
        <f>knicks_players_all_stats[[#This Row],[BLK]]/knicks_players_all_stats[[#This Row],[GP]]</f>
        <v>1.9607843137254902E-2</v>
      </c>
      <c r="AJ232">
        <v>340</v>
      </c>
      <c r="AK232" s="4">
        <f>knicks_players_all_stats[[#This Row],[BLKPG]]+knicks_players_all_stats[[#This Row],[STLPG]]+knicks_players_all_stats[[#This Row],[REBPG]]</f>
        <v>1.2549019607843137</v>
      </c>
      <c r="AL232" s="1">
        <f>knicks_players_all_stats[[#This Row],[TOV2]]/10</f>
        <v>34</v>
      </c>
      <c r="AM232" s="4">
        <f>knicks_players_all_stats[[#This Row],[TOV]]/knicks_players_all_stats[[#This Row],[GP]]</f>
        <v>0.66666666666666663</v>
      </c>
      <c r="AN232" s="1">
        <v>46</v>
      </c>
      <c r="AO232" s="1">
        <f>knicks_players_all_stats[[#This Row],[PF]]/knicks_players_all_stats[[#This Row],[GP]]</f>
        <v>0.90196078431372551</v>
      </c>
      <c r="AP232" s="1">
        <v>140</v>
      </c>
      <c r="AQ232" s="4">
        <f>knicks_players_all_stats[[#This Row],[PTS]]/knicks_players_all_stats[[#This Row],[GP]]</f>
        <v>2.7450980392156863</v>
      </c>
    </row>
    <row r="233" spans="1:43" customFormat="1" x14ac:dyDescent="0.3">
      <c r="A233" s="1" t="s">
        <v>1848</v>
      </c>
      <c r="B233" s="1" t="s">
        <v>1300</v>
      </c>
      <c r="C233" s="1" t="str">
        <f>knicks_players_all_stats[[#This Row],[NAME]]&amp;" ("&amp;knicks_players_all_stats[[#This Row],[SEASON]]&amp;")"</f>
        <v>Qyntel Woods (2005-06)</v>
      </c>
      <c r="D233" s="1">
        <f>knicks_players_all_stats[[#This Row],[PLAYER_AGE]]/10</f>
        <v>25</v>
      </c>
      <c r="E233">
        <v>250</v>
      </c>
      <c r="F233" s="1">
        <v>49</v>
      </c>
      <c r="G233" s="1">
        <v>10130</v>
      </c>
      <c r="H2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302</v>
      </c>
      <c r="I233" s="4">
        <f>knicks_players_all_stats[[#This Row],[VALORATION]]/knicks_players_all_stats[[#This Row],[GP]]</f>
        <v>6.1632653061224492</v>
      </c>
      <c r="J233" s="1">
        <v>129</v>
      </c>
      <c r="K233" s="1">
        <v>254</v>
      </c>
      <c r="L233" s="1">
        <v>508</v>
      </c>
      <c r="M233" s="4">
        <f>knicks_players_all_stats[[#This Row],[FG3M2]]/10</f>
        <v>22</v>
      </c>
      <c r="N233" s="1">
        <v>220</v>
      </c>
      <c r="O233" s="1">
        <f>knicks_players_all_stats[[#This Row],[FG3A2]]/10</f>
        <v>60</v>
      </c>
      <c r="P233" s="1">
        <v>600</v>
      </c>
      <c r="Q233" s="2">
        <f>knicks_players_all_stats[[#This Row],[FG3M2]]/knicks_players_all_stats[[#This Row],[FG3A2]]</f>
        <v>0.36666666666666664</v>
      </c>
      <c r="R233" s="1">
        <v>49</v>
      </c>
      <c r="S233" s="1">
        <v>76</v>
      </c>
      <c r="T233" s="3">
        <f>knicks_players_all_stats[[#This Row],[FTM]]/knicks_players_all_stats[[#This Row],[FTA]]</f>
        <v>0.64473684210526316</v>
      </c>
      <c r="U233" s="1">
        <f>knicks_players_all_stats[[#This Row],[OREB22]]/10</f>
        <v>44</v>
      </c>
      <c r="V233" s="1">
        <f>knicks_players_all_stats[[#This Row],[DREB33]]/10</f>
        <v>146</v>
      </c>
      <c r="W233" s="1">
        <f>knicks_players_all_stats[[#This Row],[REB44]]/10</f>
        <v>190</v>
      </c>
      <c r="X233">
        <v>440</v>
      </c>
      <c r="Y233">
        <v>1460</v>
      </c>
      <c r="Z233">
        <v>1900</v>
      </c>
      <c r="AA233" s="14">
        <f>knicks_players_all_stats[[#This Row],[REB]]/knicks_players_all_stats[[#This Row],[GP]]</f>
        <v>3.8775510204081631</v>
      </c>
      <c r="AB233" s="1">
        <v>47</v>
      </c>
      <c r="AC233" s="4">
        <f>knicks_players_all_stats[[#This Row],[AST]]/knicks_players_all_stats[[#This Row],[GP]]</f>
        <v>0.95918367346938771</v>
      </c>
      <c r="AD233" s="1">
        <f>knicks_players_all_stats[[#This Row],[STL2]]/10</f>
        <v>32</v>
      </c>
      <c r="AE233" s="1">
        <v>320</v>
      </c>
      <c r="AF233" s="4">
        <f>knicks_players_all_stats[[#This Row],[STL]]/knicks_players_all_stats[[#This Row],[GP]]</f>
        <v>0.65306122448979587</v>
      </c>
      <c r="AG233">
        <v>130</v>
      </c>
      <c r="AH233" s="1">
        <f>knicks_players_all_stats[[#This Row],[BLK2]]/10</f>
        <v>13</v>
      </c>
      <c r="AI233" s="4">
        <f>knicks_players_all_stats[[#This Row],[BLK]]/knicks_players_all_stats[[#This Row],[GP]]</f>
        <v>0.26530612244897961</v>
      </c>
      <c r="AJ233">
        <v>610</v>
      </c>
      <c r="AK233" s="4">
        <f>knicks_players_all_stats[[#This Row],[BLKPG]]+knicks_players_all_stats[[#This Row],[STLPG]]+knicks_players_all_stats[[#This Row],[REBPG]]</f>
        <v>4.795918367346939</v>
      </c>
      <c r="AL233" s="1">
        <f>knicks_players_all_stats[[#This Row],[TOV2]]/10</f>
        <v>61</v>
      </c>
      <c r="AM233" s="4">
        <f>knicks_players_all_stats[[#This Row],[TOV]]/knicks_players_all_stats[[#This Row],[GP]]</f>
        <v>1.2448979591836735</v>
      </c>
      <c r="AN233" s="1">
        <v>96</v>
      </c>
      <c r="AO233" s="1">
        <f>knicks_players_all_stats[[#This Row],[PF]]/knicks_players_all_stats[[#This Row],[GP]]</f>
        <v>1.9591836734693877</v>
      </c>
      <c r="AP233" s="1">
        <v>329</v>
      </c>
      <c r="AQ233" s="4">
        <f>knicks_players_all_stats[[#This Row],[PTS]]/knicks_players_all_stats[[#This Row],[GP]]</f>
        <v>6.7142857142857144</v>
      </c>
    </row>
    <row r="234" spans="1:43" x14ac:dyDescent="0.3">
      <c r="A234" s="1" t="s">
        <v>1630</v>
      </c>
      <c r="B234" s="1" t="s">
        <v>1308</v>
      </c>
      <c r="C234" s="1" t="str">
        <f>knicks_players_all_stats[[#This Row],[NAME]]&amp;" ("&amp;knicks_players_all_stats[[#This Row],[SEASON]]&amp;")"</f>
        <v>Quentin Grimes (2021-22)</v>
      </c>
      <c r="D234" s="1">
        <f>knicks_players_all_stats[[#This Row],[PLAYER_AGE]]/10</f>
        <v>22</v>
      </c>
      <c r="E234">
        <v>220</v>
      </c>
      <c r="F234" s="1">
        <v>46</v>
      </c>
      <c r="G234" s="1">
        <v>7860</v>
      </c>
      <c r="H2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209</v>
      </c>
      <c r="I234" s="4">
        <f>knicks_players_all_stats[[#This Row],[VALORATION]]/knicks_players_all_stats[[#This Row],[GP]]</f>
        <v>4.5434782608695654</v>
      </c>
      <c r="J234" s="1">
        <v>95</v>
      </c>
      <c r="K234" s="1">
        <v>235</v>
      </c>
      <c r="L234" s="2">
        <f>knicks_players_all_stats[[#This Row],[FGM]]/knicks_players_all_stats[[#This Row],[FGA]]</f>
        <v>0.40425531914893614</v>
      </c>
      <c r="M234" s="16">
        <f>knicks_players_all_stats[[#This Row],[FG3M2]]/10</f>
        <v>72</v>
      </c>
      <c r="N234" s="1">
        <v>720</v>
      </c>
      <c r="O234" s="1">
        <f>knicks_players_all_stats[[#This Row],[FG3A2]]/10</f>
        <v>189</v>
      </c>
      <c r="P234" s="1">
        <v>1890</v>
      </c>
      <c r="Q234" s="2">
        <f>knicks_players_all_stats[[#This Row],[FG3M2]]/knicks_players_all_stats[[#This Row],[FG3A2]]</f>
        <v>0.38095238095238093</v>
      </c>
      <c r="R234" s="1">
        <v>13</v>
      </c>
      <c r="S234" s="1">
        <v>19</v>
      </c>
      <c r="T234" s="3">
        <f>knicks_players_all_stats[[#This Row],[FTM]]/knicks_players_all_stats[[#This Row],[FTA]]</f>
        <v>0.68421052631578949</v>
      </c>
      <c r="U234" s="1">
        <f>knicks_players_all_stats[[#This Row],[OREB22]]/10</f>
        <v>24</v>
      </c>
      <c r="V234" s="1">
        <f>knicks_players_all_stats[[#This Row],[DREB33]]/10</f>
        <v>70</v>
      </c>
      <c r="W234" s="1">
        <f>knicks_players_all_stats[[#This Row],[REB44]]/10</f>
        <v>94</v>
      </c>
      <c r="X234">
        <v>240</v>
      </c>
      <c r="Y234">
        <v>700</v>
      </c>
      <c r="Z234">
        <v>940</v>
      </c>
      <c r="AA234" s="14">
        <f>knicks_players_all_stats[[#This Row],[REB]]/knicks_players_all_stats[[#This Row],[GP]]</f>
        <v>2.0434782608695654</v>
      </c>
      <c r="AB234" s="1">
        <v>44</v>
      </c>
      <c r="AC234" s="4">
        <f>knicks_players_all_stats[[#This Row],[AST]]/knicks_players_all_stats[[#This Row],[GP]]</f>
        <v>0.95652173913043481</v>
      </c>
      <c r="AD234" s="1">
        <f>knicks_players_all_stats[[#This Row],[STL2]]/10</f>
        <v>31</v>
      </c>
      <c r="AE234" s="1">
        <v>310</v>
      </c>
      <c r="AF234" s="4">
        <f>knicks_players_all_stats[[#This Row],[STL]]/knicks_players_all_stats[[#This Row],[GP]]</f>
        <v>0.67391304347826086</v>
      </c>
      <c r="AG234">
        <v>110</v>
      </c>
      <c r="AH234" s="1">
        <f>knicks_players_all_stats[[#This Row],[BLK2]]/10</f>
        <v>11</v>
      </c>
      <c r="AI234" s="4">
        <f>knicks_players_all_stats[[#This Row],[BLK]]/knicks_players_all_stats[[#This Row],[GP]]</f>
        <v>0.2391304347826087</v>
      </c>
      <c r="AJ234">
        <v>280</v>
      </c>
      <c r="AK234" s="4">
        <f>knicks_players_all_stats[[#This Row],[BLKPG]]+knicks_players_all_stats[[#This Row],[STLPG]]+knicks_players_all_stats[[#This Row],[REBPG]]</f>
        <v>2.956521739130435</v>
      </c>
      <c r="AL234" s="1">
        <f>knicks_players_all_stats[[#This Row],[TOV2]]/10</f>
        <v>28</v>
      </c>
      <c r="AM234" s="4">
        <f>knicks_players_all_stats[[#This Row],[TOV]]/knicks_players_all_stats[[#This Row],[GP]]</f>
        <v>0.60869565217391308</v>
      </c>
      <c r="AN234" s="1">
        <v>72</v>
      </c>
      <c r="AO234" s="1">
        <f>knicks_players_all_stats[[#This Row],[PF]]/knicks_players_all_stats[[#This Row],[GP]]</f>
        <v>1.5652173913043479</v>
      </c>
      <c r="AP234" s="1">
        <v>275</v>
      </c>
      <c r="AQ234" s="4">
        <f>knicks_players_all_stats[[#This Row],[PTS]]/knicks_players_all_stats[[#This Row],[GP]]</f>
        <v>5.9782608695652177</v>
      </c>
    </row>
    <row r="235" spans="1:43" customFormat="1" x14ac:dyDescent="0.3">
      <c r="A235" s="1" t="s">
        <v>1446</v>
      </c>
      <c r="B235" s="1" t="s">
        <v>1303</v>
      </c>
      <c r="C235" s="1" t="str">
        <f>knicks_players_all_stats[[#This Row],[NAME]]&amp;" ("&amp;knicks_players_all_stats[[#This Row],[SEASON]]&amp;")"</f>
        <v>Wilson Chandler (2007-08)</v>
      </c>
      <c r="D235" s="1">
        <f>knicks_players_all_stats[[#This Row],[PLAYER_AGE]]/10</f>
        <v>21</v>
      </c>
      <c r="E235">
        <v>210</v>
      </c>
      <c r="F235" s="1">
        <v>35</v>
      </c>
      <c r="G235" s="1">
        <v>6850</v>
      </c>
      <c r="H2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180</v>
      </c>
      <c r="I235" s="4">
        <f>knicks_players_all_stats[[#This Row],[VALORATION]]/knicks_players_all_stats[[#This Row],[GP]]</f>
        <v>5.1428571428571432</v>
      </c>
      <c r="J235" s="1">
        <v>106</v>
      </c>
      <c r="K235" s="1">
        <v>242</v>
      </c>
      <c r="L235" s="2">
        <f>knicks_players_all_stats[[#This Row],[FGM]]/knicks_players_all_stats[[#This Row],[FGA]]</f>
        <v>0.43801652892561982</v>
      </c>
      <c r="M235" s="16">
        <f>knicks_players_all_stats[[#This Row],[FG3M2]]/10</f>
        <v>9</v>
      </c>
      <c r="N235" s="1">
        <v>90</v>
      </c>
      <c r="O235" s="1">
        <f>knicks_players_all_stats[[#This Row],[FG3A2]]/10</f>
        <v>30</v>
      </c>
      <c r="P235" s="1">
        <v>300</v>
      </c>
      <c r="Q235" s="2">
        <f>knicks_players_all_stats[[#This Row],[FG3M2]]/knicks_players_all_stats[[#This Row],[FG3A2]]</f>
        <v>0.3</v>
      </c>
      <c r="R235" s="1">
        <v>34</v>
      </c>
      <c r="S235" s="1">
        <v>54</v>
      </c>
      <c r="T235" s="3">
        <f>knicks_players_all_stats[[#This Row],[FTM]]/knicks_players_all_stats[[#This Row],[FTA]]</f>
        <v>0.62962962962962965</v>
      </c>
      <c r="U235" s="1">
        <f>knicks_players_all_stats[[#This Row],[OREB22]]/10</f>
        <v>38</v>
      </c>
      <c r="V235" s="1">
        <f>knicks_players_all_stats[[#This Row],[DREB33]]/10</f>
        <v>89</v>
      </c>
      <c r="W235" s="1">
        <f>knicks_players_all_stats[[#This Row],[REB44]]/10</f>
        <v>127</v>
      </c>
      <c r="X235">
        <v>380</v>
      </c>
      <c r="Y235">
        <v>890</v>
      </c>
      <c r="Z235">
        <v>1270</v>
      </c>
      <c r="AA235" s="14">
        <f>knicks_players_all_stats[[#This Row],[REB]]/knicks_players_all_stats[[#This Row],[GP]]</f>
        <v>3.6285714285714286</v>
      </c>
      <c r="AB235" s="1">
        <v>33</v>
      </c>
      <c r="AC235" s="4">
        <f>knicks_players_all_stats[[#This Row],[AST]]/knicks_players_all_stats[[#This Row],[GP]]</f>
        <v>0.94285714285714284</v>
      </c>
      <c r="AD235" s="1">
        <f>knicks_players_all_stats[[#This Row],[STL2]]/10</f>
        <v>15</v>
      </c>
      <c r="AE235" s="1">
        <v>150</v>
      </c>
      <c r="AF235" s="4">
        <f>knicks_players_all_stats[[#This Row],[STL]]/knicks_players_all_stats[[#This Row],[GP]]</f>
        <v>0.42857142857142855</v>
      </c>
      <c r="AG235">
        <v>160</v>
      </c>
      <c r="AH235" s="1">
        <f>knicks_players_all_stats[[#This Row],[BLK2]]/10</f>
        <v>16</v>
      </c>
      <c r="AI235" s="4">
        <f>knicks_players_all_stats[[#This Row],[BLK]]/knicks_players_all_stats[[#This Row],[GP]]</f>
        <v>0.45714285714285713</v>
      </c>
      <c r="AJ235">
        <v>270</v>
      </c>
      <c r="AK235" s="4">
        <f>knicks_players_all_stats[[#This Row],[BLKPG]]+knicks_players_all_stats[[#This Row],[STLPG]]+knicks_players_all_stats[[#This Row],[REBPG]]</f>
        <v>4.5142857142857142</v>
      </c>
      <c r="AL235" s="1">
        <f>knicks_players_all_stats[[#This Row],[TOV2]]/10</f>
        <v>27</v>
      </c>
      <c r="AM235" s="4">
        <f>knicks_players_all_stats[[#This Row],[TOV]]/knicks_players_all_stats[[#This Row],[GP]]</f>
        <v>0.77142857142857146</v>
      </c>
      <c r="AN235" s="1">
        <v>83</v>
      </c>
      <c r="AO235" s="1">
        <f>knicks_players_all_stats[[#This Row],[PF]]/knicks_players_all_stats[[#This Row],[GP]]</f>
        <v>2.3714285714285714</v>
      </c>
      <c r="AP235" s="1">
        <v>255</v>
      </c>
      <c r="AQ235" s="4">
        <f>knicks_players_all_stats[[#This Row],[PTS]]/knicks_players_all_stats[[#This Row],[GP]]</f>
        <v>7.2857142857142856</v>
      </c>
    </row>
    <row r="236" spans="1:43" customFormat="1" x14ac:dyDescent="0.3">
      <c r="A236" s="1" t="s">
        <v>1450</v>
      </c>
      <c r="B236" s="1" t="s">
        <v>1292</v>
      </c>
      <c r="C236" s="1" t="str">
        <f>knicks_players_all_stats[[#This Row],[NAME]]&amp;" ("&amp;knicks_players_all_stats[[#This Row],[SEASON]]&amp;")"</f>
        <v>Tyson Chandler (2012-13)</v>
      </c>
      <c r="D236" s="1">
        <f>knicks_players_all_stats[[#This Row],[PLAYER_AGE]]/10</f>
        <v>30</v>
      </c>
      <c r="E236">
        <v>300</v>
      </c>
      <c r="F236" s="1">
        <v>66</v>
      </c>
      <c r="G236" s="1">
        <v>21640</v>
      </c>
      <c r="H2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1072</v>
      </c>
      <c r="I236" s="4">
        <f>knicks_players_all_stats[[#This Row],[VALORATION]]/knicks_players_all_stats[[#This Row],[GP]]</f>
        <v>16.242424242424242</v>
      </c>
      <c r="J236" s="1">
        <v>255</v>
      </c>
      <c r="K236" s="1">
        <v>400</v>
      </c>
      <c r="L236" s="2">
        <f>knicks_players_all_stats[[#This Row],[FGM]]/knicks_players_all_stats[[#This Row],[FGA]]</f>
        <v>0.63749999999999996</v>
      </c>
      <c r="M236" s="16">
        <f>knicks_players_all_stats[[#This Row],[FG3M2]]/10</f>
        <v>0</v>
      </c>
      <c r="N236" s="1">
        <v>0</v>
      </c>
      <c r="O236" s="1">
        <f>knicks_players_all_stats[[#This Row],[FG3A2]]/10</f>
        <v>0</v>
      </c>
      <c r="P236" s="1">
        <v>0</v>
      </c>
      <c r="Q236" s="2" t="e">
        <f>knicks_players_all_stats[[#This Row],[FG3M2]]/knicks_players_all_stats[[#This Row],[FG3A2]]</f>
        <v>#DIV/0!</v>
      </c>
      <c r="R236" s="1">
        <v>179</v>
      </c>
      <c r="S236" s="1">
        <v>258</v>
      </c>
      <c r="T236" s="3">
        <f>knicks_players_all_stats[[#This Row],[FTM]]/knicks_players_all_stats[[#This Row],[FTA]]</f>
        <v>0.69379844961240311</v>
      </c>
      <c r="U236" s="1">
        <f>knicks_players_all_stats[[#This Row],[OREB22]]/10</f>
        <v>269</v>
      </c>
      <c r="V236" s="1">
        <f>knicks_players_all_stats[[#This Row],[DREB33]]/10</f>
        <v>434</v>
      </c>
      <c r="W236" s="1">
        <f>knicks_players_all_stats[[#This Row],[REB44]]/10</f>
        <v>703</v>
      </c>
      <c r="X236">
        <v>2690</v>
      </c>
      <c r="Y236">
        <v>4340</v>
      </c>
      <c r="Z236">
        <v>7030</v>
      </c>
      <c r="AA236" s="14">
        <f>knicks_players_all_stats[[#This Row],[REB]]/knicks_players_all_stats[[#This Row],[GP]]</f>
        <v>10.651515151515152</v>
      </c>
      <c r="AB236" s="1">
        <v>62</v>
      </c>
      <c r="AC236" s="4">
        <f>knicks_players_all_stats[[#This Row],[AST]]/knicks_players_all_stats[[#This Row],[GP]]</f>
        <v>0.93939393939393945</v>
      </c>
      <c r="AD236" s="1">
        <f>knicks_players_all_stats[[#This Row],[STL2]]/10</f>
        <v>42</v>
      </c>
      <c r="AE236" s="1">
        <v>420</v>
      </c>
      <c r="AF236" s="4">
        <f>knicks_players_all_stats[[#This Row],[STL]]/knicks_players_all_stats[[#This Row],[GP]]</f>
        <v>0.63636363636363635</v>
      </c>
      <c r="AG236">
        <v>750</v>
      </c>
      <c r="AH236" s="1">
        <f>knicks_players_all_stats[[#This Row],[BLK2]]/10</f>
        <v>75</v>
      </c>
      <c r="AI236" s="4">
        <f>knicks_players_all_stats[[#This Row],[BLK]]/knicks_players_all_stats[[#This Row],[GP]]</f>
        <v>1.1363636363636365</v>
      </c>
      <c r="AJ236">
        <v>870</v>
      </c>
      <c r="AK236" s="4">
        <f>knicks_players_all_stats[[#This Row],[BLKPG]]+knicks_players_all_stats[[#This Row],[STLPG]]+knicks_players_all_stats[[#This Row],[REBPG]]</f>
        <v>12.424242424242426</v>
      </c>
      <c r="AL236" s="1">
        <f>knicks_players_all_stats[[#This Row],[TOV2]]/10</f>
        <v>87</v>
      </c>
      <c r="AM236" s="4">
        <f>knicks_players_all_stats[[#This Row],[TOV]]/knicks_players_all_stats[[#This Row],[GP]]</f>
        <v>1.3181818181818181</v>
      </c>
      <c r="AN236" s="1">
        <v>188</v>
      </c>
      <c r="AO236" s="1">
        <f>knicks_players_all_stats[[#This Row],[PF]]/knicks_players_all_stats[[#This Row],[GP]]</f>
        <v>2.8484848484848486</v>
      </c>
      <c r="AP236" s="1">
        <v>689</v>
      </c>
      <c r="AQ236" s="4">
        <f>knicks_players_all_stats[[#This Row],[PTS]]/knicks_players_all_stats[[#This Row],[GP]]</f>
        <v>10.439393939393939</v>
      </c>
    </row>
    <row r="237" spans="1:43" x14ac:dyDescent="0.3">
      <c r="A237" s="1" t="s">
        <v>1833</v>
      </c>
      <c r="B237" s="1" t="s">
        <v>1279</v>
      </c>
      <c r="C237" s="1" t="str">
        <f>knicks_players_all_stats[[#This Row],[NAME]]&amp;" ("&amp;knicks_players_all_stats[[#This Row],[SEASON]]&amp;")"</f>
        <v>Derrick Williams (2015-16)</v>
      </c>
      <c r="D237" s="1">
        <f>knicks_players_all_stats[[#This Row],[PLAYER_AGE]]/10</f>
        <v>25</v>
      </c>
      <c r="E237">
        <v>250</v>
      </c>
      <c r="F237" s="1">
        <v>80</v>
      </c>
      <c r="G237" s="1">
        <v>14350</v>
      </c>
      <c r="H2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652</v>
      </c>
      <c r="I237" s="4">
        <f>knicks_players_all_stats[[#This Row],[VALORATION]]/knicks_players_all_stats[[#This Row],[GP]]</f>
        <v>8.15</v>
      </c>
      <c r="J237" s="1">
        <v>254</v>
      </c>
      <c r="K237" s="1">
        <v>565</v>
      </c>
      <c r="L237" s="1">
        <v>45</v>
      </c>
      <c r="M237" s="4">
        <f>knicks_players_all_stats[[#This Row],[FG3M2]]/10</f>
        <v>44</v>
      </c>
      <c r="N237" s="1">
        <v>440</v>
      </c>
      <c r="O237" s="1">
        <f>knicks_players_all_stats[[#This Row],[FG3A2]]/10</f>
        <v>150</v>
      </c>
      <c r="P237" s="1">
        <v>1500</v>
      </c>
      <c r="Q237" s="2">
        <f>knicks_players_all_stats[[#This Row],[FG3M2]]/knicks_players_all_stats[[#This Row],[FG3A2]]</f>
        <v>0.29333333333333333</v>
      </c>
      <c r="R237" s="1">
        <v>194</v>
      </c>
      <c r="S237" s="1">
        <v>256</v>
      </c>
      <c r="T237" s="3">
        <f>knicks_players_all_stats[[#This Row],[FTM]]/knicks_players_all_stats[[#This Row],[FTA]]</f>
        <v>0.7578125</v>
      </c>
      <c r="U237" s="1">
        <f>knicks_players_all_stats[[#This Row],[OREB22]]/10</f>
        <v>47</v>
      </c>
      <c r="V237" s="1">
        <f>knicks_players_all_stats[[#This Row],[DREB33]]/10</f>
        <v>249</v>
      </c>
      <c r="W237" s="1">
        <f>knicks_players_all_stats[[#This Row],[REB44]]/10</f>
        <v>296</v>
      </c>
      <c r="X237">
        <v>470</v>
      </c>
      <c r="Y237">
        <v>2490</v>
      </c>
      <c r="Z237">
        <v>2960</v>
      </c>
      <c r="AA237" s="14">
        <f>knicks_players_all_stats[[#This Row],[REB]]/knicks_players_all_stats[[#This Row],[GP]]</f>
        <v>3.7</v>
      </c>
      <c r="AB237" s="1">
        <v>75</v>
      </c>
      <c r="AC237" s="4">
        <f>knicks_players_all_stats[[#This Row],[AST]]/knicks_players_all_stats[[#This Row],[GP]]</f>
        <v>0.9375</v>
      </c>
      <c r="AD237" s="1">
        <f>knicks_players_all_stats[[#This Row],[STL2]]/10</f>
        <v>29</v>
      </c>
      <c r="AE237" s="1">
        <v>290</v>
      </c>
      <c r="AF237" s="4">
        <f>knicks_players_all_stats[[#This Row],[STL]]/knicks_players_all_stats[[#This Row],[GP]]</f>
        <v>0.36249999999999999</v>
      </c>
      <c r="AG237">
        <v>90</v>
      </c>
      <c r="AH237" s="1">
        <f>knicks_players_all_stats[[#This Row],[BLK2]]/10</f>
        <v>9</v>
      </c>
      <c r="AI237" s="4">
        <f>knicks_players_all_stats[[#This Row],[BLK]]/knicks_players_all_stats[[#This Row],[GP]]</f>
        <v>0.1125</v>
      </c>
      <c r="AJ237">
        <v>610</v>
      </c>
      <c r="AK237" s="4">
        <f>knicks_players_all_stats[[#This Row],[BLKPG]]+knicks_players_all_stats[[#This Row],[STLPG]]+knicks_players_all_stats[[#This Row],[REBPG]]</f>
        <v>4.1749999999999998</v>
      </c>
      <c r="AL237" s="1">
        <f>knicks_players_all_stats[[#This Row],[TOV2]]/10</f>
        <v>61</v>
      </c>
      <c r="AM237" s="4">
        <f>knicks_players_all_stats[[#This Row],[TOV]]/knicks_players_all_stats[[#This Row],[GP]]</f>
        <v>0.76249999999999996</v>
      </c>
      <c r="AN237" s="1">
        <v>69</v>
      </c>
      <c r="AO237" s="1">
        <f>knicks_players_all_stats[[#This Row],[PF]]/knicks_players_all_stats[[#This Row],[GP]]</f>
        <v>0.86250000000000004</v>
      </c>
      <c r="AP237" s="1">
        <v>746</v>
      </c>
      <c r="AQ237" s="4">
        <f>knicks_players_all_stats[[#This Row],[PTS]]/knicks_players_all_stats[[#This Row],[GP]]</f>
        <v>9.3249999999999993</v>
      </c>
    </row>
    <row r="238" spans="1:43" customFormat="1" x14ac:dyDescent="0.3">
      <c r="A238" s="1" t="s">
        <v>1758</v>
      </c>
      <c r="B238" s="1" t="s">
        <v>1302</v>
      </c>
      <c r="C238" s="1" t="str">
        <f>knicks_players_all_stats[[#This Row],[NAME]]&amp;" ("&amp;knicks_players_all_stats[[#This Row],[SEASON]]&amp;")"</f>
        <v>Channing Frye (2006-07)</v>
      </c>
      <c r="D238" s="1">
        <f>knicks_players_all_stats[[#This Row],[PLAYER_AGE]]/10</f>
        <v>24</v>
      </c>
      <c r="E238">
        <v>240</v>
      </c>
      <c r="F238" s="1">
        <v>72</v>
      </c>
      <c r="G238" s="1">
        <v>18990</v>
      </c>
      <c r="H2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494</v>
      </c>
      <c r="I238" s="4">
        <f>knicks_players_all_stats[[#This Row],[VALORATION]]/knicks_players_all_stats[[#This Row],[GP]]</f>
        <v>6.8611111111111107</v>
      </c>
      <c r="J238" s="1">
        <v>298</v>
      </c>
      <c r="K238" s="1">
        <v>689</v>
      </c>
      <c r="L238" s="1">
        <v>433</v>
      </c>
      <c r="M238" s="4">
        <f>knicks_players_all_stats[[#This Row],[FG3M2]]/10</f>
        <v>3</v>
      </c>
      <c r="N238" s="1">
        <v>30</v>
      </c>
      <c r="O238" s="1">
        <f>knicks_players_all_stats[[#This Row],[FG3A2]]/10</f>
        <v>18</v>
      </c>
      <c r="P238" s="1">
        <v>180</v>
      </c>
      <c r="Q238" s="2">
        <f>knicks_players_all_stats[[#This Row],[FG3M2]]/knicks_players_all_stats[[#This Row],[FG3A2]]</f>
        <v>0.16666666666666666</v>
      </c>
      <c r="R238" s="1">
        <v>85</v>
      </c>
      <c r="S238" s="1">
        <v>108</v>
      </c>
      <c r="T238" s="3">
        <f>knicks_players_all_stats[[#This Row],[FTM]]/knicks_players_all_stats[[#This Row],[FTA]]</f>
        <v>0.78703703703703709</v>
      </c>
      <c r="U238" s="1">
        <f>knicks_players_all_stats[[#This Row],[OREB22]]/10</f>
        <v>91</v>
      </c>
      <c r="V238" s="1">
        <f>knicks_players_all_stats[[#This Row],[DREB33]]/10</f>
        <v>304</v>
      </c>
      <c r="W238" s="1">
        <f>knicks_players_all_stats[[#This Row],[REB44]]/10</f>
        <v>395</v>
      </c>
      <c r="X238">
        <v>910</v>
      </c>
      <c r="Y238">
        <v>3040</v>
      </c>
      <c r="Z238">
        <v>3950</v>
      </c>
      <c r="AA238" s="14">
        <f>knicks_players_all_stats[[#This Row],[REB]]/knicks_players_all_stats[[#This Row],[GP]]</f>
        <v>5.4861111111111107</v>
      </c>
      <c r="AB238" s="1">
        <v>67</v>
      </c>
      <c r="AC238" s="4">
        <f>knicks_players_all_stats[[#This Row],[AST]]/knicks_players_all_stats[[#This Row],[GP]]</f>
        <v>0.93055555555555558</v>
      </c>
      <c r="AD238" s="1">
        <f>knicks_players_all_stats[[#This Row],[STL2]]/10</f>
        <v>36</v>
      </c>
      <c r="AE238" s="1">
        <v>360</v>
      </c>
      <c r="AF238" s="4">
        <f>knicks_players_all_stats[[#This Row],[STL]]/knicks_players_all_stats[[#This Row],[GP]]</f>
        <v>0.5</v>
      </c>
      <c r="AG238">
        <v>420</v>
      </c>
      <c r="AH238" s="1">
        <f>knicks_players_all_stats[[#This Row],[BLK2]]/10</f>
        <v>42</v>
      </c>
      <c r="AI238" s="4">
        <f>knicks_players_all_stats[[#This Row],[BLK]]/knicks_players_all_stats[[#This Row],[GP]]</f>
        <v>0.58333333333333337</v>
      </c>
      <c r="AJ238">
        <v>1000</v>
      </c>
      <c r="AK238" s="4">
        <f>knicks_players_all_stats[[#This Row],[BLKPG]]+knicks_players_all_stats[[#This Row],[STLPG]]+knicks_players_all_stats[[#This Row],[REBPG]]</f>
        <v>6.5694444444444446</v>
      </c>
      <c r="AL238" s="1">
        <f>knicks_players_all_stats[[#This Row],[TOV2]]/10</f>
        <v>100</v>
      </c>
      <c r="AM238" s="4">
        <f>knicks_players_all_stats[[#This Row],[TOV]]/knicks_players_all_stats[[#This Row],[GP]]</f>
        <v>1.3888888888888888</v>
      </c>
      <c r="AN238" s="1">
        <v>216</v>
      </c>
      <c r="AO238" s="1">
        <f>knicks_players_all_stats[[#This Row],[PF]]/knicks_players_all_stats[[#This Row],[GP]]</f>
        <v>3</v>
      </c>
      <c r="AP238" s="1">
        <v>684</v>
      </c>
      <c r="AQ238" s="4">
        <f>knicks_players_all_stats[[#This Row],[PTS]]/knicks_players_all_stats[[#This Row],[GP]]</f>
        <v>9.5</v>
      </c>
    </row>
    <row r="239" spans="1:43" customFormat="1" x14ac:dyDescent="0.3">
      <c r="A239" s="1" t="s">
        <v>1663</v>
      </c>
      <c r="B239" s="1" t="s">
        <v>1300</v>
      </c>
      <c r="C239" s="1" t="str">
        <f>knicks_players_all_stats[[#This Row],[NAME]]&amp;" ("&amp;knicks_players_all_stats[[#This Row],[SEASON]]&amp;")"</f>
        <v>Malik Rose (2005-06)</v>
      </c>
      <c r="D239" s="1">
        <f>knicks_players_all_stats[[#This Row],[PLAYER_AGE]]/10</f>
        <v>31</v>
      </c>
      <c r="E239">
        <v>310</v>
      </c>
      <c r="F239" s="1">
        <v>72</v>
      </c>
      <c r="G239" s="1">
        <v>11190</v>
      </c>
      <c r="H2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270</v>
      </c>
      <c r="I239" s="4">
        <f>knicks_players_all_stats[[#This Row],[VALORATION]]/knicks_players_all_stats[[#This Row],[GP]]</f>
        <v>3.75</v>
      </c>
      <c r="J239" s="1">
        <v>105</v>
      </c>
      <c r="K239" s="1">
        <v>281</v>
      </c>
      <c r="L239" s="1">
        <v>374</v>
      </c>
      <c r="M239" s="4">
        <f>knicks_players_all_stats[[#This Row],[FG3M2]]/10</f>
        <v>1</v>
      </c>
      <c r="N239" s="1">
        <v>10</v>
      </c>
      <c r="O239" s="1">
        <f>knicks_players_all_stats[[#This Row],[FG3A2]]/10</f>
        <v>1</v>
      </c>
      <c r="P239" s="1">
        <v>10</v>
      </c>
      <c r="Q239" s="2">
        <f>knicks_players_all_stats[[#This Row],[FG3M2]]/knicks_players_all_stats[[#This Row],[FG3A2]]</f>
        <v>1</v>
      </c>
      <c r="R239" s="1">
        <v>107</v>
      </c>
      <c r="S239" s="1">
        <v>137</v>
      </c>
      <c r="T239" s="3">
        <f>knicks_players_all_stats[[#This Row],[FTM]]/knicks_players_all_stats[[#This Row],[FTA]]</f>
        <v>0.78102189781021902</v>
      </c>
      <c r="U239" s="1">
        <f>knicks_players_all_stats[[#This Row],[OREB22]]/10</f>
        <v>84</v>
      </c>
      <c r="V239" s="1">
        <f>knicks_players_all_stats[[#This Row],[DREB33]]/10</f>
        <v>175</v>
      </c>
      <c r="W239" s="1">
        <f>knicks_players_all_stats[[#This Row],[REB44]]/10</f>
        <v>259</v>
      </c>
      <c r="X239">
        <v>840</v>
      </c>
      <c r="Y239">
        <v>1750</v>
      </c>
      <c r="Z239">
        <v>2590</v>
      </c>
      <c r="AA239" s="14">
        <f>knicks_players_all_stats[[#This Row],[REB]]/knicks_players_all_stats[[#This Row],[GP]]</f>
        <v>3.5972222222222223</v>
      </c>
      <c r="AB239" s="1">
        <v>67</v>
      </c>
      <c r="AC239" s="4">
        <f>knicks_players_all_stats[[#This Row],[AST]]/knicks_players_all_stats[[#This Row],[GP]]</f>
        <v>0.93055555555555558</v>
      </c>
      <c r="AD239" s="1">
        <f>knicks_players_all_stats[[#This Row],[STL2]]/10</f>
        <v>43</v>
      </c>
      <c r="AE239" s="1">
        <v>430</v>
      </c>
      <c r="AF239" s="4">
        <f>knicks_players_all_stats[[#This Row],[STL]]/knicks_players_all_stats[[#This Row],[GP]]</f>
        <v>0.59722222222222221</v>
      </c>
      <c r="AG239">
        <v>140</v>
      </c>
      <c r="AH239" s="1">
        <f>knicks_players_all_stats[[#This Row],[BLK2]]/10</f>
        <v>14</v>
      </c>
      <c r="AI239" s="4">
        <f>knicks_players_all_stats[[#This Row],[BLK]]/knicks_players_all_stats[[#This Row],[GP]]</f>
        <v>0.19444444444444445</v>
      </c>
      <c r="AJ239">
        <v>800</v>
      </c>
      <c r="AK239" s="4">
        <f>knicks_players_all_stats[[#This Row],[BLKPG]]+knicks_players_all_stats[[#This Row],[STLPG]]+knicks_players_all_stats[[#This Row],[REBPG]]</f>
        <v>4.3888888888888893</v>
      </c>
      <c r="AL239" s="1">
        <f>knicks_players_all_stats[[#This Row],[TOV2]]/10</f>
        <v>80</v>
      </c>
      <c r="AM239" s="4">
        <f>knicks_players_all_stats[[#This Row],[TOV]]/knicks_players_all_stats[[#This Row],[GP]]</f>
        <v>1.1111111111111112</v>
      </c>
      <c r="AN239" s="1">
        <v>145</v>
      </c>
      <c r="AO239" s="1">
        <f>knicks_players_all_stats[[#This Row],[PF]]/knicks_players_all_stats[[#This Row],[GP]]</f>
        <v>2.0138888888888888</v>
      </c>
      <c r="AP239" s="1">
        <v>318</v>
      </c>
      <c r="AQ239" s="4">
        <f>knicks_players_all_stats[[#This Row],[PTS]]/knicks_players_all_stats[[#This Row],[GP]]</f>
        <v>4.416666666666667</v>
      </c>
    </row>
    <row r="240" spans="1:43" customFormat="1" x14ac:dyDescent="0.3">
      <c r="A240" s="1" t="s">
        <v>1632</v>
      </c>
      <c r="B240" s="1" t="s">
        <v>1330</v>
      </c>
      <c r="C240" s="1" t="str">
        <f>knicks_players_all_stats[[#This Row],[NAME]]&amp;" ("&amp;knicks_players_all_stats[[#This Row],[SEASON]]&amp;")"</f>
        <v>Shandon Anderson (2001-02)</v>
      </c>
      <c r="D240" s="1">
        <f>knicks_players_all_stats[[#This Row],[PLAYER_AGE]]/10</f>
        <v>28</v>
      </c>
      <c r="E240">
        <v>280</v>
      </c>
      <c r="F240" s="1">
        <v>82</v>
      </c>
      <c r="G240" s="1">
        <v>15960</v>
      </c>
      <c r="H2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311</v>
      </c>
      <c r="I240" s="4">
        <f>knicks_players_all_stats[[#This Row],[VALORATION]]/knicks_players_all_stats[[#This Row],[GP]]</f>
        <v>3.7926829268292681</v>
      </c>
      <c r="J240" s="1">
        <v>149</v>
      </c>
      <c r="K240" s="1">
        <v>373</v>
      </c>
      <c r="L240" s="2">
        <f>knicks_players_all_stats[[#This Row],[FGM]]/knicks_players_all_stats[[#This Row],[FGA]]</f>
        <v>0.39946380697050937</v>
      </c>
      <c r="M240" s="16">
        <f>knicks_players_all_stats[[#This Row],[FG3M2]]/10</f>
        <v>39</v>
      </c>
      <c r="N240" s="1">
        <v>390</v>
      </c>
      <c r="O240" s="1">
        <f>knicks_players_all_stats[[#This Row],[FG3A2]]/10</f>
        <v>141</v>
      </c>
      <c r="P240" s="1">
        <v>1410</v>
      </c>
      <c r="Q240" s="2">
        <f>knicks_players_all_stats[[#This Row],[FG3M2]]/knicks_players_all_stats[[#This Row],[FG3A2]]</f>
        <v>0.27659574468085107</v>
      </c>
      <c r="R240" s="1">
        <v>74</v>
      </c>
      <c r="S240" s="1">
        <v>107</v>
      </c>
      <c r="T240" s="3">
        <f>knicks_players_all_stats[[#This Row],[FTM]]/knicks_players_all_stats[[#This Row],[FTA]]</f>
        <v>0.69158878504672894</v>
      </c>
      <c r="U240" s="1">
        <f>knicks_players_all_stats[[#This Row],[OREB22]]/10</f>
        <v>57</v>
      </c>
      <c r="V240" s="1">
        <f>knicks_players_all_stats[[#This Row],[DREB33]]/10</f>
        <v>192</v>
      </c>
      <c r="W240" s="1">
        <f>knicks_players_all_stats[[#This Row],[REB44]]/10</f>
        <v>249</v>
      </c>
      <c r="X240">
        <v>570</v>
      </c>
      <c r="Y240">
        <v>1920</v>
      </c>
      <c r="Z240">
        <v>2490</v>
      </c>
      <c r="AA240" s="14">
        <f>knicks_players_all_stats[[#This Row],[REB]]/knicks_players_all_stats[[#This Row],[GP]]</f>
        <v>3.0365853658536586</v>
      </c>
      <c r="AB240" s="1">
        <v>76</v>
      </c>
      <c r="AC240" s="4">
        <f>knicks_players_all_stats[[#This Row],[AST]]/knicks_players_all_stats[[#This Row],[GP]]</f>
        <v>0.92682926829268297</v>
      </c>
      <c r="AD240" s="1">
        <f>knicks_players_all_stats[[#This Row],[STL2]]/10</f>
        <v>48</v>
      </c>
      <c r="AE240" s="1">
        <v>480</v>
      </c>
      <c r="AF240" s="4">
        <f>knicks_players_all_stats[[#This Row],[STL]]/knicks_players_all_stats[[#This Row],[GP]]</f>
        <v>0.58536585365853655</v>
      </c>
      <c r="AG240">
        <v>150</v>
      </c>
      <c r="AH240" s="1">
        <f>knicks_players_all_stats[[#This Row],[BLK2]]/10</f>
        <v>15</v>
      </c>
      <c r="AI240" s="4">
        <f>knicks_players_all_stats[[#This Row],[BLK]]/knicks_players_all_stats[[#This Row],[GP]]</f>
        <v>0.18292682926829268</v>
      </c>
      <c r="AJ240">
        <v>970</v>
      </c>
      <c r="AK240" s="4">
        <f>knicks_players_all_stats[[#This Row],[BLKPG]]+knicks_players_all_stats[[#This Row],[STLPG]]+knicks_players_all_stats[[#This Row],[REBPG]]</f>
        <v>3.8048780487804876</v>
      </c>
      <c r="AL240" s="1">
        <f>knicks_players_all_stats[[#This Row],[TOV2]]/10</f>
        <v>97</v>
      </c>
      <c r="AM240" s="4">
        <f>knicks_players_all_stats[[#This Row],[TOV]]/knicks_players_all_stats[[#This Row],[GP]]</f>
        <v>1.1829268292682926</v>
      </c>
      <c r="AN240" s="1">
        <v>134</v>
      </c>
      <c r="AO240" s="1">
        <f>knicks_players_all_stats[[#This Row],[PF]]/knicks_players_all_stats[[#This Row],[GP]]</f>
        <v>1.6341463414634145</v>
      </c>
      <c r="AP240" s="1">
        <v>411</v>
      </c>
      <c r="AQ240" s="4">
        <f>knicks_players_all_stats[[#This Row],[PTS]]/knicks_players_all_stats[[#This Row],[GP]]</f>
        <v>5.0121951219512191</v>
      </c>
    </row>
    <row r="241" spans="1:43" x14ac:dyDescent="0.3">
      <c r="A241" s="1" t="s">
        <v>1559</v>
      </c>
      <c r="B241" s="1" t="s">
        <v>1343</v>
      </c>
      <c r="C241" s="1" t="str">
        <f>knicks_players_all_stats[[#This Row],[NAME]]&amp;" ("&amp;knicks_players_all_stats[[#This Row],[SEASON]]&amp;")"</f>
        <v>Cleanthony Early (2014-15)</v>
      </c>
      <c r="D241" s="1">
        <f>knicks_players_all_stats[[#This Row],[PLAYER_AGE]]/10</f>
        <v>24</v>
      </c>
      <c r="E241">
        <v>240</v>
      </c>
      <c r="F241" s="1">
        <v>39</v>
      </c>
      <c r="G241" s="1">
        <v>6470</v>
      </c>
      <c r="H2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132</v>
      </c>
      <c r="I241" s="4">
        <f>knicks_players_all_stats[[#This Row],[VALORATION]]/knicks_players_all_stats[[#This Row],[GP]]</f>
        <v>3.3846153846153846</v>
      </c>
      <c r="J241" s="1">
        <v>76</v>
      </c>
      <c r="K241" s="1">
        <v>214</v>
      </c>
      <c r="L241" s="2">
        <f>knicks_players_all_stats[[#This Row],[FGM]]/knicks_players_all_stats[[#This Row],[FGA]]</f>
        <v>0.35514018691588783</v>
      </c>
      <c r="M241" s="16">
        <f>knicks_players_all_stats[[#This Row],[FG3M2]]/10</f>
        <v>22</v>
      </c>
      <c r="N241" s="1">
        <v>220</v>
      </c>
      <c r="O241" s="1">
        <f>knicks_players_all_stats[[#This Row],[FG3A2]]/10</f>
        <v>84</v>
      </c>
      <c r="P241" s="1">
        <v>840</v>
      </c>
      <c r="Q241" s="2">
        <f>knicks_players_all_stats[[#This Row],[FG3M2]]/knicks_players_all_stats[[#This Row],[FG3A2]]</f>
        <v>0.26190476190476192</v>
      </c>
      <c r="R241" s="1">
        <v>36</v>
      </c>
      <c r="S241" s="1">
        <v>48</v>
      </c>
      <c r="T241" s="3">
        <f>knicks_players_all_stats[[#This Row],[FTM]]/knicks_players_all_stats[[#This Row],[FTA]]</f>
        <v>0.75</v>
      </c>
      <c r="U241" s="1">
        <f>knicks_players_all_stats[[#This Row],[OREB22]]/10</f>
        <v>22</v>
      </c>
      <c r="V241" s="1">
        <f>knicks_players_all_stats[[#This Row],[DREB33]]/10</f>
        <v>75</v>
      </c>
      <c r="W241" s="1">
        <f>knicks_players_all_stats[[#This Row],[REB44]]/10</f>
        <v>97</v>
      </c>
      <c r="X241">
        <v>220</v>
      </c>
      <c r="Y241">
        <v>750</v>
      </c>
      <c r="Z241">
        <v>970</v>
      </c>
      <c r="AA241" s="14">
        <f>knicks_players_all_stats[[#This Row],[REB]]/knicks_players_all_stats[[#This Row],[GP]]</f>
        <v>2.4871794871794872</v>
      </c>
      <c r="AB241" s="1">
        <v>36</v>
      </c>
      <c r="AC241" s="4">
        <f>knicks_players_all_stats[[#This Row],[AST]]/knicks_players_all_stats[[#This Row],[GP]]</f>
        <v>0.92307692307692313</v>
      </c>
      <c r="AD241" s="1">
        <f>knicks_players_all_stats[[#This Row],[STL2]]/10</f>
        <v>24</v>
      </c>
      <c r="AE241" s="1">
        <v>240</v>
      </c>
      <c r="AF241" s="4">
        <f>knicks_players_all_stats[[#This Row],[STL]]/knicks_players_all_stats[[#This Row],[GP]]</f>
        <v>0.61538461538461542</v>
      </c>
      <c r="AG241">
        <v>120</v>
      </c>
      <c r="AH241" s="1">
        <f>knicks_players_all_stats[[#This Row],[BLK2]]/10</f>
        <v>12</v>
      </c>
      <c r="AI241" s="4">
        <f>knicks_players_all_stats[[#This Row],[BLK]]/knicks_players_all_stats[[#This Row],[GP]]</f>
        <v>0.30769230769230771</v>
      </c>
      <c r="AJ241">
        <v>400</v>
      </c>
      <c r="AK241" s="4">
        <f>knicks_players_all_stats[[#This Row],[BLKPG]]+knicks_players_all_stats[[#This Row],[STLPG]]+knicks_players_all_stats[[#This Row],[REBPG]]</f>
        <v>3.4102564102564106</v>
      </c>
      <c r="AL241" s="1">
        <f>knicks_players_all_stats[[#This Row],[TOV2]]/10</f>
        <v>40</v>
      </c>
      <c r="AM241" s="4">
        <f>knicks_players_all_stats[[#This Row],[TOV]]/knicks_players_all_stats[[#This Row],[GP]]</f>
        <v>1.0256410256410255</v>
      </c>
      <c r="AN241" s="1">
        <v>57</v>
      </c>
      <c r="AO241" s="1">
        <f>knicks_players_all_stats[[#This Row],[PF]]/knicks_players_all_stats[[#This Row],[GP]]</f>
        <v>1.4615384615384615</v>
      </c>
      <c r="AP241" s="1">
        <v>210</v>
      </c>
      <c r="AQ241" s="4">
        <f>knicks_players_all_stats[[#This Row],[PTS]]/knicks_players_all_stats[[#This Row],[GP]]</f>
        <v>5.384615384615385</v>
      </c>
    </row>
    <row r="242" spans="1:43" x14ac:dyDescent="0.3">
      <c r="A242" s="1" t="s">
        <v>1307</v>
      </c>
      <c r="B242" s="1" t="s">
        <v>1308</v>
      </c>
      <c r="C242" s="1" t="str">
        <f>knicks_players_all_stats[[#This Row],[NAME]]&amp;" ("&amp;knicks_players_all_stats[[#This Row],[SEASON]]&amp;")"</f>
        <v>Nerlens Noel (2021-22)</v>
      </c>
      <c r="D242" s="1">
        <f>knicks_players_all_stats[[#This Row],[PLAYER_AGE]]/10</f>
        <v>28</v>
      </c>
      <c r="E242">
        <v>280</v>
      </c>
      <c r="F242" s="1">
        <v>25</v>
      </c>
      <c r="G242" s="1">
        <v>5620</v>
      </c>
      <c r="H2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186</v>
      </c>
      <c r="I242" s="4">
        <f>knicks_players_all_stats[[#This Row],[VALORATION]]/knicks_players_all_stats[[#This Row],[GP]]</f>
        <v>7.44</v>
      </c>
      <c r="J242" s="1">
        <v>32</v>
      </c>
      <c r="K242" s="1">
        <v>60</v>
      </c>
      <c r="L242" s="2">
        <f>knicks_players_all_stats[[#This Row],[FGM]]/knicks_players_all_stats[[#This Row],[FGA]]</f>
        <v>0.53333333333333333</v>
      </c>
      <c r="M242" s="16">
        <f>knicks_players_all_stats[[#This Row],[FG3M2]]/10</f>
        <v>0</v>
      </c>
      <c r="N242" s="1">
        <v>0</v>
      </c>
      <c r="O242" s="1">
        <f>knicks_players_all_stats[[#This Row],[FG3A2]]/10</f>
        <v>3</v>
      </c>
      <c r="P242" s="1">
        <v>30</v>
      </c>
      <c r="Q242" s="2">
        <f>knicks_players_all_stats[[#This Row],[FG3M2]]/knicks_players_all_stats[[#This Row],[FG3A2]]</f>
        <v>0</v>
      </c>
      <c r="R242" s="1">
        <v>21</v>
      </c>
      <c r="S242" s="1">
        <v>30</v>
      </c>
      <c r="T242" s="3">
        <f>knicks_players_all_stats[[#This Row],[FTM]]/knicks_players_all_stats[[#This Row],[FTA]]</f>
        <v>0.7</v>
      </c>
      <c r="U242" s="1">
        <f>knicks_players_all_stats[[#This Row],[OREB22]]/10</f>
        <v>48</v>
      </c>
      <c r="V242" s="1">
        <f>knicks_players_all_stats[[#This Row],[DREB33]]/10</f>
        <v>93</v>
      </c>
      <c r="W242" s="1">
        <f>knicks_players_all_stats[[#This Row],[REB44]]/10</f>
        <v>141</v>
      </c>
      <c r="X242">
        <v>480</v>
      </c>
      <c r="Y242">
        <v>930</v>
      </c>
      <c r="Z242">
        <v>1410</v>
      </c>
      <c r="AA242" s="14">
        <f>knicks_players_all_stats[[#This Row],[REB]]/knicks_players_all_stats[[#This Row],[GP]]</f>
        <v>5.64</v>
      </c>
      <c r="AB242" s="1">
        <v>23</v>
      </c>
      <c r="AC242" s="4">
        <f>knicks_players_all_stats[[#This Row],[AST]]/knicks_players_all_stats[[#This Row],[GP]]</f>
        <v>0.92</v>
      </c>
      <c r="AD242" s="1">
        <f>knicks_players_all_stats[[#This Row],[STL2]]/10</f>
        <v>30</v>
      </c>
      <c r="AE242" s="1">
        <v>300</v>
      </c>
      <c r="AF242" s="4">
        <f>knicks_players_all_stats[[#This Row],[STL]]/knicks_players_all_stats[[#This Row],[GP]]</f>
        <v>1.2</v>
      </c>
      <c r="AG242">
        <v>310</v>
      </c>
      <c r="AH242" s="1">
        <f>knicks_players_all_stats[[#This Row],[BLK2]]/10</f>
        <v>31</v>
      </c>
      <c r="AI242" s="4">
        <f>knicks_players_all_stats[[#This Row],[BLK]]/knicks_players_all_stats[[#This Row],[GP]]</f>
        <v>1.24</v>
      </c>
      <c r="AJ242">
        <v>200</v>
      </c>
      <c r="AK242" s="4">
        <f>knicks_players_all_stats[[#This Row],[BLKPG]]+knicks_players_all_stats[[#This Row],[STLPG]]+knicks_players_all_stats[[#This Row],[REBPG]]</f>
        <v>8.08</v>
      </c>
      <c r="AL242" s="1">
        <f>knicks_players_all_stats[[#This Row],[TOV2]]/10</f>
        <v>20</v>
      </c>
      <c r="AM242" s="4">
        <f>knicks_players_all_stats[[#This Row],[TOV]]/knicks_players_all_stats[[#This Row],[GP]]</f>
        <v>0.8</v>
      </c>
      <c r="AN242" s="1">
        <v>67</v>
      </c>
      <c r="AO242" s="1">
        <f>knicks_players_all_stats[[#This Row],[PF]]/knicks_players_all_stats[[#This Row],[GP]]</f>
        <v>2.68</v>
      </c>
      <c r="AP242" s="1">
        <v>85</v>
      </c>
      <c r="AQ242" s="4">
        <f>knicks_players_all_stats[[#This Row],[PTS]]/knicks_players_all_stats[[#This Row],[GP]]</f>
        <v>3.4</v>
      </c>
    </row>
    <row r="243" spans="1:43" x14ac:dyDescent="0.3">
      <c r="A243" s="1" t="s">
        <v>1427</v>
      </c>
      <c r="B243" s="1" t="s">
        <v>1259</v>
      </c>
      <c r="C243" s="1" t="str">
        <f>knicks_players_all_stats[[#This Row],[NAME]]&amp;" ("&amp;knicks_players_all_stats[[#This Row],[SEASON]]&amp;")"</f>
        <v>Doug McDermott (2017-18)</v>
      </c>
      <c r="D243" s="1">
        <f>knicks_players_all_stats[[#This Row],[PLAYER_AGE]]/10</f>
        <v>26</v>
      </c>
      <c r="E243">
        <v>260</v>
      </c>
      <c r="F243" s="1">
        <v>55</v>
      </c>
      <c r="G243" s="1">
        <v>11720</v>
      </c>
      <c r="H2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304</v>
      </c>
      <c r="I243" s="4">
        <f>knicks_players_all_stats[[#This Row],[VALORATION]]/knicks_players_all_stats[[#This Row],[GP]]</f>
        <v>5.5272727272727273</v>
      </c>
      <c r="J243" s="1">
        <v>151</v>
      </c>
      <c r="K243" s="1">
        <v>328</v>
      </c>
      <c r="L243" s="2">
        <f>knicks_players_all_stats[[#This Row],[FGM]]/knicks_players_all_stats[[#This Row],[FGA]]</f>
        <v>0.46036585365853661</v>
      </c>
      <c r="M243" s="16">
        <f>knicks_players_all_stats[[#This Row],[FG3M2]]/10</f>
        <v>53</v>
      </c>
      <c r="N243" s="1">
        <v>530</v>
      </c>
      <c r="O243" s="1">
        <f>knicks_players_all_stats[[#This Row],[FG3A2]]/10</f>
        <v>137</v>
      </c>
      <c r="P243" s="1">
        <v>1370</v>
      </c>
      <c r="Q243" s="2">
        <f>knicks_players_all_stats[[#This Row],[FG3M2]]/knicks_players_all_stats[[#This Row],[FG3A2]]</f>
        <v>0.38686131386861317</v>
      </c>
      <c r="R243" s="1">
        <v>40</v>
      </c>
      <c r="S243" s="1">
        <v>53</v>
      </c>
      <c r="T243" s="3">
        <f>knicks_players_all_stats[[#This Row],[FTM]]/knicks_players_all_stats[[#This Row],[FTA]]</f>
        <v>0.75471698113207553</v>
      </c>
      <c r="U243" s="1">
        <f>knicks_players_all_stats[[#This Row],[OREB22]]/10</f>
        <v>33</v>
      </c>
      <c r="V243" s="1">
        <f>knicks_players_all_stats[[#This Row],[DREB33]]/10</f>
        <v>101</v>
      </c>
      <c r="W243" s="1">
        <f>knicks_players_all_stats[[#This Row],[REB44]]/10</f>
        <v>134</v>
      </c>
      <c r="X243">
        <v>330</v>
      </c>
      <c r="Y243">
        <v>1010</v>
      </c>
      <c r="Z243">
        <v>1340</v>
      </c>
      <c r="AA243" s="14">
        <f>knicks_players_all_stats[[#This Row],[REB]]/knicks_players_all_stats[[#This Row],[GP]]</f>
        <v>2.4363636363636365</v>
      </c>
      <c r="AB243" s="1">
        <v>50</v>
      </c>
      <c r="AC243" s="4">
        <f>knicks_players_all_stats[[#This Row],[AST]]/knicks_players_all_stats[[#This Row],[GP]]</f>
        <v>0.90909090909090906</v>
      </c>
      <c r="AD243" s="1">
        <f>knicks_players_all_stats[[#This Row],[STL2]]/10</f>
        <v>10</v>
      </c>
      <c r="AE243" s="1">
        <v>100</v>
      </c>
      <c r="AF243" s="4">
        <f>knicks_players_all_stats[[#This Row],[STL]]/knicks_players_all_stats[[#This Row],[GP]]</f>
        <v>0.18181818181818182</v>
      </c>
      <c r="AG243">
        <v>120</v>
      </c>
      <c r="AH243" s="1">
        <f>knicks_players_all_stats[[#This Row],[BLK2]]/10</f>
        <v>12</v>
      </c>
      <c r="AI243" s="4">
        <f>knicks_players_all_stats[[#This Row],[BLK]]/knicks_players_all_stats[[#This Row],[GP]]</f>
        <v>0.21818181818181817</v>
      </c>
      <c r="AJ243">
        <v>340</v>
      </c>
      <c r="AK243" s="4">
        <f>knicks_players_all_stats[[#This Row],[BLKPG]]+knicks_players_all_stats[[#This Row],[STLPG]]+knicks_players_all_stats[[#This Row],[REBPG]]</f>
        <v>2.8363636363636364</v>
      </c>
      <c r="AL243" s="1">
        <f>knicks_players_all_stats[[#This Row],[TOV2]]/10</f>
        <v>34</v>
      </c>
      <c r="AM243" s="4">
        <f>knicks_players_all_stats[[#This Row],[TOV]]/knicks_players_all_stats[[#This Row],[GP]]</f>
        <v>0.61818181818181817</v>
      </c>
      <c r="AN243" s="1">
        <v>73</v>
      </c>
      <c r="AO243" s="1">
        <f>knicks_players_all_stats[[#This Row],[PF]]/knicks_players_all_stats[[#This Row],[GP]]</f>
        <v>1.3272727272727274</v>
      </c>
      <c r="AP243" s="1">
        <v>395</v>
      </c>
      <c r="AQ243" s="4">
        <f>knicks_players_all_stats[[#This Row],[PTS]]/knicks_players_all_stats[[#This Row],[GP]]</f>
        <v>7.1818181818181817</v>
      </c>
    </row>
    <row r="244" spans="1:43" customFormat="1" x14ac:dyDescent="0.3">
      <c r="A244" s="1" t="s">
        <v>1671</v>
      </c>
      <c r="B244" s="1" t="s">
        <v>1343</v>
      </c>
      <c r="C244" s="1" t="str">
        <f>knicks_players_all_stats[[#This Row],[NAME]]&amp;" ("&amp;knicks_players_all_stats[[#This Row],[SEASON]]&amp;")"</f>
        <v>Samuel Dalembert (2014-15)</v>
      </c>
      <c r="D244" s="1">
        <f>knicks_players_all_stats[[#This Row],[PLAYER_AGE]]/10</f>
        <v>35</v>
      </c>
      <c r="E244">
        <v>350</v>
      </c>
      <c r="F244" s="1">
        <v>32</v>
      </c>
      <c r="G244" s="1">
        <v>5440</v>
      </c>
      <c r="H2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192</v>
      </c>
      <c r="I244" s="4">
        <f>knicks_players_all_stats[[#This Row],[VALORATION]]/knicks_players_all_stats[[#This Row],[GP]]</f>
        <v>6</v>
      </c>
      <c r="J244" s="1">
        <v>57</v>
      </c>
      <c r="K244" s="1">
        <v>130</v>
      </c>
      <c r="L244" s="1">
        <v>438</v>
      </c>
      <c r="M244" s="4">
        <f>knicks_players_all_stats[[#This Row],[FG3M2]]/10</f>
        <v>0</v>
      </c>
      <c r="N244" s="1">
        <v>0</v>
      </c>
      <c r="O244" s="1">
        <f>knicks_players_all_stats[[#This Row],[FG3A2]]/10</f>
        <v>0</v>
      </c>
      <c r="P244" s="1">
        <v>0</v>
      </c>
      <c r="Q244" s="2" t="e">
        <f>knicks_players_all_stats[[#This Row],[FG3M2]]/knicks_players_all_stats[[#This Row],[FG3A2]]</f>
        <v>#DIV/0!</v>
      </c>
      <c r="R244" s="1">
        <v>14</v>
      </c>
      <c r="S244" s="1">
        <v>20</v>
      </c>
      <c r="T244" s="3">
        <f>knicks_players_all_stats[[#This Row],[FTM]]/knicks_players_all_stats[[#This Row],[FTA]]</f>
        <v>0.7</v>
      </c>
      <c r="U244" s="1">
        <f>knicks_players_all_stats[[#This Row],[OREB22]]/10</f>
        <v>53</v>
      </c>
      <c r="V244" s="1">
        <f>knicks_players_all_stats[[#This Row],[DREB33]]/10</f>
        <v>115</v>
      </c>
      <c r="W244" s="1">
        <f>knicks_players_all_stats[[#This Row],[REB44]]/10</f>
        <v>168</v>
      </c>
      <c r="X244">
        <v>530</v>
      </c>
      <c r="Y244">
        <v>1150</v>
      </c>
      <c r="Z244">
        <v>1680</v>
      </c>
      <c r="AA244" s="14">
        <f>knicks_players_all_stats[[#This Row],[REB]]/knicks_players_all_stats[[#This Row],[GP]]</f>
        <v>5.25</v>
      </c>
      <c r="AB244" s="1">
        <v>29</v>
      </c>
      <c r="AC244" s="4">
        <f>knicks_players_all_stats[[#This Row],[AST]]/knicks_players_all_stats[[#This Row],[GP]]</f>
        <v>0.90625</v>
      </c>
      <c r="AD244" s="1">
        <f>knicks_players_all_stats[[#This Row],[STL2]]/10</f>
        <v>14</v>
      </c>
      <c r="AE244" s="1">
        <v>140</v>
      </c>
      <c r="AF244" s="4">
        <f>knicks_players_all_stats[[#This Row],[STL]]/knicks_players_all_stats[[#This Row],[GP]]</f>
        <v>0.4375</v>
      </c>
      <c r="AG244">
        <v>410</v>
      </c>
      <c r="AH244" s="1">
        <f>knicks_players_all_stats[[#This Row],[BLK2]]/10</f>
        <v>41</v>
      </c>
      <c r="AI244" s="4">
        <f>knicks_players_all_stats[[#This Row],[BLK]]/knicks_players_all_stats[[#This Row],[GP]]</f>
        <v>1.28125</v>
      </c>
      <c r="AJ244">
        <v>390</v>
      </c>
      <c r="AK244" s="4">
        <f>knicks_players_all_stats[[#This Row],[BLKPG]]+knicks_players_all_stats[[#This Row],[STLPG]]+knicks_players_all_stats[[#This Row],[REBPG]]</f>
        <v>6.96875</v>
      </c>
      <c r="AL244" s="1">
        <f>knicks_players_all_stats[[#This Row],[TOV2]]/10</f>
        <v>39</v>
      </c>
      <c r="AM244" s="4">
        <f>knicks_players_all_stats[[#This Row],[TOV]]/knicks_players_all_stats[[#This Row],[GP]]</f>
        <v>1.21875</v>
      </c>
      <c r="AN244" s="1">
        <v>70</v>
      </c>
      <c r="AO244" s="1">
        <f>knicks_players_all_stats[[#This Row],[PF]]/knicks_players_all_stats[[#This Row],[GP]]</f>
        <v>2.1875</v>
      </c>
      <c r="AP244" s="1">
        <v>128</v>
      </c>
      <c r="AQ244" s="4">
        <f>knicks_players_all_stats[[#This Row],[PTS]]/knicks_players_all_stats[[#This Row],[GP]]</f>
        <v>4</v>
      </c>
    </row>
    <row r="245" spans="1:43" customFormat="1" x14ac:dyDescent="0.3">
      <c r="A245" s="1" t="s">
        <v>1734</v>
      </c>
      <c r="B245" s="1" t="s">
        <v>1303</v>
      </c>
      <c r="C245" s="1" t="str">
        <f>knicks_players_all_stats[[#This Row],[NAME]]&amp;" ("&amp;knicks_players_all_stats[[#This Row],[SEASON]]&amp;")"</f>
        <v>Jared Jeffries (2007-08)</v>
      </c>
      <c r="D245" s="1">
        <f>knicks_players_all_stats[[#This Row],[PLAYER_AGE]]/10</f>
        <v>26</v>
      </c>
      <c r="E245">
        <v>260</v>
      </c>
      <c r="F245" s="1">
        <v>73</v>
      </c>
      <c r="G245" s="1">
        <v>13250</v>
      </c>
      <c r="H2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235</v>
      </c>
      <c r="I245" s="4">
        <f>knicks_players_all_stats[[#This Row],[VALORATION]]/knicks_players_all_stats[[#This Row],[GP]]</f>
        <v>3.2191780821917808</v>
      </c>
      <c r="J245" s="1">
        <v>108</v>
      </c>
      <c r="K245" s="1">
        <v>270</v>
      </c>
      <c r="L245" s="1">
        <v>4</v>
      </c>
      <c r="M245" s="4">
        <f>knicks_players_all_stats[[#This Row],[FG3M2]]/10</f>
        <v>4</v>
      </c>
      <c r="N245" s="1">
        <v>40</v>
      </c>
      <c r="O245" s="1">
        <f>knicks_players_all_stats[[#This Row],[FG3A2]]/10</f>
        <v>25</v>
      </c>
      <c r="P245" s="1">
        <v>250</v>
      </c>
      <c r="Q245" s="2">
        <f>knicks_players_all_stats[[#This Row],[FG3M2]]/knicks_players_all_stats[[#This Row],[FG3A2]]</f>
        <v>0.16</v>
      </c>
      <c r="R245" s="1">
        <v>49</v>
      </c>
      <c r="S245" s="1">
        <v>93</v>
      </c>
      <c r="T245" s="3">
        <f>knicks_players_all_stats[[#This Row],[FTM]]/knicks_players_all_stats[[#This Row],[FTA]]</f>
        <v>0.5268817204301075</v>
      </c>
      <c r="U245" s="1">
        <f>knicks_players_all_stats[[#This Row],[OREB22]]/10</f>
        <v>118</v>
      </c>
      <c r="V245" s="1">
        <f>knicks_players_all_stats[[#This Row],[DREB33]]/10</f>
        <v>125</v>
      </c>
      <c r="W245" s="1">
        <f>knicks_players_all_stats[[#This Row],[REB44]]/10</f>
        <v>243</v>
      </c>
      <c r="X245">
        <v>1180</v>
      </c>
      <c r="Y245">
        <v>1250</v>
      </c>
      <c r="Z245">
        <v>2430</v>
      </c>
      <c r="AA245" s="14">
        <f>knicks_players_all_stats[[#This Row],[REB]]/knicks_players_all_stats[[#This Row],[GP]]</f>
        <v>3.3287671232876712</v>
      </c>
      <c r="AB245" s="1">
        <v>66</v>
      </c>
      <c r="AC245" s="4">
        <f>knicks_players_all_stats[[#This Row],[AST]]/knicks_players_all_stats[[#This Row],[GP]]</f>
        <v>0.90410958904109584</v>
      </c>
      <c r="AD245" s="1">
        <f>knicks_players_all_stats[[#This Row],[STL2]]/10</f>
        <v>36</v>
      </c>
      <c r="AE245" s="1">
        <v>360</v>
      </c>
      <c r="AF245" s="4">
        <f>knicks_players_all_stats[[#This Row],[STL]]/knicks_players_all_stats[[#This Row],[GP]]</f>
        <v>0.49315068493150682</v>
      </c>
      <c r="AG245">
        <v>230</v>
      </c>
      <c r="AH245" s="1">
        <f>knicks_players_all_stats[[#This Row],[BLK2]]/10</f>
        <v>23</v>
      </c>
      <c r="AI245" s="4">
        <f>knicks_players_all_stats[[#This Row],[BLK]]/knicks_players_all_stats[[#This Row],[GP]]</f>
        <v>0.31506849315068491</v>
      </c>
      <c r="AJ245">
        <v>640</v>
      </c>
      <c r="AK245" s="4">
        <f>knicks_players_all_stats[[#This Row],[BLKPG]]+knicks_players_all_stats[[#This Row],[STLPG]]+knicks_players_all_stats[[#This Row],[REBPG]]</f>
        <v>4.1369863013698627</v>
      </c>
      <c r="AL245" s="1">
        <f>knicks_players_all_stats[[#This Row],[TOV2]]/10</f>
        <v>64</v>
      </c>
      <c r="AM245" s="4">
        <f>knicks_players_all_stats[[#This Row],[TOV]]/knicks_players_all_stats[[#This Row],[GP]]</f>
        <v>0.87671232876712324</v>
      </c>
      <c r="AN245" s="1">
        <v>132</v>
      </c>
      <c r="AO245" s="1">
        <f>knicks_players_all_stats[[#This Row],[PF]]/knicks_players_all_stats[[#This Row],[GP]]</f>
        <v>1.8082191780821917</v>
      </c>
      <c r="AP245" s="1">
        <v>269</v>
      </c>
      <c r="AQ245" s="4">
        <f>knicks_players_all_stats[[#This Row],[PTS]]/knicks_players_all_stats[[#This Row],[GP]]</f>
        <v>3.6849315068493151</v>
      </c>
    </row>
    <row r="246" spans="1:43" customFormat="1" x14ac:dyDescent="0.3">
      <c r="A246" s="1" t="s">
        <v>1450</v>
      </c>
      <c r="B246" s="1" t="s">
        <v>1290</v>
      </c>
      <c r="C246" s="1" t="str">
        <f>knicks_players_all_stats[[#This Row],[NAME]]&amp;" ("&amp;knicks_players_all_stats[[#This Row],[SEASON]]&amp;")"</f>
        <v>Tyson Chandler (2011-12)</v>
      </c>
      <c r="D246" s="1">
        <f>knicks_players_all_stats[[#This Row],[PLAYER_AGE]]/10</f>
        <v>29</v>
      </c>
      <c r="E246">
        <v>290</v>
      </c>
      <c r="F246" s="1">
        <v>62</v>
      </c>
      <c r="G246" s="1">
        <v>20610</v>
      </c>
      <c r="H2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1012</v>
      </c>
      <c r="I246" s="4">
        <f>knicks_players_all_stats[[#This Row],[VALORATION]]/knicks_players_all_stats[[#This Row],[GP]]</f>
        <v>16.322580645161292</v>
      </c>
      <c r="J246" s="1">
        <v>241</v>
      </c>
      <c r="K246" s="1">
        <v>355</v>
      </c>
      <c r="L246" s="2">
        <f>knicks_players_all_stats[[#This Row],[FGM]]/knicks_players_all_stats[[#This Row],[FGA]]</f>
        <v>0.6788732394366197</v>
      </c>
      <c r="M246" s="16">
        <f>knicks_players_all_stats[[#This Row],[FG3M2]]/10</f>
        <v>0</v>
      </c>
      <c r="N246" s="1">
        <v>0</v>
      </c>
      <c r="O246" s="1">
        <f>knicks_players_all_stats[[#This Row],[FG3A2]]/10</f>
        <v>2</v>
      </c>
      <c r="P246" s="1">
        <v>20</v>
      </c>
      <c r="Q246" s="2">
        <f>knicks_players_all_stats[[#This Row],[FG3M2]]/knicks_players_all_stats[[#This Row],[FG3A2]]</f>
        <v>0</v>
      </c>
      <c r="R246" s="1">
        <v>217</v>
      </c>
      <c r="S246" s="1">
        <v>315</v>
      </c>
      <c r="T246" s="3">
        <f>knicks_players_all_stats[[#This Row],[FTM]]/knicks_players_all_stats[[#This Row],[FTA]]</f>
        <v>0.68888888888888888</v>
      </c>
      <c r="U246" s="1">
        <f>knicks_players_all_stats[[#This Row],[OREB22]]/10</f>
        <v>212</v>
      </c>
      <c r="V246" s="1">
        <f>knicks_players_all_stats[[#This Row],[DREB33]]/10</f>
        <v>400</v>
      </c>
      <c r="W246" s="1">
        <f>knicks_players_all_stats[[#This Row],[REB44]]/10</f>
        <v>612</v>
      </c>
      <c r="X246">
        <v>2120</v>
      </c>
      <c r="Y246">
        <v>4000</v>
      </c>
      <c r="Z246">
        <v>6120</v>
      </c>
      <c r="AA246" s="14">
        <f>knicks_players_all_stats[[#This Row],[REB]]/knicks_players_all_stats[[#This Row],[GP]]</f>
        <v>9.870967741935484</v>
      </c>
      <c r="AB246" s="1">
        <v>56</v>
      </c>
      <c r="AC246" s="4">
        <f>knicks_players_all_stats[[#This Row],[AST]]/knicks_players_all_stats[[#This Row],[GP]]</f>
        <v>0.90322580645161288</v>
      </c>
      <c r="AD246" s="1">
        <f>knicks_players_all_stats[[#This Row],[STL2]]/10</f>
        <v>56</v>
      </c>
      <c r="AE246" s="1">
        <v>560</v>
      </c>
      <c r="AF246" s="4">
        <f>knicks_players_all_stats[[#This Row],[STL]]/knicks_players_all_stats[[#This Row],[GP]]</f>
        <v>0.90322580645161288</v>
      </c>
      <c r="AG246">
        <v>890</v>
      </c>
      <c r="AH246" s="1">
        <f>knicks_players_all_stats[[#This Row],[BLK2]]/10</f>
        <v>89</v>
      </c>
      <c r="AI246" s="4">
        <f>knicks_players_all_stats[[#This Row],[BLK]]/knicks_players_all_stats[[#This Row],[GP]]</f>
        <v>1.435483870967742</v>
      </c>
      <c r="AJ246">
        <v>1020</v>
      </c>
      <c r="AK246" s="4">
        <f>knicks_players_all_stats[[#This Row],[BLKPG]]+knicks_players_all_stats[[#This Row],[STLPG]]+knicks_players_all_stats[[#This Row],[REBPG]]</f>
        <v>12.20967741935484</v>
      </c>
      <c r="AL246" s="1">
        <f>knicks_players_all_stats[[#This Row],[TOV2]]/10</f>
        <v>102</v>
      </c>
      <c r="AM246" s="4">
        <f>knicks_players_all_stats[[#This Row],[TOV]]/knicks_players_all_stats[[#This Row],[GP]]</f>
        <v>1.6451612903225807</v>
      </c>
      <c r="AN246" s="1">
        <v>186</v>
      </c>
      <c r="AO246" s="1">
        <f>knicks_players_all_stats[[#This Row],[PF]]/knicks_players_all_stats[[#This Row],[GP]]</f>
        <v>3</v>
      </c>
      <c r="AP246" s="1">
        <v>699</v>
      </c>
      <c r="AQ246" s="4">
        <f>knicks_players_all_stats[[#This Row],[PTS]]/knicks_players_all_stats[[#This Row],[GP]]</f>
        <v>11.274193548387096</v>
      </c>
    </row>
    <row r="247" spans="1:43" x14ac:dyDescent="0.3">
      <c r="A247" s="1" t="s">
        <v>1791</v>
      </c>
      <c r="B247" s="1" t="s">
        <v>1279</v>
      </c>
      <c r="C247" s="1" t="str">
        <f>knicks_players_all_stats[[#This Row],[NAME]]&amp;" ("&amp;knicks_players_all_stats[[#This Row],[SEASON]]&amp;")"</f>
        <v>Lance Thomas (2015-16)</v>
      </c>
      <c r="D247" s="1">
        <f>knicks_players_all_stats[[#This Row],[PLAYER_AGE]]/10</f>
        <v>28</v>
      </c>
      <c r="E247">
        <v>280</v>
      </c>
      <c r="F247" s="1">
        <v>59</v>
      </c>
      <c r="G247" s="1">
        <v>13130</v>
      </c>
      <c r="H2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301</v>
      </c>
      <c r="I247" s="4">
        <f>knicks_players_all_stats[[#This Row],[VALORATION]]/knicks_players_all_stats[[#This Row],[GP]]</f>
        <v>5.101694915254237</v>
      </c>
      <c r="J247" s="1">
        <v>169</v>
      </c>
      <c r="K247" s="1">
        <v>382</v>
      </c>
      <c r="L247" s="1">
        <v>442</v>
      </c>
      <c r="M247" s="4">
        <f>knicks_players_all_stats[[#This Row],[FG3M2]]/10</f>
        <v>44</v>
      </c>
      <c r="N247" s="1">
        <v>440</v>
      </c>
      <c r="O247" s="1">
        <f>knicks_players_all_stats[[#This Row],[FG3A2]]/10</f>
        <v>109</v>
      </c>
      <c r="P247" s="1">
        <v>1090</v>
      </c>
      <c r="Q247" s="2">
        <f>knicks_players_all_stats[[#This Row],[FG3M2]]/knicks_players_all_stats[[#This Row],[FG3A2]]</f>
        <v>0.40366972477064222</v>
      </c>
      <c r="R247" s="1">
        <v>102</v>
      </c>
      <c r="S247" s="1">
        <v>119</v>
      </c>
      <c r="T247" s="3">
        <f>knicks_players_all_stats[[#This Row],[FTM]]/knicks_players_all_stats[[#This Row],[FTA]]</f>
        <v>0.8571428571428571</v>
      </c>
      <c r="U247" s="1">
        <f>knicks_players_all_stats[[#This Row],[OREB22]]/10</f>
        <v>34</v>
      </c>
      <c r="V247" s="1">
        <f>knicks_players_all_stats[[#This Row],[DREB33]]/10</f>
        <v>97</v>
      </c>
      <c r="W247" s="1">
        <f>knicks_players_all_stats[[#This Row],[REB44]]/10</f>
        <v>131</v>
      </c>
      <c r="X247">
        <v>340</v>
      </c>
      <c r="Y247">
        <v>970</v>
      </c>
      <c r="Z247">
        <v>1310</v>
      </c>
      <c r="AA247" s="14">
        <f>knicks_players_all_stats[[#This Row],[REB]]/knicks_players_all_stats[[#This Row],[GP]]</f>
        <v>2.2203389830508473</v>
      </c>
      <c r="AB247" s="1">
        <v>53</v>
      </c>
      <c r="AC247" s="4">
        <f>knicks_players_all_stats[[#This Row],[AST]]/knicks_players_all_stats[[#This Row],[GP]]</f>
        <v>0.89830508474576276</v>
      </c>
      <c r="AD247" s="1">
        <f>knicks_players_all_stats[[#This Row],[STL2]]/10</f>
        <v>22</v>
      </c>
      <c r="AE247" s="1">
        <v>220</v>
      </c>
      <c r="AF247" s="4">
        <f>knicks_players_all_stats[[#This Row],[STL]]/knicks_players_all_stats[[#This Row],[GP]]</f>
        <v>0.3728813559322034</v>
      </c>
      <c r="AG247">
        <v>70</v>
      </c>
      <c r="AH247" s="1">
        <f>knicks_players_all_stats[[#This Row],[BLK2]]/10</f>
        <v>7</v>
      </c>
      <c r="AI247" s="4">
        <f>knicks_players_all_stats[[#This Row],[BLK]]/knicks_players_all_stats[[#This Row],[GP]]</f>
        <v>0.11864406779661017</v>
      </c>
      <c r="AJ247">
        <v>570</v>
      </c>
      <c r="AK247" s="4">
        <f>knicks_players_all_stats[[#This Row],[BLKPG]]+knicks_players_all_stats[[#This Row],[STLPG]]+knicks_players_all_stats[[#This Row],[REBPG]]</f>
        <v>2.7118644067796609</v>
      </c>
      <c r="AL247" s="1">
        <f>knicks_players_all_stats[[#This Row],[TOV2]]/10</f>
        <v>57</v>
      </c>
      <c r="AM247" s="4">
        <f>knicks_players_all_stats[[#This Row],[TOV]]/knicks_players_all_stats[[#This Row],[GP]]</f>
        <v>0.96610169491525422</v>
      </c>
      <c r="AN247" s="1">
        <v>109</v>
      </c>
      <c r="AO247" s="1">
        <f>knicks_players_all_stats[[#This Row],[PF]]/knicks_players_all_stats[[#This Row],[GP]]</f>
        <v>1.847457627118644</v>
      </c>
      <c r="AP247" s="1">
        <v>484</v>
      </c>
      <c r="AQ247" s="4">
        <f>knicks_players_all_stats[[#This Row],[PTS]]/knicks_players_all_stats[[#This Row],[GP]]</f>
        <v>8.203389830508474</v>
      </c>
    </row>
    <row r="248" spans="1:43" x14ac:dyDescent="0.3">
      <c r="A248" s="1" t="s">
        <v>1534</v>
      </c>
      <c r="B248" s="1" t="s">
        <v>1327</v>
      </c>
      <c r="C248" s="1" t="str">
        <f>knicks_players_all_stats[[#This Row],[NAME]]&amp;" ("&amp;knicks_players_all_stats[[#This Row],[SEASON]]&amp;")"</f>
        <v>Mitchell Robinson (2022-23)</v>
      </c>
      <c r="D248" s="1">
        <f>knicks_players_all_stats[[#This Row],[PLAYER_AGE]]/10</f>
        <v>25</v>
      </c>
      <c r="E248">
        <v>250</v>
      </c>
      <c r="F248" s="1">
        <v>59</v>
      </c>
      <c r="G248" s="1">
        <v>15890</v>
      </c>
      <c r="H2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852</v>
      </c>
      <c r="I248" s="4">
        <f>knicks_players_all_stats[[#This Row],[VALORATION]]/knicks_players_all_stats[[#This Row],[GP]]</f>
        <v>14.440677966101696</v>
      </c>
      <c r="J248" s="1">
        <v>188</v>
      </c>
      <c r="K248" s="1">
        <v>280</v>
      </c>
      <c r="L248" s="2">
        <f>knicks_players_all_stats[[#This Row],[FGM]]/knicks_players_all_stats[[#This Row],[FGA]]</f>
        <v>0.67142857142857137</v>
      </c>
      <c r="M248" s="16">
        <f>knicks_players_all_stats[[#This Row],[FG3M2]]/10</f>
        <v>0</v>
      </c>
      <c r="N248" s="1">
        <v>0</v>
      </c>
      <c r="O248" s="1">
        <f>knicks_players_all_stats[[#This Row],[FG3A2]]/10</f>
        <v>0</v>
      </c>
      <c r="P248" s="1">
        <v>0</v>
      </c>
      <c r="Q248" s="2" t="e">
        <f>knicks_players_all_stats[[#This Row],[FG3M2]]/knicks_players_all_stats[[#This Row],[FG3A2]]</f>
        <v>#DIV/0!</v>
      </c>
      <c r="R248" s="1">
        <v>59</v>
      </c>
      <c r="S248" s="1">
        <v>122</v>
      </c>
      <c r="T248" s="3">
        <f>knicks_players_all_stats[[#This Row],[FTM]]/knicks_players_all_stats[[#This Row],[FTA]]</f>
        <v>0.48360655737704916</v>
      </c>
      <c r="U248" s="1">
        <f>knicks_players_all_stats[[#This Row],[OREB22]]/10</f>
        <v>267</v>
      </c>
      <c r="V248" s="1">
        <f>knicks_players_all_stats[[#This Row],[DREB33]]/10</f>
        <v>288</v>
      </c>
      <c r="W248" s="1">
        <f>knicks_players_all_stats[[#This Row],[REB44]]/10</f>
        <v>555</v>
      </c>
      <c r="X248">
        <v>2670</v>
      </c>
      <c r="Y248">
        <v>2880</v>
      </c>
      <c r="Z248">
        <v>5550</v>
      </c>
      <c r="AA248" s="14">
        <f>knicks_players_all_stats[[#This Row],[REB]]/knicks_players_all_stats[[#This Row],[GP]]</f>
        <v>9.4067796610169498</v>
      </c>
      <c r="AB248" s="1">
        <v>53</v>
      </c>
      <c r="AC248" s="4">
        <f>knicks_players_all_stats[[#This Row],[AST]]/knicks_players_all_stats[[#This Row],[GP]]</f>
        <v>0.89830508474576276</v>
      </c>
      <c r="AD248" s="1">
        <f>knicks_players_all_stats[[#This Row],[STL2]]/10</f>
        <v>56</v>
      </c>
      <c r="AE248" s="1">
        <v>560</v>
      </c>
      <c r="AF248" s="4">
        <f>knicks_players_all_stats[[#This Row],[STL]]/knicks_players_all_stats[[#This Row],[GP]]</f>
        <v>0.94915254237288138</v>
      </c>
      <c r="AG248">
        <v>1090</v>
      </c>
      <c r="AH248" s="1">
        <f>knicks_players_all_stats[[#This Row],[BLK2]]/10</f>
        <v>109</v>
      </c>
      <c r="AI248" s="4">
        <f>knicks_players_all_stats[[#This Row],[BLK]]/knicks_players_all_stats[[#This Row],[GP]]</f>
        <v>1.847457627118644</v>
      </c>
      <c r="AJ248">
        <v>410</v>
      </c>
      <c r="AK248" s="4">
        <f>knicks_players_all_stats[[#This Row],[BLKPG]]+knicks_players_all_stats[[#This Row],[STLPG]]+knicks_players_all_stats[[#This Row],[REBPG]]</f>
        <v>12.203389830508476</v>
      </c>
      <c r="AL248" s="1">
        <f>knicks_players_all_stats[[#This Row],[TOV2]]/10</f>
        <v>41</v>
      </c>
      <c r="AM248" s="4">
        <f>knicks_players_all_stats[[#This Row],[TOV]]/knicks_players_all_stats[[#This Row],[GP]]</f>
        <v>0.69491525423728817</v>
      </c>
      <c r="AN248" s="1">
        <v>160</v>
      </c>
      <c r="AO248" s="1">
        <f>knicks_players_all_stats[[#This Row],[PF]]/knicks_players_all_stats[[#This Row],[GP]]</f>
        <v>2.7118644067796609</v>
      </c>
      <c r="AP248" s="1">
        <v>435</v>
      </c>
      <c r="AQ248" s="4">
        <f>knicks_players_all_stats[[#This Row],[PTS]]/knicks_players_all_stats[[#This Row],[GP]]</f>
        <v>7.3728813559322033</v>
      </c>
    </row>
    <row r="249" spans="1:43" customFormat="1" x14ac:dyDescent="0.3">
      <c r="A249" s="1" t="s">
        <v>1752</v>
      </c>
      <c r="B249" s="1" t="s">
        <v>1369</v>
      </c>
      <c r="C249" s="1" t="str">
        <f>knicks_players_all_stats[[#This Row],[NAME]]&amp;" ("&amp;knicks_players_all_stats[[#This Row],[SEASON]]&amp;")"</f>
        <v>Bojan Bogdanovic (2023-24)</v>
      </c>
      <c r="D249" s="1">
        <f>knicks_players_all_stats[[#This Row],[PLAYER_AGE]]/10</f>
        <v>35</v>
      </c>
      <c r="E249">
        <v>350</v>
      </c>
      <c r="F249" s="1">
        <v>29</v>
      </c>
      <c r="G249" s="1">
        <v>5570</v>
      </c>
      <c r="H2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164</v>
      </c>
      <c r="I249" s="4">
        <f>knicks_players_all_stats[[#This Row],[VALORATION]]/knicks_players_all_stats[[#This Row],[GP]]</f>
        <v>5.6551724137931032</v>
      </c>
      <c r="J249" s="1">
        <v>110</v>
      </c>
      <c r="K249" s="1">
        <v>256</v>
      </c>
      <c r="L249" s="1">
        <v>43</v>
      </c>
      <c r="M249" s="4">
        <f>knicks_players_all_stats[[#This Row],[FG3M2]]/10</f>
        <v>47</v>
      </c>
      <c r="N249" s="1">
        <v>470</v>
      </c>
      <c r="O249" s="1">
        <f>knicks_players_all_stats[[#This Row],[FG3A2]]/10</f>
        <v>127</v>
      </c>
      <c r="P249" s="1">
        <v>1270</v>
      </c>
      <c r="Q249" s="2">
        <f>knicks_players_all_stats[[#This Row],[FG3M2]]/knicks_players_all_stats[[#This Row],[FG3A2]]</f>
        <v>0.37007874015748032</v>
      </c>
      <c r="R249" s="1">
        <v>36</v>
      </c>
      <c r="S249" s="1">
        <v>45</v>
      </c>
      <c r="T249" s="3">
        <f>knicks_players_all_stats[[#This Row],[FTM]]/knicks_players_all_stats[[#This Row],[FTA]]</f>
        <v>0.8</v>
      </c>
      <c r="U249" s="1">
        <f>knicks_players_all_stats[[#This Row],[OREB22]]/10</f>
        <v>9</v>
      </c>
      <c r="V249" s="1">
        <f>knicks_players_all_stats[[#This Row],[DREB33]]/10</f>
        <v>49</v>
      </c>
      <c r="W249" s="1">
        <f>knicks_players_all_stats[[#This Row],[REB44]]/10</f>
        <v>58</v>
      </c>
      <c r="X249">
        <v>90</v>
      </c>
      <c r="Y249">
        <v>490</v>
      </c>
      <c r="Z249">
        <v>580</v>
      </c>
      <c r="AA249" s="14">
        <f>knicks_players_all_stats[[#This Row],[REB]]/knicks_players_all_stats[[#This Row],[GP]]</f>
        <v>2</v>
      </c>
      <c r="AB249" s="1">
        <v>26</v>
      </c>
      <c r="AC249" s="4">
        <f>knicks_players_all_stats[[#This Row],[AST]]/knicks_players_all_stats[[#This Row],[GP]]</f>
        <v>0.89655172413793105</v>
      </c>
      <c r="AD249" s="1">
        <f>knicks_players_all_stats[[#This Row],[STL2]]/10</f>
        <v>7</v>
      </c>
      <c r="AE249" s="1">
        <v>70</v>
      </c>
      <c r="AF249" s="4">
        <f>knicks_players_all_stats[[#This Row],[STL]]/knicks_players_all_stats[[#This Row],[GP]]</f>
        <v>0.2413793103448276</v>
      </c>
      <c r="AG249">
        <v>10</v>
      </c>
      <c r="AH249" s="1">
        <f>knicks_players_all_stats[[#This Row],[BLK2]]/10</f>
        <v>1</v>
      </c>
      <c r="AI249" s="4">
        <f>knicks_players_all_stats[[#This Row],[BLK]]/knicks_players_all_stats[[#This Row],[GP]]</f>
        <v>3.4482758620689655E-2</v>
      </c>
      <c r="AJ249">
        <v>380</v>
      </c>
      <c r="AK249" s="4">
        <f>knicks_players_all_stats[[#This Row],[BLKPG]]+knicks_players_all_stats[[#This Row],[STLPG]]+knicks_players_all_stats[[#This Row],[REBPG]]</f>
        <v>2.2758620689655173</v>
      </c>
      <c r="AL249" s="1">
        <f>knicks_players_all_stats[[#This Row],[TOV2]]/10</f>
        <v>38</v>
      </c>
      <c r="AM249" s="4">
        <f>knicks_players_all_stats[[#This Row],[TOV]]/knicks_players_all_stats[[#This Row],[GP]]</f>
        <v>1.3103448275862069</v>
      </c>
      <c r="AN249" s="1">
        <v>38</v>
      </c>
      <c r="AO249" s="1">
        <f>knicks_players_all_stats[[#This Row],[PF]]/knicks_players_all_stats[[#This Row],[GP]]</f>
        <v>1.3103448275862069</v>
      </c>
      <c r="AP249" s="1">
        <v>303</v>
      </c>
      <c r="AQ249" s="4">
        <f>knicks_players_all_stats[[#This Row],[PTS]]/knicks_players_all_stats[[#This Row],[GP]]</f>
        <v>10.448275862068966</v>
      </c>
    </row>
    <row r="250" spans="1:43" customFormat="1" x14ac:dyDescent="0.3">
      <c r="A250" s="1" t="s">
        <v>1512</v>
      </c>
      <c r="B250" s="1" t="s">
        <v>1259</v>
      </c>
      <c r="C250" s="1" t="str">
        <f>knicks_players_all_stats[[#This Row],[NAME]]&amp;" ("&amp;knicks_players_all_stats[[#This Row],[SEASON]]&amp;")"</f>
        <v>Isaiah Hicks (2017-18)</v>
      </c>
      <c r="D250" s="1">
        <f>knicks_players_all_stats[[#This Row],[PLAYER_AGE]]/10</f>
        <v>23</v>
      </c>
      <c r="E250">
        <v>230</v>
      </c>
      <c r="F250" s="1">
        <v>18</v>
      </c>
      <c r="G250" s="1">
        <v>2390</v>
      </c>
      <c r="H2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</v>
      </c>
      <c r="I250" s="4">
        <f>knicks_players_all_stats[[#This Row],[VALORATION]]/knicks_players_all_stats[[#This Row],[GP]]</f>
        <v>2.0555555555555554</v>
      </c>
      <c r="J250" s="1">
        <v>33</v>
      </c>
      <c r="K250" s="1">
        <v>72</v>
      </c>
      <c r="L250" s="2">
        <f>knicks_players_all_stats[[#This Row],[FGM]]/knicks_players_all_stats[[#This Row],[FGA]]</f>
        <v>0.45833333333333331</v>
      </c>
      <c r="M250" s="16">
        <f>knicks_players_all_stats[[#This Row],[FG3M2]]/10</f>
        <v>2</v>
      </c>
      <c r="N250" s="1">
        <v>20</v>
      </c>
      <c r="O250" s="1">
        <f>knicks_players_all_stats[[#This Row],[FG3A2]]/10</f>
        <v>9</v>
      </c>
      <c r="P250" s="1">
        <v>90</v>
      </c>
      <c r="Q250" s="2">
        <f>knicks_players_all_stats[[#This Row],[FG3M2]]/knicks_players_all_stats[[#This Row],[FG3A2]]</f>
        <v>0.22222222222222221</v>
      </c>
      <c r="R250" s="1">
        <v>12</v>
      </c>
      <c r="S250" s="1">
        <v>18</v>
      </c>
      <c r="T250" s="3">
        <f>knicks_players_all_stats[[#This Row],[FTM]]/knicks_players_all_stats[[#This Row],[FTA]]</f>
        <v>0.66666666666666663</v>
      </c>
      <c r="U250" s="1">
        <f>knicks_players_all_stats[[#This Row],[OREB22]]/10</f>
        <v>10</v>
      </c>
      <c r="V250" s="1">
        <f>knicks_players_all_stats[[#This Row],[DREB33]]/10</f>
        <v>31</v>
      </c>
      <c r="W250" s="1">
        <f>knicks_players_all_stats[[#This Row],[REB44]]/10</f>
        <v>41</v>
      </c>
      <c r="X250">
        <v>100</v>
      </c>
      <c r="Y250">
        <v>310</v>
      </c>
      <c r="Z250">
        <v>410</v>
      </c>
      <c r="AA250" s="14">
        <f>knicks_players_all_stats[[#This Row],[REB]]/knicks_players_all_stats[[#This Row],[GP]]</f>
        <v>2.2777777777777777</v>
      </c>
      <c r="AB250" s="1">
        <v>16</v>
      </c>
      <c r="AC250" s="4">
        <f>knicks_players_all_stats[[#This Row],[AST]]/knicks_players_all_stats[[#This Row],[GP]]</f>
        <v>0.88888888888888884</v>
      </c>
      <c r="AD250" s="1">
        <f>knicks_players_all_stats[[#This Row],[STL2]]/10</f>
        <v>2</v>
      </c>
      <c r="AE250" s="1">
        <v>20</v>
      </c>
      <c r="AF250" s="4">
        <f>knicks_players_all_stats[[#This Row],[STL]]/knicks_players_all_stats[[#This Row],[GP]]</f>
        <v>0.1111111111111111</v>
      </c>
      <c r="AG250">
        <v>40</v>
      </c>
      <c r="AH250" s="1">
        <f>knicks_players_all_stats[[#This Row],[BLK2]]/10</f>
        <v>4</v>
      </c>
      <c r="AI250" s="4">
        <f>knicks_players_all_stats[[#This Row],[BLK]]/knicks_players_all_stats[[#This Row],[GP]]</f>
        <v>0.22222222222222221</v>
      </c>
      <c r="AJ250">
        <v>160</v>
      </c>
      <c r="AK250" s="4">
        <f>knicks_players_all_stats[[#This Row],[BLKPG]]+knicks_players_all_stats[[#This Row],[STLPG]]+knicks_players_all_stats[[#This Row],[REBPG]]</f>
        <v>2.6111111111111112</v>
      </c>
      <c r="AL250" s="1">
        <f>knicks_players_all_stats[[#This Row],[TOV2]]/10</f>
        <v>16</v>
      </c>
      <c r="AM250" s="4">
        <f>knicks_players_all_stats[[#This Row],[TOV]]/knicks_players_all_stats[[#This Row],[GP]]</f>
        <v>0.88888888888888884</v>
      </c>
      <c r="AN250" s="1">
        <v>45</v>
      </c>
      <c r="AO250" s="1">
        <f>knicks_players_all_stats[[#This Row],[PF]]/knicks_players_all_stats[[#This Row],[GP]]</f>
        <v>2.5</v>
      </c>
      <c r="AP250" s="1">
        <v>80</v>
      </c>
      <c r="AQ250" s="4">
        <f>knicks_players_all_stats[[#This Row],[PTS]]/knicks_players_all_stats[[#This Row],[GP]]</f>
        <v>4.4444444444444446</v>
      </c>
    </row>
    <row r="251" spans="1:43" customFormat="1" x14ac:dyDescent="0.3">
      <c r="A251" s="1" t="s">
        <v>1843</v>
      </c>
      <c r="B251" s="1" t="s">
        <v>1259</v>
      </c>
      <c r="C251" s="1" t="str">
        <f>knicks_players_all_stats[[#This Row],[NAME]]&amp;" ("&amp;knicks_players_all_stats[[#This Row],[SEASON]]&amp;")"</f>
        <v>Troy Williams (2017-18)</v>
      </c>
      <c r="D251" s="1">
        <f>knicks_players_all_stats[[#This Row],[PLAYER_AGE]]/10</f>
        <v>23</v>
      </c>
      <c r="E251">
        <v>230</v>
      </c>
      <c r="F251" s="1">
        <v>17</v>
      </c>
      <c r="G251" s="1">
        <v>2900</v>
      </c>
      <c r="H2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</v>
      </c>
      <c r="I251" s="4">
        <f>knicks_players_all_stats[[#This Row],[VALORATION]]/knicks_players_all_stats[[#This Row],[GP]]</f>
        <v>6.8235294117647056</v>
      </c>
      <c r="J251" s="1">
        <v>49</v>
      </c>
      <c r="K251" s="1">
        <v>100</v>
      </c>
      <c r="L251" s="1">
        <v>49</v>
      </c>
      <c r="M251" s="4">
        <f>knicks_players_all_stats[[#This Row],[FG3M2]]/10</f>
        <v>11</v>
      </c>
      <c r="N251" s="1">
        <v>110</v>
      </c>
      <c r="O251" s="1">
        <f>knicks_players_all_stats[[#This Row],[FG3A2]]/10</f>
        <v>33</v>
      </c>
      <c r="P251" s="1">
        <v>330</v>
      </c>
      <c r="Q251" s="2">
        <f>knicks_players_all_stats[[#This Row],[FG3M2]]/knicks_players_all_stats[[#This Row],[FG3A2]]</f>
        <v>0.33333333333333331</v>
      </c>
      <c r="R251" s="1">
        <v>19</v>
      </c>
      <c r="S251" s="1">
        <v>27</v>
      </c>
      <c r="T251" s="3">
        <f>knicks_players_all_stats[[#This Row],[FTM]]/knicks_players_all_stats[[#This Row],[FTA]]</f>
        <v>0.70370370370370372</v>
      </c>
      <c r="U251" s="1">
        <f>knicks_players_all_stats[[#This Row],[OREB22]]/10</f>
        <v>21</v>
      </c>
      <c r="V251" s="1">
        <f>knicks_players_all_stats[[#This Row],[DREB33]]/10</f>
        <v>38</v>
      </c>
      <c r="W251" s="1">
        <f>knicks_players_all_stats[[#This Row],[REB44]]/10</f>
        <v>59</v>
      </c>
      <c r="X251">
        <v>210</v>
      </c>
      <c r="Y251">
        <v>380</v>
      </c>
      <c r="Z251">
        <v>590</v>
      </c>
      <c r="AA251" s="14">
        <f>knicks_players_all_stats[[#This Row],[REB]]/knicks_players_all_stats[[#This Row],[GP]]</f>
        <v>3.4705882352941178</v>
      </c>
      <c r="AB251" s="1">
        <v>15</v>
      </c>
      <c r="AC251" s="4">
        <f>knicks_players_all_stats[[#This Row],[AST]]/knicks_players_all_stats[[#This Row],[GP]]</f>
        <v>0.88235294117647056</v>
      </c>
      <c r="AD251" s="1">
        <f>knicks_players_all_stats[[#This Row],[STL2]]/10</f>
        <v>19</v>
      </c>
      <c r="AE251" s="1">
        <v>190</v>
      </c>
      <c r="AF251" s="4">
        <f>knicks_players_all_stats[[#This Row],[STL]]/knicks_players_all_stats[[#This Row],[GP]]</f>
        <v>1.1176470588235294</v>
      </c>
      <c r="AG251">
        <v>40</v>
      </c>
      <c r="AH251" s="1">
        <f>knicks_players_all_stats[[#This Row],[BLK2]]/10</f>
        <v>4</v>
      </c>
      <c r="AI251" s="4">
        <f>knicks_players_all_stats[[#This Row],[BLK]]/knicks_players_all_stats[[#This Row],[GP]]</f>
        <v>0.23529411764705882</v>
      </c>
      <c r="AJ251">
        <v>180</v>
      </c>
      <c r="AK251" s="4">
        <f>knicks_players_all_stats[[#This Row],[BLKPG]]+knicks_players_all_stats[[#This Row],[STLPG]]+knicks_players_all_stats[[#This Row],[REBPG]]</f>
        <v>4.8235294117647065</v>
      </c>
      <c r="AL251" s="1">
        <f>knicks_players_all_stats[[#This Row],[TOV2]]/10</f>
        <v>18</v>
      </c>
      <c r="AM251" s="4">
        <f>knicks_players_all_stats[[#This Row],[TOV]]/knicks_players_all_stats[[#This Row],[GP]]</f>
        <v>1.0588235294117647</v>
      </c>
      <c r="AN251" s="1">
        <v>32</v>
      </c>
      <c r="AO251" s="1">
        <f>knicks_players_all_stats[[#This Row],[PF]]/knicks_players_all_stats[[#This Row],[GP]]</f>
        <v>1.8823529411764706</v>
      </c>
      <c r="AP251" s="1">
        <v>128</v>
      </c>
      <c r="AQ251" s="4">
        <f>knicks_players_all_stats[[#This Row],[PTS]]/knicks_players_all_stats[[#This Row],[GP]]</f>
        <v>7.5294117647058822</v>
      </c>
    </row>
    <row r="252" spans="1:43" customFormat="1" x14ac:dyDescent="0.3">
      <c r="A252" s="1" t="s">
        <v>1545</v>
      </c>
      <c r="B252" s="1" t="s">
        <v>1369</v>
      </c>
      <c r="C252" s="1" t="str">
        <f>knicks_players_all_stats[[#This Row],[NAME]]&amp;" ("&amp;knicks_players_all_stats[[#This Row],[SEASON]]&amp;")"</f>
        <v>Alec Burks (2023-24)</v>
      </c>
      <c r="D252" s="1">
        <f>knicks_players_all_stats[[#This Row],[PLAYER_AGE]]/10</f>
        <v>32</v>
      </c>
      <c r="E252">
        <v>320</v>
      </c>
      <c r="F252" s="1">
        <v>23</v>
      </c>
      <c r="G252" s="1">
        <v>3110</v>
      </c>
      <c r="H2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68</v>
      </c>
      <c r="I252" s="4">
        <f>knicks_players_all_stats[[#This Row],[VALORATION]]/knicks_players_all_stats[[#This Row],[GP]]</f>
        <v>2.9565217391304346</v>
      </c>
      <c r="J252" s="1">
        <v>50</v>
      </c>
      <c r="K252" s="1">
        <v>163</v>
      </c>
      <c r="L252" s="2">
        <f>knicks_players_all_stats[[#This Row],[FGM]]/knicks_players_all_stats[[#This Row],[FGA]]</f>
        <v>0.30674846625766872</v>
      </c>
      <c r="M252" s="16">
        <f>knicks_players_all_stats[[#This Row],[FG3M2]]/10</f>
        <v>25</v>
      </c>
      <c r="N252" s="1">
        <v>250</v>
      </c>
      <c r="O252" s="1">
        <f>knicks_players_all_stats[[#This Row],[FG3A2]]/10</f>
        <v>83</v>
      </c>
      <c r="P252" s="1">
        <v>830</v>
      </c>
      <c r="Q252" s="2">
        <f>knicks_players_all_stats[[#This Row],[FG3M2]]/knicks_players_all_stats[[#This Row],[FG3A2]]</f>
        <v>0.30120481927710846</v>
      </c>
      <c r="R252" s="1">
        <v>24</v>
      </c>
      <c r="S252" s="1">
        <v>33</v>
      </c>
      <c r="T252" s="3">
        <f>knicks_players_all_stats[[#This Row],[FTM]]/knicks_players_all_stats[[#This Row],[FTA]]</f>
        <v>0.72727272727272729</v>
      </c>
      <c r="U252" s="1">
        <f>knicks_players_all_stats[[#This Row],[OREB22]]/10</f>
        <v>8</v>
      </c>
      <c r="V252" s="1">
        <f>knicks_players_all_stats[[#This Row],[DREB33]]/10</f>
        <v>32</v>
      </c>
      <c r="W252" s="1">
        <f>knicks_players_all_stats[[#This Row],[REB44]]/10</f>
        <v>40</v>
      </c>
      <c r="X252">
        <v>80</v>
      </c>
      <c r="Y252">
        <v>320</v>
      </c>
      <c r="Z252">
        <v>400</v>
      </c>
      <c r="AA252" s="14">
        <f>knicks_players_all_stats[[#This Row],[REB]]/knicks_players_all_stats[[#This Row],[GP]]</f>
        <v>1.7391304347826086</v>
      </c>
      <c r="AB252" s="1">
        <v>20</v>
      </c>
      <c r="AC252" s="4">
        <f>knicks_players_all_stats[[#This Row],[AST]]/knicks_players_all_stats[[#This Row],[GP]]</f>
        <v>0.86956521739130432</v>
      </c>
      <c r="AD252" s="1">
        <f>knicks_players_all_stats[[#This Row],[STL2]]/10</f>
        <v>7</v>
      </c>
      <c r="AE252" s="1">
        <v>70</v>
      </c>
      <c r="AF252" s="4">
        <f>knicks_players_all_stats[[#This Row],[STL]]/knicks_players_all_stats[[#This Row],[GP]]</f>
        <v>0.30434782608695654</v>
      </c>
      <c r="AG252">
        <v>10</v>
      </c>
      <c r="AH252" s="1">
        <f>knicks_players_all_stats[[#This Row],[BLK2]]/10</f>
        <v>1</v>
      </c>
      <c r="AI252" s="4">
        <f>knicks_players_all_stats[[#This Row],[BLK]]/knicks_players_all_stats[[#This Row],[GP]]</f>
        <v>4.3478260869565216E-2</v>
      </c>
      <c r="AJ252">
        <v>160</v>
      </c>
      <c r="AK252" s="4">
        <f>knicks_players_all_stats[[#This Row],[BLKPG]]+knicks_players_all_stats[[#This Row],[STLPG]]+knicks_players_all_stats[[#This Row],[REBPG]]</f>
        <v>2.0869565217391304</v>
      </c>
      <c r="AL252" s="1">
        <f>knicks_players_all_stats[[#This Row],[TOV2]]/10</f>
        <v>16</v>
      </c>
      <c r="AM252" s="4">
        <f>knicks_players_all_stats[[#This Row],[TOV]]/knicks_players_all_stats[[#This Row],[GP]]</f>
        <v>0.69565217391304346</v>
      </c>
      <c r="AN252" s="1">
        <v>11</v>
      </c>
      <c r="AO252" s="1">
        <f>knicks_players_all_stats[[#This Row],[PF]]/knicks_players_all_stats[[#This Row],[GP]]</f>
        <v>0.47826086956521741</v>
      </c>
      <c r="AP252" s="1">
        <v>149</v>
      </c>
      <c r="AQ252" s="4">
        <f>knicks_players_all_stats[[#This Row],[PTS]]/knicks_players_all_stats[[#This Row],[GP]]</f>
        <v>6.4782608695652177</v>
      </c>
    </row>
    <row r="253" spans="1:43" customFormat="1" x14ac:dyDescent="0.3">
      <c r="A253" s="1" t="s">
        <v>1620</v>
      </c>
      <c r="B253" s="1" t="s">
        <v>1292</v>
      </c>
      <c r="C253" s="1" t="str">
        <f>knicks_players_all_stats[[#This Row],[NAME]]&amp;" ("&amp;knicks_players_all_stats[[#This Row],[SEASON]]&amp;")"</f>
        <v>Ronnie Brewer (2012-13)</v>
      </c>
      <c r="D253" s="1">
        <f>knicks_players_all_stats[[#This Row],[PLAYER_AGE]]/10</f>
        <v>28</v>
      </c>
      <c r="E253">
        <v>280</v>
      </c>
      <c r="F253" s="1">
        <v>46</v>
      </c>
      <c r="G253" s="1">
        <v>7110</v>
      </c>
      <c r="H2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171</v>
      </c>
      <c r="I253" s="4">
        <f>knicks_players_all_stats[[#This Row],[VALORATION]]/knicks_players_all_stats[[#This Row],[GP]]</f>
        <v>3.7173913043478262</v>
      </c>
      <c r="J253" s="1">
        <v>64</v>
      </c>
      <c r="K253" s="1">
        <v>175</v>
      </c>
      <c r="L253" s="2">
        <f>knicks_players_all_stats[[#This Row],[FGM]]/knicks_players_all_stats[[#This Row],[FGA]]</f>
        <v>0.36571428571428571</v>
      </c>
      <c r="M253" s="16">
        <f>knicks_players_all_stats[[#This Row],[FG3M2]]/10</f>
        <v>22</v>
      </c>
      <c r="N253" s="1">
        <v>220</v>
      </c>
      <c r="O253" s="1">
        <f>knicks_players_all_stats[[#This Row],[FG3A2]]/10</f>
        <v>71</v>
      </c>
      <c r="P253" s="1">
        <v>710</v>
      </c>
      <c r="Q253" s="2">
        <f>knicks_players_all_stats[[#This Row],[FG3M2]]/knicks_players_all_stats[[#This Row],[FG3A2]]</f>
        <v>0.30985915492957744</v>
      </c>
      <c r="R253" s="1">
        <v>16</v>
      </c>
      <c r="S253" s="1">
        <v>39</v>
      </c>
      <c r="T253" s="3">
        <f>knicks_players_all_stats[[#This Row],[FTM]]/knicks_players_all_stats[[#This Row],[FTA]]</f>
        <v>0.41025641025641024</v>
      </c>
      <c r="U253" s="1">
        <f>knicks_players_all_stats[[#This Row],[OREB22]]/10</f>
        <v>29</v>
      </c>
      <c r="V253" s="1">
        <f>knicks_players_all_stats[[#This Row],[DREB33]]/10</f>
        <v>71</v>
      </c>
      <c r="W253" s="1">
        <f>knicks_players_all_stats[[#This Row],[REB44]]/10</f>
        <v>100</v>
      </c>
      <c r="X253">
        <v>290</v>
      </c>
      <c r="Y253">
        <v>710</v>
      </c>
      <c r="Z253">
        <v>1000</v>
      </c>
      <c r="AA253" s="14">
        <f>knicks_players_all_stats[[#This Row],[REB]]/knicks_players_all_stats[[#This Row],[GP]]</f>
        <v>2.1739130434782608</v>
      </c>
      <c r="AB253" s="1">
        <v>40</v>
      </c>
      <c r="AC253" s="4">
        <f>knicks_players_all_stats[[#This Row],[AST]]/knicks_players_all_stats[[#This Row],[GP]]</f>
        <v>0.86956521739130432</v>
      </c>
      <c r="AD253" s="1">
        <f>knicks_players_all_stats[[#This Row],[STL2]]/10</f>
        <v>34</v>
      </c>
      <c r="AE253" s="1">
        <v>340</v>
      </c>
      <c r="AF253" s="4">
        <f>knicks_players_all_stats[[#This Row],[STL]]/knicks_players_all_stats[[#This Row],[GP]]</f>
        <v>0.73913043478260865</v>
      </c>
      <c r="AG253">
        <v>60</v>
      </c>
      <c r="AH253" s="1">
        <f>knicks_players_all_stats[[#This Row],[BLK2]]/10</f>
        <v>6</v>
      </c>
      <c r="AI253" s="4">
        <f>knicks_players_all_stats[[#This Row],[BLK]]/knicks_players_all_stats[[#This Row],[GP]]</f>
        <v>0.13043478260869565</v>
      </c>
      <c r="AJ253">
        <v>140</v>
      </c>
      <c r="AK253" s="4">
        <f>knicks_players_all_stats[[#This Row],[BLKPG]]+knicks_players_all_stats[[#This Row],[STLPG]]+knicks_players_all_stats[[#This Row],[REBPG]]</f>
        <v>3.043478260869565</v>
      </c>
      <c r="AL253" s="1">
        <f>knicks_players_all_stats[[#This Row],[TOV2]]/10</f>
        <v>14</v>
      </c>
      <c r="AM253" s="4">
        <f>knicks_players_all_stats[[#This Row],[TOV]]/knicks_players_all_stats[[#This Row],[GP]]</f>
        <v>0.30434782608695654</v>
      </c>
      <c r="AN253" s="1">
        <v>27</v>
      </c>
      <c r="AO253" s="1">
        <f>knicks_players_all_stats[[#This Row],[PF]]/knicks_players_all_stats[[#This Row],[GP]]</f>
        <v>0.58695652173913049</v>
      </c>
      <c r="AP253" s="1">
        <v>166</v>
      </c>
      <c r="AQ253" s="4">
        <f>knicks_players_all_stats[[#This Row],[PTS]]/knicks_players_all_stats[[#This Row],[GP]]</f>
        <v>3.6086956521739131</v>
      </c>
    </row>
    <row r="254" spans="1:43" customFormat="1" x14ac:dyDescent="0.3">
      <c r="A254" s="1" t="s">
        <v>1853</v>
      </c>
      <c r="B254" s="1" t="s">
        <v>1293</v>
      </c>
      <c r="C254" s="1" t="str">
        <f>knicks_players_all_stats[[#This Row],[NAME]]&amp;" ("&amp;knicks_players_all_stats[[#This Row],[SEASON]]&amp;")"</f>
        <v>Clar. Weatherspoon (2003-04)</v>
      </c>
      <c r="D254" s="1">
        <f>knicks_players_all_stats[[#This Row],[PLAYER_AGE]]/10</f>
        <v>33</v>
      </c>
      <c r="E254">
        <v>330</v>
      </c>
      <c r="F254" s="1">
        <v>15</v>
      </c>
      <c r="G254" s="1">
        <v>2180</v>
      </c>
      <c r="H2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76</v>
      </c>
      <c r="I254" s="4">
        <f>knicks_players_all_stats[[#This Row],[VALORATION]]/knicks_players_all_stats[[#This Row],[GP]]</f>
        <v>5.0666666666666664</v>
      </c>
      <c r="J254" s="1">
        <v>18</v>
      </c>
      <c r="K254" s="1">
        <v>40</v>
      </c>
      <c r="L254" s="1">
        <v>45</v>
      </c>
      <c r="M254" s="4">
        <f>knicks_players_all_stats[[#This Row],[FG3M2]]/10</f>
        <v>0</v>
      </c>
      <c r="N254" s="1">
        <v>0</v>
      </c>
      <c r="O254" s="1">
        <f>knicks_players_all_stats[[#This Row],[FG3A2]]/10</f>
        <v>0</v>
      </c>
      <c r="P254" s="1">
        <v>0</v>
      </c>
      <c r="Q254" s="2" t="e">
        <f>knicks_players_all_stats[[#This Row],[FG3M2]]/knicks_players_all_stats[[#This Row],[FG3A2]]</f>
        <v>#DIV/0!</v>
      </c>
      <c r="R254" s="1">
        <v>18</v>
      </c>
      <c r="S254" s="1">
        <v>19</v>
      </c>
      <c r="T254" s="3">
        <f>knicks_players_all_stats[[#This Row],[FTM]]/knicks_players_all_stats[[#This Row],[FTA]]</f>
        <v>0.94736842105263153</v>
      </c>
      <c r="U254" s="1">
        <f>knicks_players_all_stats[[#This Row],[OREB22]]/10</f>
        <v>14</v>
      </c>
      <c r="V254" s="1">
        <f>knicks_players_all_stats[[#This Row],[DREB33]]/10</f>
        <v>36</v>
      </c>
      <c r="W254" s="1">
        <f>knicks_players_all_stats[[#This Row],[REB44]]/10</f>
        <v>50</v>
      </c>
      <c r="X254">
        <v>140</v>
      </c>
      <c r="Y254">
        <v>360</v>
      </c>
      <c r="Z254">
        <v>500</v>
      </c>
      <c r="AA254" s="14">
        <f>knicks_players_all_stats[[#This Row],[REB]]/knicks_players_all_stats[[#This Row],[GP]]</f>
        <v>3.3333333333333335</v>
      </c>
      <c r="AB254" s="1">
        <v>13</v>
      </c>
      <c r="AC254" s="4">
        <f>knicks_players_all_stats[[#This Row],[AST]]/knicks_players_all_stats[[#This Row],[GP]]</f>
        <v>0.8666666666666667</v>
      </c>
      <c r="AD254" s="1">
        <f>knicks_players_all_stats[[#This Row],[STL2]]/10</f>
        <v>8</v>
      </c>
      <c r="AE254" s="1">
        <v>80</v>
      </c>
      <c r="AF254" s="4">
        <f>knicks_players_all_stats[[#This Row],[STL]]/knicks_players_all_stats[[#This Row],[GP]]</f>
        <v>0.53333333333333333</v>
      </c>
      <c r="AG254">
        <v>20</v>
      </c>
      <c r="AH254" s="1">
        <f>knicks_players_all_stats[[#This Row],[BLK2]]/10</f>
        <v>2</v>
      </c>
      <c r="AI254" s="4">
        <f>knicks_players_all_stats[[#This Row],[BLK]]/knicks_players_all_stats[[#This Row],[GP]]</f>
        <v>0.13333333333333333</v>
      </c>
      <c r="AJ254">
        <v>90</v>
      </c>
      <c r="AK254" s="4">
        <f>knicks_players_all_stats[[#This Row],[BLKPG]]+knicks_players_all_stats[[#This Row],[STLPG]]+knicks_players_all_stats[[#This Row],[REBPG]]</f>
        <v>4</v>
      </c>
      <c r="AL254" s="1">
        <f>knicks_players_all_stats[[#This Row],[TOV2]]/10</f>
        <v>9</v>
      </c>
      <c r="AM254" s="4">
        <f>knicks_players_all_stats[[#This Row],[TOV]]/knicks_players_all_stats[[#This Row],[GP]]</f>
        <v>0.6</v>
      </c>
      <c r="AN254" s="1">
        <v>19</v>
      </c>
      <c r="AO254" s="1">
        <f>knicks_players_all_stats[[#This Row],[PF]]/knicks_players_all_stats[[#This Row],[GP]]</f>
        <v>1.2666666666666666</v>
      </c>
      <c r="AP254" s="1">
        <v>54</v>
      </c>
      <c r="AQ254" s="4">
        <f>knicks_players_all_stats[[#This Row],[PTS]]/knicks_players_all_stats[[#This Row],[GP]]</f>
        <v>3.6</v>
      </c>
    </row>
    <row r="255" spans="1:43" customFormat="1" x14ac:dyDescent="0.3">
      <c r="A255" s="1" t="s">
        <v>1853</v>
      </c>
      <c r="B255" s="1" t="s">
        <v>1325</v>
      </c>
      <c r="C255" s="1" t="str">
        <f>knicks_players_all_stats[[#This Row],[NAME]]&amp;" ("&amp;knicks_players_all_stats[[#This Row],[SEASON]]&amp;")"</f>
        <v>Clar. Weatherspoon (2002-03)</v>
      </c>
      <c r="D255" s="1">
        <f>knicks_players_all_stats[[#This Row],[PLAYER_AGE]]/10</f>
        <v>32</v>
      </c>
      <c r="E255">
        <v>320</v>
      </c>
      <c r="F255" s="1">
        <v>79</v>
      </c>
      <c r="G255" s="1">
        <v>20260</v>
      </c>
      <c r="H2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783</v>
      </c>
      <c r="I255" s="4">
        <f>knicks_players_all_stats[[#This Row],[VALORATION]]/knicks_players_all_stats[[#This Row],[GP]]</f>
        <v>9.9113924050632907</v>
      </c>
      <c r="J255" s="1">
        <v>186</v>
      </c>
      <c r="K255" s="1">
        <v>414</v>
      </c>
      <c r="L255" s="1">
        <v>449</v>
      </c>
      <c r="M255" s="4">
        <f>knicks_players_all_stats[[#This Row],[FG3M2]]/10</f>
        <v>0</v>
      </c>
      <c r="N255" s="1">
        <v>0</v>
      </c>
      <c r="O255" s="1">
        <f>knicks_players_all_stats[[#This Row],[FG3A2]]/10</f>
        <v>0</v>
      </c>
      <c r="P255" s="1">
        <v>0</v>
      </c>
      <c r="Q255" s="2" t="e">
        <f>knicks_players_all_stats[[#This Row],[FG3M2]]/knicks_players_all_stats[[#This Row],[FG3A2]]</f>
        <v>#DIV/0!</v>
      </c>
      <c r="R255" s="1">
        <v>149</v>
      </c>
      <c r="S255" s="1">
        <v>194</v>
      </c>
      <c r="T255" s="3">
        <f>knicks_players_all_stats[[#This Row],[FTM]]/knicks_players_all_stats[[#This Row],[FTA]]</f>
        <v>0.76804123711340211</v>
      </c>
      <c r="U255" s="1">
        <f>knicks_players_all_stats[[#This Row],[OREB22]]/10</f>
        <v>214</v>
      </c>
      <c r="V255" s="1">
        <f>knicks_players_all_stats[[#This Row],[DREB33]]/10</f>
        <v>385</v>
      </c>
      <c r="W255" s="1">
        <f>knicks_players_all_stats[[#This Row],[REB44]]/10</f>
        <v>599</v>
      </c>
      <c r="X255">
        <v>2140</v>
      </c>
      <c r="Y255">
        <v>3850</v>
      </c>
      <c r="Z255">
        <v>5990</v>
      </c>
      <c r="AA255" s="14">
        <f>knicks_players_all_stats[[#This Row],[REB]]/knicks_players_all_stats[[#This Row],[GP]]</f>
        <v>7.5822784810126587</v>
      </c>
      <c r="AB255" s="1">
        <v>68</v>
      </c>
      <c r="AC255" s="4">
        <f>knicks_players_all_stats[[#This Row],[AST]]/knicks_players_all_stats[[#This Row],[GP]]</f>
        <v>0.86075949367088611</v>
      </c>
      <c r="AD255" s="1">
        <f>knicks_players_all_stats[[#This Row],[STL2]]/10</f>
        <v>69</v>
      </c>
      <c r="AE255" s="1">
        <v>690</v>
      </c>
      <c r="AF255" s="4">
        <f>knicks_players_all_stats[[#This Row],[STL]]/knicks_players_all_stats[[#This Row],[GP]]</f>
        <v>0.87341772151898733</v>
      </c>
      <c r="AG255">
        <v>360</v>
      </c>
      <c r="AH255" s="1">
        <f>knicks_players_all_stats[[#This Row],[BLK2]]/10</f>
        <v>36</v>
      </c>
      <c r="AI255" s="4">
        <f>knicks_players_all_stats[[#This Row],[BLK]]/knicks_players_all_stats[[#This Row],[GP]]</f>
        <v>0.45569620253164556</v>
      </c>
      <c r="AJ255">
        <v>630</v>
      </c>
      <c r="AK255" s="4">
        <f>knicks_players_all_stats[[#This Row],[BLKPG]]+knicks_players_all_stats[[#This Row],[STLPG]]+knicks_players_all_stats[[#This Row],[REBPG]]</f>
        <v>8.9113924050632924</v>
      </c>
      <c r="AL255" s="1">
        <f>knicks_players_all_stats[[#This Row],[TOV2]]/10</f>
        <v>63</v>
      </c>
      <c r="AM255" s="4">
        <f>knicks_players_all_stats[[#This Row],[TOV]]/knicks_players_all_stats[[#This Row],[GP]]</f>
        <v>0.79746835443037978</v>
      </c>
      <c r="AN255" s="1">
        <v>174</v>
      </c>
      <c r="AO255" s="1">
        <f>knicks_players_all_stats[[#This Row],[PF]]/knicks_players_all_stats[[#This Row],[GP]]</f>
        <v>2.2025316455696204</v>
      </c>
      <c r="AP255" s="1">
        <v>521</v>
      </c>
      <c r="AQ255" s="4">
        <f>knicks_players_all_stats[[#This Row],[PTS]]/knicks_players_all_stats[[#This Row],[GP]]</f>
        <v>6.5949367088607591</v>
      </c>
    </row>
    <row r="256" spans="1:43" customFormat="1" x14ac:dyDescent="0.3">
      <c r="A256" s="1" t="s">
        <v>1676</v>
      </c>
      <c r="B256" s="1" t="s">
        <v>1302</v>
      </c>
      <c r="C256" s="1" t="str">
        <f>knicks_players_all_stats[[#This Row],[NAME]]&amp;" ("&amp;knicks_players_all_stats[[#This Row],[SEASON]]&amp;")"</f>
        <v>Eddy Curry (2006-07)</v>
      </c>
      <c r="D256" s="1">
        <f>knicks_players_all_stats[[#This Row],[PLAYER_AGE]]/10</f>
        <v>24</v>
      </c>
      <c r="E256">
        <v>240</v>
      </c>
      <c r="F256" s="1">
        <v>81</v>
      </c>
      <c r="G256" s="1">
        <v>28490</v>
      </c>
      <c r="H2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1044</v>
      </c>
      <c r="I256" s="4">
        <f>knicks_players_all_stats[[#This Row],[VALORATION]]/knicks_players_all_stats[[#This Row],[GP]]</f>
        <v>12.888888888888889</v>
      </c>
      <c r="J256" s="1">
        <v>585</v>
      </c>
      <c r="K256" s="1">
        <v>1016</v>
      </c>
      <c r="L256" s="1">
        <v>576</v>
      </c>
      <c r="M256" s="4">
        <f>knicks_players_all_stats[[#This Row],[FG3M2]]/10</f>
        <v>1</v>
      </c>
      <c r="N256" s="1">
        <v>10</v>
      </c>
      <c r="O256" s="1">
        <f>knicks_players_all_stats[[#This Row],[FG3A2]]/10</f>
        <v>1</v>
      </c>
      <c r="P256" s="1">
        <v>10</v>
      </c>
      <c r="Q256" s="2">
        <f>knicks_players_all_stats[[#This Row],[FG3M2]]/knicks_players_all_stats[[#This Row],[FG3A2]]</f>
        <v>1</v>
      </c>
      <c r="R256" s="1">
        <v>405</v>
      </c>
      <c r="S256" s="1">
        <v>659</v>
      </c>
      <c r="T256" s="3">
        <f>knicks_players_all_stats[[#This Row],[FTM]]/knicks_players_all_stats[[#This Row],[FTA]]</f>
        <v>0.61456752655538693</v>
      </c>
      <c r="U256" s="1">
        <f>knicks_players_all_stats[[#This Row],[OREB22]]/10</f>
        <v>195</v>
      </c>
      <c r="V256" s="1">
        <f>knicks_players_all_stats[[#This Row],[DREB33]]/10</f>
        <v>376</v>
      </c>
      <c r="W256" s="1">
        <f>knicks_players_all_stats[[#This Row],[REB44]]/10</f>
        <v>571</v>
      </c>
      <c r="X256">
        <v>1950</v>
      </c>
      <c r="Y256">
        <v>3760</v>
      </c>
      <c r="Z256">
        <v>5710</v>
      </c>
      <c r="AA256" s="14">
        <f>knicks_players_all_stats[[#This Row],[REB]]/knicks_players_all_stats[[#This Row],[GP]]</f>
        <v>7.0493827160493829</v>
      </c>
      <c r="AB256" s="1">
        <v>68</v>
      </c>
      <c r="AC256" s="4">
        <f>knicks_players_all_stats[[#This Row],[AST]]/knicks_players_all_stats[[#This Row],[GP]]</f>
        <v>0.83950617283950613</v>
      </c>
      <c r="AD256" s="1">
        <f>knicks_players_all_stats[[#This Row],[STL2]]/10</f>
        <v>34</v>
      </c>
      <c r="AE256" s="1">
        <v>340</v>
      </c>
      <c r="AF256" s="4">
        <f>knicks_players_all_stats[[#This Row],[STL]]/knicks_players_all_stats[[#This Row],[GP]]</f>
        <v>0.41975308641975306</v>
      </c>
      <c r="AG256">
        <v>400</v>
      </c>
      <c r="AH256" s="1">
        <f>knicks_players_all_stats[[#This Row],[BLK2]]/10</f>
        <v>40</v>
      </c>
      <c r="AI256" s="4">
        <f>knicks_players_all_stats[[#This Row],[BLK]]/knicks_players_all_stats[[#This Row],[GP]]</f>
        <v>0.49382716049382713</v>
      </c>
      <c r="AJ256">
        <v>2950</v>
      </c>
      <c r="AK256" s="4">
        <f>knicks_players_all_stats[[#This Row],[BLKPG]]+knicks_players_all_stats[[#This Row],[STLPG]]+knicks_players_all_stats[[#This Row],[REBPG]]</f>
        <v>7.9629629629629628</v>
      </c>
      <c r="AL256" s="1">
        <f>knicks_players_all_stats[[#This Row],[TOV2]]/10</f>
        <v>295</v>
      </c>
      <c r="AM256" s="4">
        <f>knicks_players_all_stats[[#This Row],[TOV]]/knicks_players_all_stats[[#This Row],[GP]]</f>
        <v>3.6419753086419755</v>
      </c>
      <c r="AN256" s="1">
        <v>265</v>
      </c>
      <c r="AO256" s="1">
        <f>knicks_players_all_stats[[#This Row],[PF]]/knicks_players_all_stats[[#This Row],[GP]]</f>
        <v>3.2716049382716048</v>
      </c>
      <c r="AP256" s="1">
        <v>1576</v>
      </c>
      <c r="AQ256" s="4">
        <f>knicks_players_all_stats[[#This Row],[PTS]]/knicks_players_all_stats[[#This Row],[GP]]</f>
        <v>19.456790123456791</v>
      </c>
    </row>
    <row r="257" spans="1:43" customFormat="1" x14ac:dyDescent="0.3">
      <c r="A257" s="1" t="s">
        <v>1566</v>
      </c>
      <c r="B257" s="1" t="s">
        <v>1325</v>
      </c>
      <c r="C257" s="1" t="str">
        <f>knicks_players_all_stats[[#This Row],[NAME]]&amp;" ("&amp;knicks_players_all_stats[[#This Row],[SEASON]]&amp;")"</f>
        <v>Othella Harrington (2002-03)</v>
      </c>
      <c r="D257" s="1">
        <f>knicks_players_all_stats[[#This Row],[PLAYER_AGE]]/10</f>
        <v>29</v>
      </c>
      <c r="E257">
        <v>290</v>
      </c>
      <c r="F257" s="1">
        <v>74</v>
      </c>
      <c r="G257" s="1">
        <v>18460</v>
      </c>
      <c r="H2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580</v>
      </c>
      <c r="I257" s="4">
        <f>knicks_players_all_stats[[#This Row],[VALORATION]]/knicks_players_all_stats[[#This Row],[GP]]</f>
        <v>7.8378378378378377</v>
      </c>
      <c r="J257" s="1">
        <v>225</v>
      </c>
      <c r="K257" s="1">
        <v>443</v>
      </c>
      <c r="L257" s="2">
        <f>knicks_players_all_stats[[#This Row],[FGM]]/knicks_players_all_stats[[#This Row],[FGA]]</f>
        <v>0.50790067720090293</v>
      </c>
      <c r="M257" s="16">
        <f>knicks_players_all_stats[[#This Row],[FG3M2]]/10</f>
        <v>0</v>
      </c>
      <c r="N257" s="1">
        <v>0</v>
      </c>
      <c r="O257" s="1">
        <f>knicks_players_all_stats[[#This Row],[FG3A2]]/10</f>
        <v>0</v>
      </c>
      <c r="P257" s="1">
        <v>0</v>
      </c>
      <c r="Q257" s="2" t="e">
        <f>knicks_players_all_stats[[#This Row],[FG3M2]]/knicks_players_all_stats[[#This Row],[FG3A2]]</f>
        <v>#DIV/0!</v>
      </c>
      <c r="R257" s="1">
        <v>123</v>
      </c>
      <c r="S257" s="1">
        <v>150</v>
      </c>
      <c r="T257" s="3">
        <f>knicks_players_all_stats[[#This Row],[FTM]]/knicks_players_all_stats[[#This Row],[FTA]]</f>
        <v>0.82</v>
      </c>
      <c r="U257" s="1">
        <f>knicks_players_all_stats[[#This Row],[OREB22]]/10</f>
        <v>165</v>
      </c>
      <c r="V257" s="1">
        <f>knicks_players_all_stats[[#This Row],[DREB33]]/10</f>
        <v>311</v>
      </c>
      <c r="W257" s="1">
        <f>knicks_players_all_stats[[#This Row],[REB44]]/10</f>
        <v>476</v>
      </c>
      <c r="X257">
        <v>1650</v>
      </c>
      <c r="Y257">
        <v>3110</v>
      </c>
      <c r="Z257">
        <v>4760</v>
      </c>
      <c r="AA257" s="14">
        <f>knicks_players_all_stats[[#This Row],[REB]]/knicks_players_all_stats[[#This Row],[GP]]</f>
        <v>6.4324324324324325</v>
      </c>
      <c r="AB257" s="1">
        <v>62</v>
      </c>
      <c r="AC257" s="4">
        <f>knicks_players_all_stats[[#This Row],[AST]]/knicks_players_all_stats[[#This Row],[GP]]</f>
        <v>0.83783783783783783</v>
      </c>
      <c r="AD257" s="1">
        <f>knicks_players_all_stats[[#This Row],[STL2]]/10</f>
        <v>12</v>
      </c>
      <c r="AE257" s="1">
        <v>120</v>
      </c>
      <c r="AF257" s="4">
        <f>knicks_players_all_stats[[#This Row],[STL]]/knicks_players_all_stats[[#This Row],[GP]]</f>
        <v>0.16216216216216217</v>
      </c>
      <c r="AG257">
        <v>230</v>
      </c>
      <c r="AH257" s="1">
        <f>knicks_players_all_stats[[#This Row],[BLK2]]/10</f>
        <v>23</v>
      </c>
      <c r="AI257" s="4">
        <f>knicks_players_all_stats[[#This Row],[BLK]]/knicks_players_all_stats[[#This Row],[GP]]</f>
        <v>0.3108108108108108</v>
      </c>
      <c r="AJ257">
        <v>900</v>
      </c>
      <c r="AK257" s="4">
        <f>knicks_players_all_stats[[#This Row],[BLKPG]]+knicks_players_all_stats[[#This Row],[STLPG]]+knicks_players_all_stats[[#This Row],[REBPG]]</f>
        <v>6.9054054054054053</v>
      </c>
      <c r="AL257" s="1">
        <f>knicks_players_all_stats[[#This Row],[TOV2]]/10</f>
        <v>90</v>
      </c>
      <c r="AM257" s="4">
        <f>knicks_players_all_stats[[#This Row],[TOV]]/knicks_players_all_stats[[#This Row],[GP]]</f>
        <v>1.2162162162162162</v>
      </c>
      <c r="AN257" s="1">
        <v>231</v>
      </c>
      <c r="AO257" s="1">
        <f>knicks_players_all_stats[[#This Row],[PF]]/knicks_players_all_stats[[#This Row],[GP]]</f>
        <v>3.1216216216216215</v>
      </c>
      <c r="AP257" s="1">
        <v>573</v>
      </c>
      <c r="AQ257" s="4">
        <f>knicks_players_all_stats[[#This Row],[PTS]]/knicks_players_all_stats[[#This Row],[GP]]</f>
        <v>7.743243243243243</v>
      </c>
    </row>
    <row r="258" spans="1:43" customFormat="1" x14ac:dyDescent="0.3">
      <c r="A258" s="1" t="s">
        <v>1652</v>
      </c>
      <c r="B258" s="1" t="s">
        <v>1304</v>
      </c>
      <c r="C258" s="1" t="str">
        <f>knicks_players_all_stats[[#This Row],[NAME]]&amp;" ("&amp;knicks_players_all_stats[[#This Row],[SEASON]]&amp;")"</f>
        <v>Anthony Roberson (2008-09)</v>
      </c>
      <c r="D258" s="1">
        <f>knicks_players_all_stats[[#This Row],[PLAYER_AGE]]/10</f>
        <v>26</v>
      </c>
      <c r="E258">
        <v>260</v>
      </c>
      <c r="F258" s="1">
        <v>23</v>
      </c>
      <c r="G258" s="1">
        <v>2530</v>
      </c>
      <c r="H2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</v>
      </c>
      <c r="I258" s="4">
        <f>knicks_players_all_stats[[#This Row],[VALORATION]]/knicks_players_all_stats[[#This Row],[GP]]</f>
        <v>2.7391304347826089</v>
      </c>
      <c r="J258" s="1">
        <v>39</v>
      </c>
      <c r="K258" s="1">
        <v>103</v>
      </c>
      <c r="L258" s="1">
        <v>379</v>
      </c>
      <c r="M258" s="4">
        <f>knicks_players_all_stats[[#This Row],[FG3M2]]/10</f>
        <v>24</v>
      </c>
      <c r="N258" s="1">
        <v>240</v>
      </c>
      <c r="O258" s="1">
        <f>knicks_players_all_stats[[#This Row],[FG3A2]]/10</f>
        <v>71</v>
      </c>
      <c r="P258" s="1">
        <v>710</v>
      </c>
      <c r="Q258" s="2">
        <f>knicks_players_all_stats[[#This Row],[FG3M2]]/knicks_players_all_stats[[#This Row],[FG3A2]]</f>
        <v>0.3380281690140845</v>
      </c>
      <c r="R258" s="1">
        <v>5</v>
      </c>
      <c r="S258" s="1">
        <v>5</v>
      </c>
      <c r="T258" s="3">
        <f>knicks_players_all_stats[[#This Row],[FTM]]/knicks_players_all_stats[[#This Row],[FTA]]</f>
        <v>1</v>
      </c>
      <c r="U258" s="1">
        <f>knicks_players_all_stats[[#This Row],[OREB22]]/10</f>
        <v>4</v>
      </c>
      <c r="V258" s="1">
        <f>knicks_players_all_stats[[#This Row],[DREB33]]/10</f>
        <v>11</v>
      </c>
      <c r="W258" s="1">
        <f>knicks_players_all_stats[[#This Row],[REB44]]/10</f>
        <v>15</v>
      </c>
      <c r="X258">
        <v>40</v>
      </c>
      <c r="Y258">
        <v>110</v>
      </c>
      <c r="Z258">
        <v>150</v>
      </c>
      <c r="AA258" s="14">
        <f>knicks_players_all_stats[[#This Row],[REB]]/knicks_players_all_stats[[#This Row],[GP]]</f>
        <v>0.65217391304347827</v>
      </c>
      <c r="AB258" s="1">
        <v>19</v>
      </c>
      <c r="AC258" s="4">
        <f>knicks_players_all_stats[[#This Row],[AST]]/knicks_players_all_stats[[#This Row],[GP]]</f>
        <v>0.82608695652173914</v>
      </c>
      <c r="AD258" s="1">
        <f>knicks_players_all_stats[[#This Row],[STL2]]/10</f>
        <v>10</v>
      </c>
      <c r="AE258" s="1">
        <v>100</v>
      </c>
      <c r="AF258" s="4">
        <f>knicks_players_all_stats[[#This Row],[STL]]/knicks_players_all_stats[[#This Row],[GP]]</f>
        <v>0.43478260869565216</v>
      </c>
      <c r="AG258">
        <v>10</v>
      </c>
      <c r="AH258" s="1">
        <f>knicks_players_all_stats[[#This Row],[BLK2]]/10</f>
        <v>1</v>
      </c>
      <c r="AI258" s="4">
        <f>knicks_players_all_stats[[#This Row],[BLK]]/knicks_players_all_stats[[#This Row],[GP]]</f>
        <v>4.3478260869565216E-2</v>
      </c>
      <c r="AJ258">
        <v>70</v>
      </c>
      <c r="AK258" s="4">
        <f>knicks_players_all_stats[[#This Row],[BLKPG]]+knicks_players_all_stats[[#This Row],[STLPG]]+knicks_players_all_stats[[#This Row],[REBPG]]</f>
        <v>1.1304347826086958</v>
      </c>
      <c r="AL258" s="1">
        <f>knicks_players_all_stats[[#This Row],[TOV2]]/10</f>
        <v>7</v>
      </c>
      <c r="AM258" s="4">
        <f>knicks_players_all_stats[[#This Row],[TOV]]/knicks_players_all_stats[[#This Row],[GP]]</f>
        <v>0.30434782608695654</v>
      </c>
      <c r="AN258" s="1">
        <v>18</v>
      </c>
      <c r="AO258" s="1">
        <f>knicks_players_all_stats[[#This Row],[PF]]/knicks_players_all_stats[[#This Row],[GP]]</f>
        <v>0.78260869565217395</v>
      </c>
      <c r="AP258" s="1">
        <v>107</v>
      </c>
      <c r="AQ258" s="4">
        <f>knicks_players_all_stats[[#This Row],[PTS]]/knicks_players_all_stats[[#This Row],[GP]]</f>
        <v>4.6521739130434785</v>
      </c>
    </row>
    <row r="259" spans="1:43" customFormat="1" x14ac:dyDescent="0.3">
      <c r="A259" s="1" t="s">
        <v>1501</v>
      </c>
      <c r="B259" s="1" t="s">
        <v>1465</v>
      </c>
      <c r="C259" s="1" t="str">
        <f>knicks_players_all_stats[[#This Row],[NAME]]&amp;" ("&amp;knicks_players_all_stats[[#This Row],[SEASON]]&amp;")"</f>
        <v>Marcus Camby (2000-01)</v>
      </c>
      <c r="D259" s="1">
        <f>knicks_players_all_stats[[#This Row],[PLAYER_AGE]]/10</f>
        <v>27</v>
      </c>
      <c r="E259">
        <v>270</v>
      </c>
      <c r="F259" s="1">
        <v>63</v>
      </c>
      <c r="G259" s="1">
        <v>21270</v>
      </c>
      <c r="H2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1117</v>
      </c>
      <c r="I259" s="4">
        <f>knicks_players_all_stats[[#This Row],[VALORATION]]/knicks_players_all_stats[[#This Row],[GP]]</f>
        <v>17.730158730158731</v>
      </c>
      <c r="J259" s="1">
        <v>304</v>
      </c>
      <c r="K259" s="1">
        <v>580</v>
      </c>
      <c r="L259" s="2">
        <f>knicks_players_all_stats[[#This Row],[FGM]]/knicks_players_all_stats[[#This Row],[FGA]]</f>
        <v>0.52413793103448281</v>
      </c>
      <c r="M259" s="16">
        <f>knicks_players_all_stats[[#This Row],[FG3M2]]/10</f>
        <v>1</v>
      </c>
      <c r="N259" s="1">
        <v>10</v>
      </c>
      <c r="O259" s="1">
        <f>knicks_players_all_stats[[#This Row],[FG3A2]]/10</f>
        <v>8</v>
      </c>
      <c r="P259" s="1">
        <v>80</v>
      </c>
      <c r="Q259" s="2">
        <f>knicks_players_all_stats[[#This Row],[FG3M2]]/knicks_players_all_stats[[#This Row],[FG3A2]]</f>
        <v>0.125</v>
      </c>
      <c r="R259" s="1">
        <v>150</v>
      </c>
      <c r="S259" s="1">
        <v>225</v>
      </c>
      <c r="T259" s="3">
        <f>knicks_players_all_stats[[#This Row],[FTM]]/knicks_players_all_stats[[#This Row],[FTA]]</f>
        <v>0.66666666666666663</v>
      </c>
      <c r="U259" s="1">
        <f>knicks_players_all_stats[[#This Row],[OREB22]]/10</f>
        <v>196</v>
      </c>
      <c r="V259" s="1">
        <f>knicks_players_all_stats[[#This Row],[DREB33]]/10</f>
        <v>527</v>
      </c>
      <c r="W259" s="1">
        <f>knicks_players_all_stats[[#This Row],[REB44]]/10</f>
        <v>723</v>
      </c>
      <c r="X259">
        <v>1960</v>
      </c>
      <c r="Y259">
        <v>5270</v>
      </c>
      <c r="Z259">
        <v>7230</v>
      </c>
      <c r="AA259" s="14">
        <f>knicks_players_all_stats[[#This Row],[REB]]/knicks_players_all_stats[[#This Row],[GP]]</f>
        <v>11.476190476190476</v>
      </c>
      <c r="AB259" s="1">
        <v>52</v>
      </c>
      <c r="AC259" s="4">
        <f>knicks_players_all_stats[[#This Row],[AST]]/knicks_players_all_stats[[#This Row],[GP]]</f>
        <v>0.82539682539682535</v>
      </c>
      <c r="AD259" s="1">
        <f>knicks_players_all_stats[[#This Row],[STL2]]/10</f>
        <v>66</v>
      </c>
      <c r="AE259" s="1">
        <v>660</v>
      </c>
      <c r="AF259" s="4">
        <f>knicks_players_all_stats[[#This Row],[STL]]/knicks_players_all_stats[[#This Row],[GP]]</f>
        <v>1.0476190476190477</v>
      </c>
      <c r="AG259">
        <v>1360</v>
      </c>
      <c r="AH259" s="1">
        <f>knicks_players_all_stats[[#This Row],[BLK2]]/10</f>
        <v>136</v>
      </c>
      <c r="AI259" s="4">
        <f>knicks_players_all_stats[[#This Row],[BLK]]/knicks_players_all_stats[[#This Row],[GP]]</f>
        <v>2.1587301587301586</v>
      </c>
      <c r="AJ259">
        <v>630</v>
      </c>
      <c r="AK259" s="4">
        <f>knicks_players_all_stats[[#This Row],[BLKPG]]+knicks_players_all_stats[[#This Row],[STLPG]]+knicks_players_all_stats[[#This Row],[REBPG]]</f>
        <v>14.682539682539684</v>
      </c>
      <c r="AL259" s="1">
        <f>knicks_players_all_stats[[#This Row],[TOV2]]/10</f>
        <v>63</v>
      </c>
      <c r="AM259" s="4">
        <f>knicks_players_all_stats[[#This Row],[TOV]]/knicks_players_all_stats[[#This Row],[GP]]</f>
        <v>1</v>
      </c>
      <c r="AN259" s="1">
        <v>205</v>
      </c>
      <c r="AO259" s="1">
        <f>knicks_players_all_stats[[#This Row],[PF]]/knicks_players_all_stats[[#This Row],[GP]]</f>
        <v>3.253968253968254</v>
      </c>
      <c r="AP259" s="1">
        <v>759</v>
      </c>
      <c r="AQ259" s="4">
        <f>knicks_players_all_stats[[#This Row],[PTS]]/knicks_players_all_stats[[#This Row],[GP]]</f>
        <v>12.047619047619047</v>
      </c>
    </row>
    <row r="260" spans="1:43" customFormat="1" x14ac:dyDescent="0.3">
      <c r="A260" s="1" t="s">
        <v>1790</v>
      </c>
      <c r="B260" s="1" t="s">
        <v>1465</v>
      </c>
      <c r="C260" s="1" t="str">
        <f>knicks_players_all_stats[[#This Row],[NAME]]&amp;" ("&amp;knicks_players_all_stats[[#This Row],[SEASON]]&amp;")"</f>
        <v>Kurt Thomas (2000-01)</v>
      </c>
      <c r="D260" s="1">
        <f>knicks_players_all_stats[[#This Row],[PLAYER_AGE]]/10</f>
        <v>28</v>
      </c>
      <c r="E260">
        <v>280</v>
      </c>
      <c r="F260" s="1">
        <v>77</v>
      </c>
      <c r="G260" s="1">
        <v>21280</v>
      </c>
      <c r="H2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783</v>
      </c>
      <c r="I260" s="4">
        <f>knicks_players_all_stats[[#This Row],[VALORATION]]/knicks_players_all_stats[[#This Row],[GP]]</f>
        <v>10.168831168831169</v>
      </c>
      <c r="J260" s="1">
        <v>314</v>
      </c>
      <c r="K260" s="1">
        <v>614</v>
      </c>
      <c r="L260" s="1">
        <v>511</v>
      </c>
      <c r="M260" s="4">
        <f>knicks_players_all_stats[[#This Row],[FG3M2]]/10</f>
        <v>1</v>
      </c>
      <c r="N260" s="1">
        <v>10</v>
      </c>
      <c r="O260" s="1">
        <f>knicks_players_all_stats[[#This Row],[FG3A2]]/10</f>
        <v>3</v>
      </c>
      <c r="P260" s="1">
        <v>30</v>
      </c>
      <c r="Q260" s="2">
        <f>knicks_players_all_stats[[#This Row],[FG3M2]]/knicks_players_all_stats[[#This Row],[FG3A2]]</f>
        <v>0.33333333333333331</v>
      </c>
      <c r="R260" s="1">
        <v>171</v>
      </c>
      <c r="S260" s="1">
        <v>210</v>
      </c>
      <c r="T260" s="3">
        <f>knicks_players_all_stats[[#This Row],[FTM]]/knicks_players_all_stats[[#This Row],[FTA]]</f>
        <v>0.81428571428571428</v>
      </c>
      <c r="U260" s="1">
        <f>knicks_players_all_stats[[#This Row],[OREB22]]/10</f>
        <v>172</v>
      </c>
      <c r="V260" s="1">
        <f>knicks_players_all_stats[[#This Row],[DREB33]]/10</f>
        <v>343</v>
      </c>
      <c r="W260" s="1">
        <f>knicks_players_all_stats[[#This Row],[REB44]]/10</f>
        <v>515</v>
      </c>
      <c r="X260">
        <v>1720</v>
      </c>
      <c r="Y260">
        <v>3430</v>
      </c>
      <c r="Z260">
        <v>5150</v>
      </c>
      <c r="AA260" s="14">
        <f>knicks_players_all_stats[[#This Row],[REB]]/knicks_players_all_stats[[#This Row],[GP]]</f>
        <v>6.6883116883116882</v>
      </c>
      <c r="AB260" s="1">
        <v>63</v>
      </c>
      <c r="AC260" s="4">
        <f>knicks_players_all_stats[[#This Row],[AST]]/knicks_players_all_stats[[#This Row],[GP]]</f>
        <v>0.81818181818181823</v>
      </c>
      <c r="AD260" s="1">
        <f>knicks_players_all_stats[[#This Row],[STL2]]/10</f>
        <v>61</v>
      </c>
      <c r="AE260" s="1">
        <v>610</v>
      </c>
      <c r="AF260" s="4">
        <f>knicks_players_all_stats[[#This Row],[STL]]/knicks_players_all_stats[[#This Row],[GP]]</f>
        <v>0.79220779220779225</v>
      </c>
      <c r="AG260">
        <v>690</v>
      </c>
      <c r="AH260" s="1">
        <f>knicks_players_all_stats[[#This Row],[BLK2]]/10</f>
        <v>69</v>
      </c>
      <c r="AI260" s="4">
        <f>knicks_players_all_stats[[#This Row],[BLK]]/knicks_players_all_stats[[#This Row],[GP]]</f>
        <v>0.89610389610389607</v>
      </c>
      <c r="AJ260">
        <v>990</v>
      </c>
      <c r="AK260" s="4">
        <f>knicks_players_all_stats[[#This Row],[BLKPG]]+knicks_players_all_stats[[#This Row],[STLPG]]+knicks_players_all_stats[[#This Row],[REBPG]]</f>
        <v>8.3766233766233764</v>
      </c>
      <c r="AL260" s="1">
        <f>knicks_players_all_stats[[#This Row],[TOV2]]/10</f>
        <v>99</v>
      </c>
      <c r="AM260" s="4">
        <f>knicks_players_all_stats[[#This Row],[TOV]]/knicks_players_all_stats[[#This Row],[GP]]</f>
        <v>1.2857142857142858</v>
      </c>
      <c r="AN260" s="1">
        <v>287</v>
      </c>
      <c r="AO260" s="1">
        <f>knicks_players_all_stats[[#This Row],[PF]]/knicks_players_all_stats[[#This Row],[GP]]</f>
        <v>3.7272727272727271</v>
      </c>
      <c r="AP260" s="1">
        <v>800</v>
      </c>
      <c r="AQ260" s="4">
        <f>knicks_players_all_stats[[#This Row],[PTS]]/knicks_players_all_stats[[#This Row],[GP]]</f>
        <v>10.38961038961039</v>
      </c>
    </row>
    <row r="261" spans="1:43" customFormat="1" x14ac:dyDescent="0.3">
      <c r="A261" s="1" t="s">
        <v>1758</v>
      </c>
      <c r="B261" s="1" t="s">
        <v>1300</v>
      </c>
      <c r="C261" s="1" t="str">
        <f>knicks_players_all_stats[[#This Row],[NAME]]&amp;" ("&amp;knicks_players_all_stats[[#This Row],[SEASON]]&amp;")"</f>
        <v>Channing Frye (2005-06)</v>
      </c>
      <c r="D261" s="1">
        <f>knicks_players_all_stats[[#This Row],[PLAYER_AGE]]/10</f>
        <v>23</v>
      </c>
      <c r="E261">
        <v>230</v>
      </c>
      <c r="F261" s="1">
        <v>65</v>
      </c>
      <c r="G261" s="1">
        <v>15720</v>
      </c>
      <c r="H2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634</v>
      </c>
      <c r="I261" s="4">
        <f>knicks_players_all_stats[[#This Row],[VALORATION]]/knicks_players_all_stats[[#This Row],[GP]]</f>
        <v>9.7538461538461547</v>
      </c>
      <c r="J261" s="1">
        <v>305</v>
      </c>
      <c r="K261" s="1">
        <v>640</v>
      </c>
      <c r="L261" s="1">
        <v>477</v>
      </c>
      <c r="M261" s="4">
        <f>knicks_players_all_stats[[#This Row],[FG3M2]]/10</f>
        <v>3</v>
      </c>
      <c r="N261" s="1">
        <v>30</v>
      </c>
      <c r="O261" s="1">
        <f>knicks_players_all_stats[[#This Row],[FG3A2]]/10</f>
        <v>9</v>
      </c>
      <c r="P261" s="1">
        <v>90</v>
      </c>
      <c r="Q261" s="2">
        <f>knicks_players_all_stats[[#This Row],[FG3M2]]/knicks_players_all_stats[[#This Row],[FG3A2]]</f>
        <v>0.33333333333333331</v>
      </c>
      <c r="R261" s="1">
        <v>189</v>
      </c>
      <c r="S261" s="1">
        <v>229</v>
      </c>
      <c r="T261" s="3">
        <f>knicks_players_all_stats[[#This Row],[FTM]]/knicks_players_all_stats[[#This Row],[FTA]]</f>
        <v>0.8253275109170306</v>
      </c>
      <c r="U261" s="1">
        <f>knicks_players_all_stats[[#This Row],[OREB22]]/10</f>
        <v>138</v>
      </c>
      <c r="V261" s="1">
        <f>knicks_players_all_stats[[#This Row],[DREB33]]/10</f>
        <v>236</v>
      </c>
      <c r="W261" s="1">
        <f>knicks_players_all_stats[[#This Row],[REB44]]/10</f>
        <v>374</v>
      </c>
      <c r="X261">
        <v>1380</v>
      </c>
      <c r="Y261">
        <v>2360</v>
      </c>
      <c r="Z261">
        <v>3740</v>
      </c>
      <c r="AA261" s="14">
        <f>knicks_players_all_stats[[#This Row],[REB]]/knicks_players_all_stats[[#This Row],[GP]]</f>
        <v>5.7538461538461538</v>
      </c>
      <c r="AB261" s="1">
        <v>53</v>
      </c>
      <c r="AC261" s="4">
        <f>knicks_players_all_stats[[#This Row],[AST]]/knicks_players_all_stats[[#This Row],[GP]]</f>
        <v>0.81538461538461537</v>
      </c>
      <c r="AD261" s="1">
        <f>knicks_players_all_stats[[#This Row],[STL2]]/10</f>
        <v>30</v>
      </c>
      <c r="AE261" s="1">
        <v>300</v>
      </c>
      <c r="AF261" s="4">
        <f>knicks_players_all_stats[[#This Row],[STL]]/knicks_players_all_stats[[#This Row],[GP]]</f>
        <v>0.46153846153846156</v>
      </c>
      <c r="AG261">
        <v>470</v>
      </c>
      <c r="AH261" s="1">
        <f>knicks_players_all_stats[[#This Row],[BLK2]]/10</f>
        <v>47</v>
      </c>
      <c r="AI261" s="4">
        <f>knicks_players_all_stats[[#This Row],[BLK]]/knicks_players_all_stats[[#This Row],[GP]]</f>
        <v>0.72307692307692306</v>
      </c>
      <c r="AJ261">
        <v>970</v>
      </c>
      <c r="AK261" s="4">
        <f>knicks_players_all_stats[[#This Row],[BLKPG]]+knicks_players_all_stats[[#This Row],[STLPG]]+knicks_players_all_stats[[#This Row],[REBPG]]</f>
        <v>6.9384615384615387</v>
      </c>
      <c r="AL261" s="1">
        <f>knicks_players_all_stats[[#This Row],[TOV2]]/10</f>
        <v>97</v>
      </c>
      <c r="AM261" s="4">
        <f>knicks_players_all_stats[[#This Row],[TOV]]/knicks_players_all_stats[[#This Row],[GP]]</f>
        <v>1.4923076923076923</v>
      </c>
      <c r="AN261" s="1">
        <v>200</v>
      </c>
      <c r="AO261" s="1">
        <f>knicks_players_all_stats[[#This Row],[PF]]/knicks_players_all_stats[[#This Row],[GP]]</f>
        <v>3.0769230769230771</v>
      </c>
      <c r="AP261" s="1">
        <v>802</v>
      </c>
      <c r="AQ261" s="4">
        <f>knicks_players_all_stats[[#This Row],[PTS]]/knicks_players_all_stats[[#This Row],[GP]]</f>
        <v>12.338461538461539</v>
      </c>
    </row>
    <row r="262" spans="1:43" customFormat="1" x14ac:dyDescent="0.3">
      <c r="A262" s="1" t="s">
        <v>1607</v>
      </c>
      <c r="B262" s="1" t="s">
        <v>1337</v>
      </c>
      <c r="C262" s="1" t="str">
        <f>knicks_players_all_stats[[#This Row],[NAME]]&amp;" ("&amp;knicks_players_all_stats[[#This Row],[SEASON]]&amp;")"</f>
        <v>Tim Hardaway Jr. (2013-14)</v>
      </c>
      <c r="D262" s="1">
        <f>knicks_players_all_stats[[#This Row],[PLAYER_AGE]]/10</f>
        <v>22</v>
      </c>
      <c r="E262">
        <v>220</v>
      </c>
      <c r="F262" s="1">
        <v>81</v>
      </c>
      <c r="G262" s="1">
        <v>18750</v>
      </c>
      <c r="H2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456</v>
      </c>
      <c r="I262" s="4">
        <f>knicks_players_all_stats[[#This Row],[VALORATION]]/knicks_players_all_stats[[#This Row],[GP]]</f>
        <v>5.6296296296296298</v>
      </c>
      <c r="J262" s="1">
        <v>294</v>
      </c>
      <c r="K262" s="1">
        <v>687</v>
      </c>
      <c r="L262" s="2">
        <f>knicks_players_all_stats[[#This Row],[FGM]]/knicks_players_all_stats[[#This Row],[FGA]]</f>
        <v>0.42794759825327511</v>
      </c>
      <c r="M262" s="16">
        <f>knicks_players_all_stats[[#This Row],[FG3M2]]/10</f>
        <v>130</v>
      </c>
      <c r="N262" s="1">
        <v>1300</v>
      </c>
      <c r="O262" s="1">
        <f>knicks_players_all_stats[[#This Row],[FG3A2]]/10</f>
        <v>358</v>
      </c>
      <c r="P262" s="1">
        <v>3580</v>
      </c>
      <c r="Q262" s="2">
        <f>knicks_players_all_stats[[#This Row],[FG3M2]]/knicks_players_all_stats[[#This Row],[FG3A2]]</f>
        <v>0.36312849162011174</v>
      </c>
      <c r="R262" s="1">
        <v>106</v>
      </c>
      <c r="S262" s="1">
        <v>128</v>
      </c>
      <c r="T262" s="3">
        <f>knicks_players_all_stats[[#This Row],[FTM]]/knicks_players_all_stats[[#This Row],[FTA]]</f>
        <v>0.828125</v>
      </c>
      <c r="U262" s="1">
        <f>knicks_players_all_stats[[#This Row],[OREB22]]/10</f>
        <v>19</v>
      </c>
      <c r="V262" s="1">
        <f>knicks_players_all_stats[[#This Row],[DREB33]]/10</f>
        <v>102</v>
      </c>
      <c r="W262" s="1">
        <f>knicks_players_all_stats[[#This Row],[REB44]]/10</f>
        <v>121</v>
      </c>
      <c r="X262">
        <v>190</v>
      </c>
      <c r="Y262">
        <v>1020</v>
      </c>
      <c r="Z262">
        <v>1210</v>
      </c>
      <c r="AA262" s="14">
        <f>knicks_players_all_stats[[#This Row],[REB]]/knicks_players_all_stats[[#This Row],[GP]]</f>
        <v>1.4938271604938271</v>
      </c>
      <c r="AB262" s="1">
        <v>66</v>
      </c>
      <c r="AC262" s="4">
        <f>knicks_players_all_stats[[#This Row],[AST]]/knicks_players_all_stats[[#This Row],[GP]]</f>
        <v>0.81481481481481477</v>
      </c>
      <c r="AD262" s="1">
        <f>knicks_players_all_stats[[#This Row],[STL2]]/10</f>
        <v>44</v>
      </c>
      <c r="AE262" s="1">
        <v>440</v>
      </c>
      <c r="AF262" s="4">
        <f>knicks_players_all_stats[[#This Row],[STL]]/knicks_players_all_stats[[#This Row],[GP]]</f>
        <v>0.54320987654320985</v>
      </c>
      <c r="AG262">
        <v>70</v>
      </c>
      <c r="AH262" s="1">
        <f>knicks_players_all_stats[[#This Row],[BLK2]]/10</f>
        <v>7</v>
      </c>
      <c r="AI262" s="4">
        <f>knicks_players_all_stats[[#This Row],[BLK]]/knicks_players_all_stats[[#This Row],[GP]]</f>
        <v>8.6419753086419748E-2</v>
      </c>
      <c r="AJ262">
        <v>470</v>
      </c>
      <c r="AK262" s="4">
        <f>knicks_players_all_stats[[#This Row],[BLKPG]]+knicks_players_all_stats[[#This Row],[STLPG]]+knicks_players_all_stats[[#This Row],[REBPG]]</f>
        <v>2.1234567901234565</v>
      </c>
      <c r="AL262" s="1">
        <f>knicks_players_all_stats[[#This Row],[TOV2]]/10</f>
        <v>47</v>
      </c>
      <c r="AM262" s="4">
        <f>knicks_players_all_stats[[#This Row],[TOV]]/knicks_players_all_stats[[#This Row],[GP]]</f>
        <v>0.58024691358024694</v>
      </c>
      <c r="AN262" s="1">
        <v>144</v>
      </c>
      <c r="AO262" s="1">
        <f>knicks_players_all_stats[[#This Row],[PF]]/knicks_players_all_stats[[#This Row],[GP]]</f>
        <v>1.7777777777777777</v>
      </c>
      <c r="AP262" s="1">
        <v>824</v>
      </c>
      <c r="AQ262" s="4">
        <f>knicks_players_all_stats[[#This Row],[PTS]]/knicks_players_all_stats[[#This Row],[GP]]</f>
        <v>10.17283950617284</v>
      </c>
    </row>
    <row r="263" spans="1:43" customFormat="1" x14ac:dyDescent="0.3">
      <c r="A263" s="1" t="s">
        <v>1530</v>
      </c>
      <c r="B263" s="1" t="s">
        <v>1259</v>
      </c>
      <c r="C263" s="1" t="str">
        <f>knicks_players_all_stats[[#This Row],[NAME]]&amp;" ("&amp;knicks_players_all_stats[[#This Row],[SEASON]]&amp;")"</f>
        <v>Willy Hernangomez (2017-18)</v>
      </c>
      <c r="D263" s="1">
        <f>knicks_players_all_stats[[#This Row],[PLAYER_AGE]]/10</f>
        <v>24</v>
      </c>
      <c r="E263">
        <v>240</v>
      </c>
      <c r="F263" s="1">
        <v>26</v>
      </c>
      <c r="G263" s="1">
        <v>2330</v>
      </c>
      <c r="H2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108</v>
      </c>
      <c r="I263" s="4">
        <f>knicks_players_all_stats[[#This Row],[VALORATION]]/knicks_players_all_stats[[#This Row],[GP]]</f>
        <v>4.1538461538461542</v>
      </c>
      <c r="J263" s="1">
        <v>49</v>
      </c>
      <c r="K263" s="1">
        <v>81</v>
      </c>
      <c r="L263" s="2">
        <f>knicks_players_all_stats[[#This Row],[FGM]]/knicks_players_all_stats[[#This Row],[FGA]]</f>
        <v>0.60493827160493829</v>
      </c>
      <c r="M263" s="16">
        <f>knicks_players_all_stats[[#This Row],[FG3M2]]/10</f>
        <v>1</v>
      </c>
      <c r="N263" s="1">
        <v>10</v>
      </c>
      <c r="O263" s="1">
        <f>knicks_players_all_stats[[#This Row],[FG3A2]]/10</f>
        <v>5</v>
      </c>
      <c r="P263" s="1">
        <v>50</v>
      </c>
      <c r="Q263" s="2">
        <f>knicks_players_all_stats[[#This Row],[FG3M2]]/knicks_players_all_stats[[#This Row],[FG3A2]]</f>
        <v>0.2</v>
      </c>
      <c r="R263" s="1">
        <v>12</v>
      </c>
      <c r="S263" s="1">
        <v>28</v>
      </c>
      <c r="T263" s="3">
        <f>knicks_players_all_stats[[#This Row],[FTM]]/knicks_players_all_stats[[#This Row],[FTA]]</f>
        <v>0.42857142857142855</v>
      </c>
      <c r="U263" s="1">
        <f>knicks_players_all_stats[[#This Row],[OREB22]]/10</f>
        <v>22</v>
      </c>
      <c r="V263" s="1">
        <f>knicks_players_all_stats[[#This Row],[DREB33]]/10</f>
        <v>45</v>
      </c>
      <c r="W263" s="1">
        <f>knicks_players_all_stats[[#This Row],[REB44]]/10</f>
        <v>67</v>
      </c>
      <c r="X263">
        <v>220</v>
      </c>
      <c r="Y263">
        <v>450</v>
      </c>
      <c r="Z263">
        <v>670</v>
      </c>
      <c r="AA263" s="14">
        <f>knicks_players_all_stats[[#This Row],[REB]]/knicks_players_all_stats[[#This Row],[GP]]</f>
        <v>2.5769230769230771</v>
      </c>
      <c r="AB263" s="1">
        <v>21</v>
      </c>
      <c r="AC263" s="4">
        <f>knicks_players_all_stats[[#This Row],[AST]]/knicks_players_all_stats[[#This Row],[GP]]</f>
        <v>0.80769230769230771</v>
      </c>
      <c r="AD263" s="1">
        <f>knicks_players_all_stats[[#This Row],[STL2]]/10</f>
        <v>8</v>
      </c>
      <c r="AE263" s="1">
        <v>80</v>
      </c>
      <c r="AF263" s="4">
        <f>knicks_players_all_stats[[#This Row],[STL]]/knicks_players_all_stats[[#This Row],[GP]]</f>
        <v>0.30769230769230771</v>
      </c>
      <c r="AG263">
        <v>70</v>
      </c>
      <c r="AH263" s="1">
        <f>knicks_players_all_stats[[#This Row],[BLK2]]/10</f>
        <v>7</v>
      </c>
      <c r="AI263" s="4">
        <f>knicks_players_all_stats[[#This Row],[BLK]]/knicks_players_all_stats[[#This Row],[GP]]</f>
        <v>0.26923076923076922</v>
      </c>
      <c r="AJ263">
        <v>260</v>
      </c>
      <c r="AK263" s="4">
        <f>knicks_players_all_stats[[#This Row],[BLKPG]]+knicks_players_all_stats[[#This Row],[STLPG]]+knicks_players_all_stats[[#This Row],[REBPG]]</f>
        <v>3.1538461538461542</v>
      </c>
      <c r="AL263" s="1">
        <f>knicks_players_all_stats[[#This Row],[TOV2]]/10</f>
        <v>26</v>
      </c>
      <c r="AM263" s="4">
        <f>knicks_players_all_stats[[#This Row],[TOV]]/knicks_players_all_stats[[#This Row],[GP]]</f>
        <v>1</v>
      </c>
      <c r="AN263" s="1">
        <v>32</v>
      </c>
      <c r="AO263" s="1">
        <f>knicks_players_all_stats[[#This Row],[PF]]/knicks_players_all_stats[[#This Row],[GP]]</f>
        <v>1.2307692307692308</v>
      </c>
      <c r="AP263" s="1">
        <v>111</v>
      </c>
      <c r="AQ263" s="4">
        <f>knicks_players_all_stats[[#This Row],[PTS]]/knicks_players_all_stats[[#This Row],[GP]]</f>
        <v>4.2692307692307692</v>
      </c>
    </row>
    <row r="264" spans="1:43" customFormat="1" x14ac:dyDescent="0.3">
      <c r="A264" s="1" t="s">
        <v>1710</v>
      </c>
      <c r="B264" s="1" t="s">
        <v>1289</v>
      </c>
      <c r="C264" s="1" t="str">
        <f>knicks_players_all_stats[[#This Row],[NAME]]&amp;" ("&amp;knicks_players_all_stats[[#This Row],[SEASON]]&amp;")"</f>
        <v>Taj Gibson (2020-21)</v>
      </c>
      <c r="D264" s="1">
        <f>knicks_players_all_stats[[#This Row],[PLAYER_AGE]]/10</f>
        <v>36</v>
      </c>
      <c r="E264">
        <v>360</v>
      </c>
      <c r="F264" s="1">
        <v>45</v>
      </c>
      <c r="G264" s="1">
        <v>9360</v>
      </c>
      <c r="H2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412</v>
      </c>
      <c r="I264" s="4">
        <f>knicks_players_all_stats[[#This Row],[VALORATION]]/knicks_players_all_stats[[#This Row],[GP]]</f>
        <v>9.155555555555555</v>
      </c>
      <c r="J264" s="1">
        <v>99</v>
      </c>
      <c r="K264" s="1">
        <v>158</v>
      </c>
      <c r="L264" s="1">
        <v>627</v>
      </c>
      <c r="M264" s="4">
        <f>knicks_players_all_stats[[#This Row],[FG3M2]]/10</f>
        <v>3</v>
      </c>
      <c r="N264" s="1">
        <v>30</v>
      </c>
      <c r="O264" s="1">
        <f>knicks_players_all_stats[[#This Row],[FG3A2]]/10</f>
        <v>15</v>
      </c>
      <c r="P264" s="1">
        <v>150</v>
      </c>
      <c r="Q264" s="2">
        <f>knicks_players_all_stats[[#This Row],[FG3M2]]/knicks_players_all_stats[[#This Row],[FG3A2]]</f>
        <v>0.2</v>
      </c>
      <c r="R264" s="1">
        <v>40</v>
      </c>
      <c r="S264" s="1">
        <v>55</v>
      </c>
      <c r="T264" s="3">
        <f>knicks_players_all_stats[[#This Row],[FTM]]/knicks_players_all_stats[[#This Row],[FTA]]</f>
        <v>0.72727272727272729</v>
      </c>
      <c r="U264" s="1">
        <f>knicks_players_all_stats[[#This Row],[OREB22]]/10</f>
        <v>99</v>
      </c>
      <c r="V264" s="1">
        <f>knicks_players_all_stats[[#This Row],[DREB33]]/10</f>
        <v>151</v>
      </c>
      <c r="W264" s="1">
        <f>knicks_players_all_stats[[#This Row],[REB44]]/10</f>
        <v>250</v>
      </c>
      <c r="X264">
        <v>990</v>
      </c>
      <c r="Y264">
        <v>1510</v>
      </c>
      <c r="Z264">
        <v>2500</v>
      </c>
      <c r="AA264" s="14">
        <f>knicks_players_all_stats[[#This Row],[REB]]/knicks_players_all_stats[[#This Row],[GP]]</f>
        <v>5.5555555555555554</v>
      </c>
      <c r="AB264" s="1">
        <v>36</v>
      </c>
      <c r="AC264" s="4">
        <f>knicks_players_all_stats[[#This Row],[AST]]/knicks_players_all_stats[[#This Row],[GP]]</f>
        <v>0.8</v>
      </c>
      <c r="AD264" s="1">
        <f>knicks_players_all_stats[[#This Row],[STL2]]/10</f>
        <v>31</v>
      </c>
      <c r="AE264" s="1">
        <v>310</v>
      </c>
      <c r="AF264" s="4">
        <f>knicks_players_all_stats[[#This Row],[STL]]/knicks_players_all_stats[[#This Row],[GP]]</f>
        <v>0.68888888888888888</v>
      </c>
      <c r="AG264">
        <v>490</v>
      </c>
      <c r="AH264" s="1">
        <f>knicks_players_all_stats[[#This Row],[BLK2]]/10</f>
        <v>49</v>
      </c>
      <c r="AI264" s="4">
        <f>knicks_players_all_stats[[#This Row],[BLK]]/knicks_players_all_stats[[#This Row],[GP]]</f>
        <v>1.0888888888888888</v>
      </c>
      <c r="AJ264">
        <v>220</v>
      </c>
      <c r="AK264" s="4">
        <f>knicks_players_all_stats[[#This Row],[BLKPG]]+knicks_players_all_stats[[#This Row],[STLPG]]+knicks_players_all_stats[[#This Row],[REBPG]]</f>
        <v>7.333333333333333</v>
      </c>
      <c r="AL264" s="1">
        <f>knicks_players_all_stats[[#This Row],[TOV2]]/10</f>
        <v>22</v>
      </c>
      <c r="AM264" s="4">
        <f>knicks_players_all_stats[[#This Row],[TOV]]/knicks_players_all_stats[[#This Row],[GP]]</f>
        <v>0.48888888888888887</v>
      </c>
      <c r="AN264" s="1">
        <v>99</v>
      </c>
      <c r="AO264" s="1">
        <f>knicks_players_all_stats[[#This Row],[PF]]/knicks_players_all_stats[[#This Row],[GP]]</f>
        <v>2.2000000000000002</v>
      </c>
      <c r="AP264" s="1">
        <v>241</v>
      </c>
      <c r="AQ264" s="4">
        <f>knicks_players_all_stats[[#This Row],[PTS]]/knicks_players_all_stats[[#This Row],[GP]]</f>
        <v>5.3555555555555552</v>
      </c>
    </row>
    <row r="265" spans="1:43" customFormat="1" x14ac:dyDescent="0.3">
      <c r="A265" s="1" t="s">
        <v>1788</v>
      </c>
      <c r="B265" s="1" t="s">
        <v>1300</v>
      </c>
      <c r="C265" s="1" t="str">
        <f>knicks_players_all_stats[[#This Row],[NAME]]&amp;" ("&amp;knicks_players_all_stats[[#This Row],[SEASON]]&amp;")"</f>
        <v>Maurice Taylor (2005-06)</v>
      </c>
      <c r="D265" s="1">
        <f>knicks_players_all_stats[[#This Row],[PLAYER_AGE]]/10</f>
        <v>29</v>
      </c>
      <c r="E265">
        <v>290</v>
      </c>
      <c r="F265" s="1">
        <v>67</v>
      </c>
      <c r="G265" s="1">
        <v>12100</v>
      </c>
      <c r="H2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227</v>
      </c>
      <c r="I265" s="4">
        <f>knicks_players_all_stats[[#This Row],[VALORATION]]/knicks_players_all_stats[[#This Row],[GP]]</f>
        <v>3.3880597014925371</v>
      </c>
      <c r="J265" s="1">
        <v>182</v>
      </c>
      <c r="K265" s="1">
        <v>389</v>
      </c>
      <c r="L265" s="1">
        <v>468</v>
      </c>
      <c r="M265" s="4">
        <f>knicks_players_all_stats[[#This Row],[FG3M2]]/10</f>
        <v>0</v>
      </c>
      <c r="N265" s="1">
        <v>0</v>
      </c>
      <c r="O265" s="1">
        <f>knicks_players_all_stats[[#This Row],[FG3A2]]/10</f>
        <v>1</v>
      </c>
      <c r="P265" s="1">
        <v>10</v>
      </c>
      <c r="Q265" s="2">
        <f>knicks_players_all_stats[[#This Row],[FG3M2]]/knicks_players_all_stats[[#This Row],[FG3A2]]</f>
        <v>0</v>
      </c>
      <c r="R265" s="1">
        <v>58</v>
      </c>
      <c r="S265" s="1">
        <v>83</v>
      </c>
      <c r="T265" s="3">
        <f>knicks_players_all_stats[[#This Row],[FTM]]/knicks_players_all_stats[[#This Row],[FTA]]</f>
        <v>0.6987951807228916</v>
      </c>
      <c r="U265" s="1">
        <f>knicks_players_all_stats[[#This Row],[OREB22]]/10</f>
        <v>65</v>
      </c>
      <c r="V265" s="1">
        <f>knicks_players_all_stats[[#This Row],[DREB33]]/10</f>
        <v>164</v>
      </c>
      <c r="W265" s="1">
        <f>knicks_players_all_stats[[#This Row],[REB44]]/10</f>
        <v>229</v>
      </c>
      <c r="X265">
        <v>650</v>
      </c>
      <c r="Y265">
        <v>1640</v>
      </c>
      <c r="Z265">
        <v>2290</v>
      </c>
      <c r="AA265" s="14">
        <f>knicks_players_all_stats[[#This Row],[REB]]/knicks_players_all_stats[[#This Row],[GP]]</f>
        <v>3.4179104477611939</v>
      </c>
      <c r="AB265" s="1">
        <v>53</v>
      </c>
      <c r="AC265" s="4">
        <f>knicks_players_all_stats[[#This Row],[AST]]/knicks_players_all_stats[[#This Row],[GP]]</f>
        <v>0.79104477611940294</v>
      </c>
      <c r="AD265" s="1">
        <f>knicks_players_all_stats[[#This Row],[STL2]]/10</f>
        <v>21</v>
      </c>
      <c r="AE265" s="1">
        <v>210</v>
      </c>
      <c r="AF265" s="4">
        <f>knicks_players_all_stats[[#This Row],[STL]]/knicks_players_all_stats[[#This Row],[GP]]</f>
        <v>0.31343283582089554</v>
      </c>
      <c r="AG265">
        <v>140</v>
      </c>
      <c r="AH265" s="1">
        <f>knicks_players_all_stats[[#This Row],[BLK2]]/10</f>
        <v>14</v>
      </c>
      <c r="AI265" s="4">
        <f>knicks_players_all_stats[[#This Row],[BLK]]/knicks_players_all_stats[[#This Row],[GP]]</f>
        <v>0.20895522388059701</v>
      </c>
      <c r="AJ265">
        <v>1030</v>
      </c>
      <c r="AK265" s="4">
        <f>knicks_players_all_stats[[#This Row],[BLKPG]]+knicks_players_all_stats[[#This Row],[STLPG]]+knicks_players_all_stats[[#This Row],[REBPG]]</f>
        <v>3.9402985074626864</v>
      </c>
      <c r="AL265" s="1">
        <f>knicks_players_all_stats[[#This Row],[TOV2]]/10</f>
        <v>103</v>
      </c>
      <c r="AM265" s="4">
        <f>knicks_players_all_stats[[#This Row],[TOV]]/knicks_players_all_stats[[#This Row],[GP]]</f>
        <v>1.5373134328358209</v>
      </c>
      <c r="AN265" s="1">
        <v>177</v>
      </c>
      <c r="AO265" s="1">
        <f>knicks_players_all_stats[[#This Row],[PF]]/knicks_players_all_stats[[#This Row],[GP]]</f>
        <v>2.6417910447761193</v>
      </c>
      <c r="AP265" s="1">
        <v>422</v>
      </c>
      <c r="AQ265" s="4">
        <f>knicks_players_all_stats[[#This Row],[PTS]]/knicks_players_all_stats[[#This Row],[GP]]</f>
        <v>6.2985074626865671</v>
      </c>
    </row>
    <row r="266" spans="1:43" x14ac:dyDescent="0.3">
      <c r="A266" s="1" t="s">
        <v>1824</v>
      </c>
      <c r="B266" s="1" t="s">
        <v>1343</v>
      </c>
      <c r="C266" s="1" t="str">
        <f>knicks_players_all_stats[[#This Row],[NAME]]&amp;" ("&amp;knicks_players_all_stats[[#This Row],[SEASON]]&amp;")"</f>
        <v>Travis Wear (2014-15)</v>
      </c>
      <c r="D266" s="1">
        <f>knicks_players_all_stats[[#This Row],[PLAYER_AGE]]/10</f>
        <v>24</v>
      </c>
      <c r="E266">
        <v>240</v>
      </c>
      <c r="F266" s="1">
        <v>51</v>
      </c>
      <c r="G266" s="1">
        <v>6720</v>
      </c>
      <c r="H2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150</v>
      </c>
      <c r="I266" s="4">
        <f>knicks_players_all_stats[[#This Row],[VALORATION]]/knicks_players_all_stats[[#This Row],[GP]]</f>
        <v>2.9411764705882355</v>
      </c>
      <c r="J266" s="1">
        <v>84</v>
      </c>
      <c r="K266" s="1">
        <v>209</v>
      </c>
      <c r="L266" s="1">
        <v>402</v>
      </c>
      <c r="M266" s="4">
        <f>knicks_players_all_stats[[#This Row],[FG3M2]]/10</f>
        <v>11</v>
      </c>
      <c r="N266" s="1">
        <v>110</v>
      </c>
      <c r="O266" s="1">
        <f>knicks_players_all_stats[[#This Row],[FG3A2]]/10</f>
        <v>30</v>
      </c>
      <c r="P266" s="1">
        <v>300</v>
      </c>
      <c r="Q266" s="2">
        <f>knicks_players_all_stats[[#This Row],[FG3M2]]/knicks_players_all_stats[[#This Row],[FG3A2]]</f>
        <v>0.36666666666666664</v>
      </c>
      <c r="R266" s="1">
        <v>20</v>
      </c>
      <c r="S266" s="1">
        <v>26</v>
      </c>
      <c r="T266" s="3">
        <f>knicks_players_all_stats[[#This Row],[FTM]]/knicks_players_all_stats[[#This Row],[FTA]]</f>
        <v>0.76923076923076927</v>
      </c>
      <c r="U266" s="1">
        <f>knicks_players_all_stats[[#This Row],[OREB22]]/10</f>
        <v>31</v>
      </c>
      <c r="V266" s="1">
        <f>knicks_players_all_stats[[#This Row],[DREB33]]/10</f>
        <v>75</v>
      </c>
      <c r="W266" s="1">
        <f>knicks_players_all_stats[[#This Row],[REB44]]/10</f>
        <v>106</v>
      </c>
      <c r="X266">
        <v>310</v>
      </c>
      <c r="Y266">
        <v>750</v>
      </c>
      <c r="Z266">
        <v>1060</v>
      </c>
      <c r="AA266" s="14">
        <f>knicks_players_all_stats[[#This Row],[REB]]/knicks_players_all_stats[[#This Row],[GP]]</f>
        <v>2.0784313725490198</v>
      </c>
      <c r="AB266" s="1">
        <v>40</v>
      </c>
      <c r="AC266" s="4">
        <f>knicks_players_all_stats[[#This Row],[AST]]/knicks_players_all_stats[[#This Row],[GP]]</f>
        <v>0.78431372549019607</v>
      </c>
      <c r="AD266" s="1">
        <f>knicks_players_all_stats[[#This Row],[STL2]]/10</f>
        <v>15</v>
      </c>
      <c r="AE266" s="1">
        <v>150</v>
      </c>
      <c r="AF266" s="4">
        <f>knicks_players_all_stats[[#This Row],[STL]]/knicks_players_all_stats[[#This Row],[GP]]</f>
        <v>0.29411764705882354</v>
      </c>
      <c r="AG266">
        <v>110</v>
      </c>
      <c r="AH266" s="1">
        <f>knicks_players_all_stats[[#This Row],[BLK2]]/10</f>
        <v>11</v>
      </c>
      <c r="AI266" s="4">
        <f>knicks_players_all_stats[[#This Row],[BLK]]/knicks_players_all_stats[[#This Row],[GP]]</f>
        <v>0.21568627450980393</v>
      </c>
      <c r="AJ266">
        <v>350</v>
      </c>
      <c r="AK266" s="4">
        <f>knicks_players_all_stats[[#This Row],[BLKPG]]+knicks_players_all_stats[[#This Row],[STLPG]]+knicks_players_all_stats[[#This Row],[REBPG]]</f>
        <v>2.5882352941176472</v>
      </c>
      <c r="AL266" s="1">
        <f>knicks_players_all_stats[[#This Row],[TOV2]]/10</f>
        <v>35</v>
      </c>
      <c r="AM266" s="4">
        <f>knicks_players_all_stats[[#This Row],[TOV]]/knicks_players_all_stats[[#This Row],[GP]]</f>
        <v>0.68627450980392157</v>
      </c>
      <c r="AN266" s="1">
        <v>55</v>
      </c>
      <c r="AO266" s="1">
        <f>knicks_players_all_stats[[#This Row],[PF]]/knicks_players_all_stats[[#This Row],[GP]]</f>
        <v>1.0784313725490196</v>
      </c>
      <c r="AP266" s="1">
        <v>199</v>
      </c>
      <c r="AQ266" s="4">
        <f>knicks_players_all_stats[[#This Row],[PTS]]/knicks_players_all_stats[[#This Row],[GP]]</f>
        <v>3.9019607843137254</v>
      </c>
    </row>
    <row r="267" spans="1:43" x14ac:dyDescent="0.3">
      <c r="A267" s="1" t="s">
        <v>1471</v>
      </c>
      <c r="B267" s="1" t="s">
        <v>1312</v>
      </c>
      <c r="C267" s="1" t="str">
        <f>knicks_players_all_stats[[#This Row],[NAME]]&amp;" ("&amp;knicks_players_all_stats[[#This Row],[SEASON]]&amp;")"</f>
        <v>Roger Mason Jr. (2010-11)</v>
      </c>
      <c r="D267" s="1">
        <f>knicks_players_all_stats[[#This Row],[PLAYER_AGE]]/10</f>
        <v>30</v>
      </c>
      <c r="E267">
        <v>300</v>
      </c>
      <c r="F267" s="1">
        <v>26</v>
      </c>
      <c r="G267" s="1">
        <v>3190</v>
      </c>
      <c r="H2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61</v>
      </c>
      <c r="I267" s="4">
        <f>knicks_players_all_stats[[#This Row],[VALORATION]]/knicks_players_all_stats[[#This Row],[GP]]</f>
        <v>2.3461538461538463</v>
      </c>
      <c r="J267" s="1">
        <v>26</v>
      </c>
      <c r="K267" s="1">
        <v>77</v>
      </c>
      <c r="L267" s="2">
        <f>knicks_players_all_stats[[#This Row],[FGM]]/knicks_players_all_stats[[#This Row],[FGA]]</f>
        <v>0.33766233766233766</v>
      </c>
      <c r="M267" s="16">
        <f>knicks_players_all_stats[[#This Row],[FG3M2]]/10</f>
        <v>16</v>
      </c>
      <c r="N267" s="1">
        <v>160</v>
      </c>
      <c r="O267" s="1">
        <f>knicks_players_all_stats[[#This Row],[FG3A2]]/10</f>
        <v>44</v>
      </c>
      <c r="P267" s="1">
        <v>440</v>
      </c>
      <c r="Q267" s="2">
        <f>knicks_players_all_stats[[#This Row],[FG3M2]]/knicks_players_all_stats[[#This Row],[FG3A2]]</f>
        <v>0.36363636363636365</v>
      </c>
      <c r="R267" s="1">
        <v>7</v>
      </c>
      <c r="S267" s="1">
        <v>10</v>
      </c>
      <c r="T267" s="3">
        <f>knicks_players_all_stats[[#This Row],[FTM]]/knicks_players_all_stats[[#This Row],[FTA]]</f>
        <v>0.7</v>
      </c>
      <c r="U267" s="1">
        <f>knicks_players_all_stats[[#This Row],[OREB22]]/10</f>
        <v>5</v>
      </c>
      <c r="V267" s="1">
        <f>knicks_players_all_stats[[#This Row],[DREB33]]/10</f>
        <v>38</v>
      </c>
      <c r="W267" s="1">
        <f>knicks_players_all_stats[[#This Row],[REB44]]/10</f>
        <v>43</v>
      </c>
      <c r="X267">
        <v>50</v>
      </c>
      <c r="Y267">
        <v>380</v>
      </c>
      <c r="Z267">
        <v>430</v>
      </c>
      <c r="AA267" s="14">
        <f>knicks_players_all_stats[[#This Row],[REB]]/knicks_players_all_stats[[#This Row],[GP]]</f>
        <v>1.6538461538461537</v>
      </c>
      <c r="AB267" s="1">
        <v>20</v>
      </c>
      <c r="AC267" s="4">
        <f>knicks_players_all_stats[[#This Row],[AST]]/knicks_players_all_stats[[#This Row],[GP]]</f>
        <v>0.76923076923076927</v>
      </c>
      <c r="AD267" s="1">
        <f>knicks_players_all_stats[[#This Row],[STL2]]/10</f>
        <v>6</v>
      </c>
      <c r="AE267" s="1">
        <v>60</v>
      </c>
      <c r="AF267" s="4">
        <f>knicks_players_all_stats[[#This Row],[STL]]/knicks_players_all_stats[[#This Row],[GP]]</f>
        <v>0.23076923076923078</v>
      </c>
      <c r="AG267">
        <v>20</v>
      </c>
      <c r="AH267" s="1">
        <f>knicks_players_all_stats[[#This Row],[BLK2]]/10</f>
        <v>2</v>
      </c>
      <c r="AI267" s="4">
        <f>knicks_players_all_stats[[#This Row],[BLK]]/knicks_players_all_stats[[#This Row],[GP]]</f>
        <v>7.6923076923076927E-2</v>
      </c>
      <c r="AJ267">
        <v>60</v>
      </c>
      <c r="AK267" s="4">
        <f>knicks_players_all_stats[[#This Row],[BLKPG]]+knicks_players_all_stats[[#This Row],[STLPG]]+knicks_players_all_stats[[#This Row],[REBPG]]</f>
        <v>1.9615384615384615</v>
      </c>
      <c r="AL267" s="1">
        <f>knicks_players_all_stats[[#This Row],[TOV2]]/10</f>
        <v>6</v>
      </c>
      <c r="AM267" s="4">
        <f>knicks_players_all_stats[[#This Row],[TOV]]/knicks_players_all_stats[[#This Row],[GP]]</f>
        <v>0.23076923076923078</v>
      </c>
      <c r="AN267" s="1">
        <v>25</v>
      </c>
      <c r="AO267" s="1">
        <f>knicks_players_all_stats[[#This Row],[PF]]/knicks_players_all_stats[[#This Row],[GP]]</f>
        <v>0.96153846153846156</v>
      </c>
      <c r="AP267" s="1">
        <v>75</v>
      </c>
      <c r="AQ267" s="4">
        <f>knicks_players_all_stats[[#This Row],[PTS]]/knicks_players_all_stats[[#This Row],[GP]]</f>
        <v>2.8846153846153846</v>
      </c>
    </row>
    <row r="268" spans="1:43" x14ac:dyDescent="0.3">
      <c r="A268" s="1" t="s">
        <v>1841</v>
      </c>
      <c r="B268" s="1" t="s">
        <v>1312</v>
      </c>
      <c r="C268" s="1" t="str">
        <f>knicks_players_all_stats[[#This Row],[NAME]]&amp;" ("&amp;knicks_players_all_stats[[#This Row],[SEASON]]&amp;")"</f>
        <v>Shelden Williams (2010-11)</v>
      </c>
      <c r="D268" s="1">
        <f>knicks_players_all_stats[[#This Row],[PLAYER_AGE]]/10</f>
        <v>27</v>
      </c>
      <c r="E268">
        <v>270</v>
      </c>
      <c r="F268" s="1">
        <v>17</v>
      </c>
      <c r="G268" s="1">
        <v>1980</v>
      </c>
      <c r="H2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75</v>
      </c>
      <c r="I268" s="4">
        <f>knicks_players_all_stats[[#This Row],[VALORATION]]/knicks_players_all_stats[[#This Row],[GP]]</f>
        <v>4.4117647058823533</v>
      </c>
      <c r="J268" s="1">
        <v>21</v>
      </c>
      <c r="K268" s="1">
        <v>39</v>
      </c>
      <c r="L268" s="1">
        <v>538</v>
      </c>
      <c r="M268" s="4">
        <f>knicks_players_all_stats[[#This Row],[FG3M2]]/10</f>
        <v>0</v>
      </c>
      <c r="N268" s="1">
        <v>0</v>
      </c>
      <c r="O268" s="1">
        <f>knicks_players_all_stats[[#This Row],[FG3A2]]/10</f>
        <v>0</v>
      </c>
      <c r="P268" s="1">
        <v>0</v>
      </c>
      <c r="Q268" s="2" t="e">
        <f>knicks_players_all_stats[[#This Row],[FG3M2]]/knicks_players_all_stats[[#This Row],[FG3A2]]</f>
        <v>#DIV/0!</v>
      </c>
      <c r="R268" s="1">
        <v>24</v>
      </c>
      <c r="S268" s="1">
        <v>29</v>
      </c>
      <c r="T268" s="3">
        <f>knicks_players_all_stats[[#This Row],[FTM]]/knicks_players_all_stats[[#This Row],[FTA]]</f>
        <v>0.82758620689655171</v>
      </c>
      <c r="U268" s="1">
        <f>knicks_players_all_stats[[#This Row],[OREB22]]/10</f>
        <v>19</v>
      </c>
      <c r="V268" s="1">
        <f>knicks_players_all_stats[[#This Row],[DREB33]]/10</f>
        <v>31</v>
      </c>
      <c r="W268" s="1">
        <f>knicks_players_all_stats[[#This Row],[REB44]]/10</f>
        <v>50</v>
      </c>
      <c r="X268">
        <v>190</v>
      </c>
      <c r="Y268">
        <v>310</v>
      </c>
      <c r="Z268">
        <v>500</v>
      </c>
      <c r="AA268" s="14">
        <f>knicks_players_all_stats[[#This Row],[REB]]/knicks_players_all_stats[[#This Row],[GP]]</f>
        <v>2.9411764705882355</v>
      </c>
      <c r="AB268" s="1">
        <v>13</v>
      </c>
      <c r="AC268" s="4">
        <f>knicks_players_all_stats[[#This Row],[AST]]/knicks_players_all_stats[[#This Row],[GP]]</f>
        <v>0.76470588235294112</v>
      </c>
      <c r="AD268" s="1">
        <f>knicks_players_all_stats[[#This Row],[STL2]]/10</f>
        <v>5</v>
      </c>
      <c r="AE268" s="1">
        <v>50</v>
      </c>
      <c r="AF268" s="4">
        <f>knicks_players_all_stats[[#This Row],[STL]]/knicks_players_all_stats[[#This Row],[GP]]</f>
        <v>0.29411764705882354</v>
      </c>
      <c r="AG268">
        <v>40</v>
      </c>
      <c r="AH268" s="1">
        <f>knicks_players_all_stats[[#This Row],[BLK2]]/10</f>
        <v>4</v>
      </c>
      <c r="AI268" s="4">
        <f>knicks_players_all_stats[[#This Row],[BLK]]/knicks_players_all_stats[[#This Row],[GP]]</f>
        <v>0.23529411764705882</v>
      </c>
      <c r="AJ268">
        <v>60</v>
      </c>
      <c r="AK268" s="4">
        <f>knicks_players_all_stats[[#This Row],[BLKPG]]+knicks_players_all_stats[[#This Row],[STLPG]]+knicks_players_all_stats[[#This Row],[REBPG]]</f>
        <v>3.4705882352941178</v>
      </c>
      <c r="AL268" s="1">
        <f>knicks_players_all_stats[[#This Row],[TOV2]]/10</f>
        <v>6</v>
      </c>
      <c r="AM268" s="4">
        <f>knicks_players_all_stats[[#This Row],[TOV]]/knicks_players_all_stats[[#This Row],[GP]]</f>
        <v>0.35294117647058826</v>
      </c>
      <c r="AN268" s="1">
        <v>34</v>
      </c>
      <c r="AO268" s="1">
        <f>knicks_players_all_stats[[#This Row],[PF]]/knicks_players_all_stats[[#This Row],[GP]]</f>
        <v>2</v>
      </c>
      <c r="AP268" s="1">
        <v>66</v>
      </c>
      <c r="AQ268" s="4">
        <f>knicks_players_all_stats[[#This Row],[PTS]]/knicks_players_all_stats[[#This Row],[GP]]</f>
        <v>3.8823529411764706</v>
      </c>
    </row>
    <row r="269" spans="1:43" x14ac:dyDescent="0.3">
      <c r="A269" s="1" t="s">
        <v>1791</v>
      </c>
      <c r="B269" s="1" t="s">
        <v>1281</v>
      </c>
      <c r="C269" s="1" t="str">
        <f>knicks_players_all_stats[[#This Row],[NAME]]&amp;" ("&amp;knicks_players_all_stats[[#This Row],[SEASON]]&amp;")"</f>
        <v>Lance Thomas (2016-17)</v>
      </c>
      <c r="D269" s="1">
        <f>knicks_players_all_stats[[#This Row],[PLAYER_AGE]]/10</f>
        <v>29</v>
      </c>
      <c r="E269">
        <v>290</v>
      </c>
      <c r="F269" s="1">
        <v>46</v>
      </c>
      <c r="G269" s="1">
        <v>9680</v>
      </c>
      <c r="H2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213</v>
      </c>
      <c r="I269" s="4">
        <f>knicks_players_all_stats[[#This Row],[VALORATION]]/knicks_players_all_stats[[#This Row],[GP]]</f>
        <v>4.6304347826086953</v>
      </c>
      <c r="J269" s="1">
        <v>97</v>
      </c>
      <c r="K269" s="1">
        <v>244</v>
      </c>
      <c r="L269" s="1">
        <v>398</v>
      </c>
      <c r="M269" s="4">
        <f>knicks_players_all_stats[[#This Row],[FG3M2]]/10</f>
        <v>38</v>
      </c>
      <c r="N269" s="1">
        <v>380</v>
      </c>
      <c r="O269" s="1">
        <f>knicks_players_all_stats[[#This Row],[FG3A2]]/10</f>
        <v>85</v>
      </c>
      <c r="P269" s="1">
        <v>850</v>
      </c>
      <c r="Q269" s="2">
        <f>knicks_players_all_stats[[#This Row],[FG3M2]]/knicks_players_all_stats[[#This Row],[FG3A2]]</f>
        <v>0.44705882352941179</v>
      </c>
      <c r="R269" s="1">
        <v>43</v>
      </c>
      <c r="S269" s="1">
        <v>51</v>
      </c>
      <c r="T269" s="3">
        <f>knicks_players_all_stats[[#This Row],[FTM]]/knicks_players_all_stats[[#This Row],[FTA]]</f>
        <v>0.84313725490196079</v>
      </c>
      <c r="U269" s="1">
        <f>knicks_players_all_stats[[#This Row],[OREB22]]/10</f>
        <v>32</v>
      </c>
      <c r="V269" s="1">
        <f>knicks_players_all_stats[[#This Row],[DREB33]]/10</f>
        <v>110</v>
      </c>
      <c r="W269" s="1">
        <f>knicks_players_all_stats[[#This Row],[REB44]]/10</f>
        <v>142</v>
      </c>
      <c r="X269">
        <v>320</v>
      </c>
      <c r="Y269">
        <v>1100</v>
      </c>
      <c r="Z269">
        <v>1420</v>
      </c>
      <c r="AA269" s="14">
        <f>knicks_players_all_stats[[#This Row],[REB]]/knicks_players_all_stats[[#This Row],[GP]]</f>
        <v>3.0869565217391304</v>
      </c>
      <c r="AB269" s="1">
        <v>35</v>
      </c>
      <c r="AC269" s="4">
        <f>knicks_players_all_stats[[#This Row],[AST]]/knicks_players_all_stats[[#This Row],[GP]]</f>
        <v>0.76086956521739135</v>
      </c>
      <c r="AD269" s="1">
        <f>knicks_players_all_stats[[#This Row],[STL2]]/10</f>
        <v>21</v>
      </c>
      <c r="AE269" s="1">
        <v>210</v>
      </c>
      <c r="AF269" s="4">
        <f>knicks_players_all_stats[[#This Row],[STL]]/knicks_players_all_stats[[#This Row],[GP]]</f>
        <v>0.45652173913043476</v>
      </c>
      <c r="AG269">
        <v>50</v>
      </c>
      <c r="AH269" s="1">
        <f>knicks_players_all_stats[[#This Row],[BLK2]]/10</f>
        <v>5</v>
      </c>
      <c r="AI269" s="4">
        <f>knicks_players_all_stats[[#This Row],[BLK]]/knicks_players_all_stats[[#This Row],[GP]]</f>
        <v>0.10869565217391304</v>
      </c>
      <c r="AJ269">
        <v>250</v>
      </c>
      <c r="AK269" s="4">
        <f>knicks_players_all_stats[[#This Row],[BLKPG]]+knicks_players_all_stats[[#This Row],[STLPG]]+knicks_players_all_stats[[#This Row],[REBPG]]</f>
        <v>3.652173913043478</v>
      </c>
      <c r="AL269" s="1">
        <f>knicks_players_all_stats[[#This Row],[TOV2]]/10</f>
        <v>25</v>
      </c>
      <c r="AM269" s="4">
        <f>knicks_players_all_stats[[#This Row],[TOV]]/knicks_players_all_stats[[#This Row],[GP]]</f>
        <v>0.54347826086956519</v>
      </c>
      <c r="AN269" s="1">
        <v>85</v>
      </c>
      <c r="AO269" s="1">
        <f>knicks_players_all_stats[[#This Row],[PF]]/knicks_players_all_stats[[#This Row],[GP]]</f>
        <v>1.8478260869565217</v>
      </c>
      <c r="AP269" s="1">
        <v>275</v>
      </c>
      <c r="AQ269" s="4">
        <f>knicks_players_all_stats[[#This Row],[PTS]]/knicks_players_all_stats[[#This Row],[GP]]</f>
        <v>5.9782608695652177</v>
      </c>
    </row>
    <row r="270" spans="1:43" customFormat="1" x14ac:dyDescent="0.3">
      <c r="A270" s="1" t="s">
        <v>1806</v>
      </c>
      <c r="B270" s="1" t="s">
        <v>1300</v>
      </c>
      <c r="C270" s="1" t="str">
        <f>knicks_players_all_stats[[#This Row],[NAME]]&amp;" ("&amp;knicks_players_all_stats[[#This Row],[SEASON]]&amp;")"</f>
        <v>Ime Udoka (2005-06)</v>
      </c>
      <c r="D270" s="1">
        <f>knicks_players_all_stats[[#This Row],[PLAYER_AGE]]/10</f>
        <v>28</v>
      </c>
      <c r="E270">
        <v>280</v>
      </c>
      <c r="F270" s="1">
        <v>8</v>
      </c>
      <c r="G270" s="1">
        <v>1140</v>
      </c>
      <c r="H2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</v>
      </c>
      <c r="I270" s="4">
        <f>knicks_players_all_stats[[#This Row],[VALORATION]]/knicks_players_all_stats[[#This Row],[GP]]</f>
        <v>2.25</v>
      </c>
      <c r="J270" s="1">
        <v>9</v>
      </c>
      <c r="K270" s="1">
        <v>24</v>
      </c>
      <c r="L270" s="1">
        <v>375</v>
      </c>
      <c r="M270" s="4">
        <f>knicks_players_all_stats[[#This Row],[FG3M2]]/10</f>
        <v>1</v>
      </c>
      <c r="N270" s="1">
        <v>10</v>
      </c>
      <c r="O270" s="1">
        <f>knicks_players_all_stats[[#This Row],[FG3A2]]/10</f>
        <v>3</v>
      </c>
      <c r="P270" s="1">
        <v>30</v>
      </c>
      <c r="Q270" s="2">
        <f>knicks_players_all_stats[[#This Row],[FG3M2]]/knicks_players_all_stats[[#This Row],[FG3A2]]</f>
        <v>0.33333333333333331</v>
      </c>
      <c r="R270" s="1">
        <v>3</v>
      </c>
      <c r="S270" s="1">
        <v>6</v>
      </c>
      <c r="T270" s="3">
        <f>knicks_players_all_stats[[#This Row],[FTM]]/knicks_players_all_stats[[#This Row],[FTA]]</f>
        <v>0.5</v>
      </c>
      <c r="U270" s="1">
        <f>knicks_players_all_stats[[#This Row],[OREB22]]/10</f>
        <v>3</v>
      </c>
      <c r="V270" s="1">
        <f>knicks_players_all_stats[[#This Row],[DREB33]]/10</f>
        <v>14</v>
      </c>
      <c r="W270" s="1">
        <f>knicks_players_all_stats[[#This Row],[REB44]]/10</f>
        <v>17</v>
      </c>
      <c r="X270">
        <v>30</v>
      </c>
      <c r="Y270">
        <v>140</v>
      </c>
      <c r="Z270">
        <v>170</v>
      </c>
      <c r="AA270" s="14">
        <f>knicks_players_all_stats[[#This Row],[REB]]/knicks_players_all_stats[[#This Row],[GP]]</f>
        <v>2.125</v>
      </c>
      <c r="AB270" s="1">
        <v>6</v>
      </c>
      <c r="AC270" s="4">
        <f>knicks_players_all_stats[[#This Row],[AST]]/knicks_players_all_stats[[#This Row],[GP]]</f>
        <v>0.75</v>
      </c>
      <c r="AD270" s="1">
        <f>knicks_players_all_stats[[#This Row],[STL2]]/10</f>
        <v>1</v>
      </c>
      <c r="AE270" s="1">
        <v>10</v>
      </c>
      <c r="AF270" s="4">
        <f>knicks_players_all_stats[[#This Row],[STL]]/knicks_players_all_stats[[#This Row],[GP]]</f>
        <v>0.125</v>
      </c>
      <c r="AG270">
        <v>0</v>
      </c>
      <c r="AH270" s="1">
        <f>knicks_players_all_stats[[#This Row],[BLK2]]/10</f>
        <v>0</v>
      </c>
      <c r="AI270" s="4">
        <f>knicks_players_all_stats[[#This Row],[BLK]]/knicks_players_all_stats[[#This Row],[GP]]</f>
        <v>0</v>
      </c>
      <c r="AJ270">
        <v>20</v>
      </c>
      <c r="AK270" s="4">
        <f>knicks_players_all_stats[[#This Row],[BLKPG]]+knicks_players_all_stats[[#This Row],[STLPG]]+knicks_players_all_stats[[#This Row],[REBPG]]</f>
        <v>2.25</v>
      </c>
      <c r="AL270" s="1">
        <f>knicks_players_all_stats[[#This Row],[TOV2]]/10</f>
        <v>2</v>
      </c>
      <c r="AM270" s="4">
        <f>knicks_players_all_stats[[#This Row],[TOV]]/knicks_players_all_stats[[#This Row],[GP]]</f>
        <v>0.25</v>
      </c>
      <c r="AN270" s="1">
        <v>8</v>
      </c>
      <c r="AO270" s="1">
        <f>knicks_players_all_stats[[#This Row],[PF]]/knicks_players_all_stats[[#This Row],[GP]]</f>
        <v>1</v>
      </c>
      <c r="AP270" s="1">
        <v>22</v>
      </c>
      <c r="AQ270" s="4">
        <f>knicks_players_all_stats[[#This Row],[PTS]]/knicks_players_all_stats[[#This Row],[GP]]</f>
        <v>2.75</v>
      </c>
    </row>
    <row r="271" spans="1:43" customFormat="1" x14ac:dyDescent="0.3">
      <c r="A271" s="1" t="s">
        <v>1840</v>
      </c>
      <c r="B271" s="1" t="s">
        <v>1312</v>
      </c>
      <c r="C271" s="1" t="str">
        <f>knicks_players_all_stats[[#This Row],[NAME]]&amp;" ("&amp;knicks_players_all_stats[[#This Row],[SEASON]]&amp;")"</f>
        <v>Shawne Williams (2010-11)</v>
      </c>
      <c r="D271" s="1">
        <f>knicks_players_all_stats[[#This Row],[PLAYER_AGE]]/10</f>
        <v>25</v>
      </c>
      <c r="E271">
        <v>250</v>
      </c>
      <c r="F271" s="1">
        <v>64</v>
      </c>
      <c r="G271" s="1">
        <v>13230</v>
      </c>
      <c r="H2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391</v>
      </c>
      <c r="I271" s="4">
        <f>knicks_players_all_stats[[#This Row],[VALORATION]]/knicks_players_all_stats[[#This Row],[GP]]</f>
        <v>6.109375</v>
      </c>
      <c r="J271" s="1">
        <v>164</v>
      </c>
      <c r="K271" s="1">
        <v>385</v>
      </c>
      <c r="L271" s="1">
        <v>426</v>
      </c>
      <c r="M271" s="4">
        <f>knicks_players_all_stats[[#This Row],[FG3M2]]/10</f>
        <v>85</v>
      </c>
      <c r="N271" s="1">
        <v>850</v>
      </c>
      <c r="O271" s="1">
        <f>knicks_players_all_stats[[#This Row],[FG3A2]]/10</f>
        <v>212</v>
      </c>
      <c r="P271" s="1">
        <v>2120</v>
      </c>
      <c r="Q271" s="2">
        <f>knicks_players_all_stats[[#This Row],[FG3M2]]/knicks_players_all_stats[[#This Row],[FG3A2]]</f>
        <v>0.40094339622641512</v>
      </c>
      <c r="R271" s="1">
        <v>41</v>
      </c>
      <c r="S271" s="1">
        <v>49</v>
      </c>
      <c r="T271" s="3">
        <f>knicks_players_all_stats[[#This Row],[FTM]]/knicks_players_all_stats[[#This Row],[FTA]]</f>
        <v>0.83673469387755106</v>
      </c>
      <c r="U271" s="1">
        <f>knicks_players_all_stats[[#This Row],[OREB22]]/10</f>
        <v>60</v>
      </c>
      <c r="V271" s="1">
        <f>knicks_players_all_stats[[#This Row],[DREB33]]/10</f>
        <v>179</v>
      </c>
      <c r="W271" s="1">
        <f>knicks_players_all_stats[[#This Row],[REB44]]/10</f>
        <v>239</v>
      </c>
      <c r="X271">
        <v>600</v>
      </c>
      <c r="Y271">
        <v>1790</v>
      </c>
      <c r="Z271">
        <v>2390</v>
      </c>
      <c r="AA271" s="14">
        <f>knicks_players_all_stats[[#This Row],[REB]]/knicks_players_all_stats[[#This Row],[GP]]</f>
        <v>3.734375</v>
      </c>
      <c r="AB271" s="1">
        <v>47</v>
      </c>
      <c r="AC271" s="4">
        <f>knicks_players_all_stats[[#This Row],[AST]]/knicks_players_all_stats[[#This Row],[GP]]</f>
        <v>0.734375</v>
      </c>
      <c r="AD271" s="1">
        <f>knicks_players_all_stats[[#This Row],[STL2]]/10</f>
        <v>39</v>
      </c>
      <c r="AE271" s="1">
        <v>390</v>
      </c>
      <c r="AF271" s="4">
        <f>knicks_players_all_stats[[#This Row],[STL]]/knicks_players_all_stats[[#This Row],[GP]]</f>
        <v>0.609375</v>
      </c>
      <c r="AG271">
        <v>510</v>
      </c>
      <c r="AH271" s="1">
        <f>knicks_players_all_stats[[#This Row],[BLK2]]/10</f>
        <v>51</v>
      </c>
      <c r="AI271" s="4">
        <f>knicks_players_all_stats[[#This Row],[BLK]]/knicks_players_all_stats[[#This Row],[GP]]</f>
        <v>0.796875</v>
      </c>
      <c r="AJ271">
        <v>460</v>
      </c>
      <c r="AK271" s="4">
        <f>knicks_players_all_stats[[#This Row],[BLKPG]]+knicks_players_all_stats[[#This Row],[STLPG]]+knicks_players_all_stats[[#This Row],[REBPG]]</f>
        <v>5.140625</v>
      </c>
      <c r="AL271" s="1">
        <f>knicks_players_all_stats[[#This Row],[TOV2]]/10</f>
        <v>46</v>
      </c>
      <c r="AM271" s="4">
        <f>knicks_players_all_stats[[#This Row],[TOV]]/knicks_players_all_stats[[#This Row],[GP]]</f>
        <v>0.71875</v>
      </c>
      <c r="AN271" s="1">
        <v>164</v>
      </c>
      <c r="AO271" s="1">
        <f>knicks_players_all_stats[[#This Row],[PF]]/knicks_players_all_stats[[#This Row],[GP]]</f>
        <v>2.5625</v>
      </c>
      <c r="AP271" s="1">
        <v>454</v>
      </c>
      <c r="AQ271" s="4">
        <f>knicks_players_all_stats[[#This Row],[PTS]]/knicks_players_all_stats[[#This Row],[GP]]</f>
        <v>7.09375</v>
      </c>
    </row>
    <row r="272" spans="1:43" x14ac:dyDescent="0.3">
      <c r="A272" s="1" t="s">
        <v>1307</v>
      </c>
      <c r="B272" s="1" t="s">
        <v>1289</v>
      </c>
      <c r="C272" s="1" t="str">
        <f>knicks_players_all_stats[[#This Row],[NAME]]&amp;" ("&amp;knicks_players_all_stats[[#This Row],[SEASON]]&amp;")"</f>
        <v>Nerlens Noel (2020-21)</v>
      </c>
      <c r="D272" s="1">
        <f>knicks_players_all_stats[[#This Row],[PLAYER_AGE]]/10</f>
        <v>27</v>
      </c>
      <c r="E272">
        <v>270</v>
      </c>
      <c r="F272" s="1">
        <v>64</v>
      </c>
      <c r="G272" s="1">
        <v>15470</v>
      </c>
      <c r="H2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641</v>
      </c>
      <c r="I272" s="4">
        <f>knicks_players_all_stats[[#This Row],[VALORATION]]/knicks_players_all_stats[[#This Row],[GP]]</f>
        <v>10.015625</v>
      </c>
      <c r="J272" s="1">
        <v>137</v>
      </c>
      <c r="K272" s="1">
        <v>223</v>
      </c>
      <c r="L272" s="2">
        <f>knicks_players_all_stats[[#This Row],[FGM]]/knicks_players_all_stats[[#This Row],[FGA]]</f>
        <v>0.61434977578475336</v>
      </c>
      <c r="M272" s="16">
        <f>knicks_players_all_stats[[#This Row],[FG3M2]]/10</f>
        <v>0</v>
      </c>
      <c r="N272" s="1">
        <v>0</v>
      </c>
      <c r="O272" s="1">
        <f>knicks_players_all_stats[[#This Row],[FG3A2]]/10</f>
        <v>3</v>
      </c>
      <c r="P272" s="1">
        <v>30</v>
      </c>
      <c r="Q272" s="2">
        <f>knicks_players_all_stats[[#This Row],[FG3M2]]/knicks_players_all_stats[[#This Row],[FG3A2]]</f>
        <v>0</v>
      </c>
      <c r="R272" s="1">
        <v>50</v>
      </c>
      <c r="S272" s="1">
        <v>70</v>
      </c>
      <c r="T272" s="3">
        <f>knicks_players_all_stats[[#This Row],[FTM]]/knicks_players_all_stats[[#This Row],[FTA]]</f>
        <v>0.7142857142857143</v>
      </c>
      <c r="U272" s="1">
        <f>knicks_players_all_stats[[#This Row],[OREB22]]/10</f>
        <v>142</v>
      </c>
      <c r="V272" s="1">
        <f>knicks_players_all_stats[[#This Row],[DREB33]]/10</f>
        <v>265</v>
      </c>
      <c r="W272" s="1">
        <f>knicks_players_all_stats[[#This Row],[REB44]]/10</f>
        <v>407</v>
      </c>
      <c r="X272">
        <v>1420</v>
      </c>
      <c r="Y272">
        <v>2650</v>
      </c>
      <c r="Z272">
        <v>4070</v>
      </c>
      <c r="AA272" s="14">
        <f>knicks_players_all_stats[[#This Row],[REB]]/knicks_players_all_stats[[#This Row],[GP]]</f>
        <v>6.359375</v>
      </c>
      <c r="AB272" s="1">
        <v>46</v>
      </c>
      <c r="AC272" s="4">
        <f>knicks_players_all_stats[[#This Row],[AST]]/knicks_players_all_stats[[#This Row],[GP]]</f>
        <v>0.71875</v>
      </c>
      <c r="AD272" s="1">
        <f>knicks_players_all_stats[[#This Row],[STL2]]/10</f>
        <v>70</v>
      </c>
      <c r="AE272" s="1">
        <v>700</v>
      </c>
      <c r="AF272" s="4">
        <f>knicks_players_all_stats[[#This Row],[STL]]/knicks_players_all_stats[[#This Row],[GP]]</f>
        <v>1.09375</v>
      </c>
      <c r="AG272">
        <v>1410</v>
      </c>
      <c r="AH272" s="1">
        <f>knicks_players_all_stats[[#This Row],[BLK2]]/10</f>
        <v>141</v>
      </c>
      <c r="AI272" s="4">
        <f>knicks_players_all_stats[[#This Row],[BLK]]/knicks_players_all_stats[[#This Row],[GP]]</f>
        <v>2.203125</v>
      </c>
      <c r="AJ272">
        <v>650</v>
      </c>
      <c r="AK272" s="4">
        <f>knicks_players_all_stats[[#This Row],[BLKPG]]+knicks_players_all_stats[[#This Row],[STLPG]]+knicks_players_all_stats[[#This Row],[REBPG]]</f>
        <v>9.65625</v>
      </c>
      <c r="AL272" s="1">
        <f>knicks_players_all_stats[[#This Row],[TOV2]]/10</f>
        <v>65</v>
      </c>
      <c r="AM272" s="4">
        <f>knicks_players_all_stats[[#This Row],[TOV]]/knicks_players_all_stats[[#This Row],[GP]]</f>
        <v>1.015625</v>
      </c>
      <c r="AN272" s="1">
        <v>176</v>
      </c>
      <c r="AO272" s="1">
        <f>knicks_players_all_stats[[#This Row],[PF]]/knicks_players_all_stats[[#This Row],[GP]]</f>
        <v>2.75</v>
      </c>
      <c r="AP272" s="1">
        <v>324</v>
      </c>
      <c r="AQ272" s="4">
        <f>knicks_players_all_stats[[#This Row],[PTS]]/knicks_players_all_stats[[#This Row],[GP]]</f>
        <v>5.0625</v>
      </c>
    </row>
    <row r="273" spans="1:43" x14ac:dyDescent="0.3">
      <c r="A273" s="1" t="s">
        <v>1388</v>
      </c>
      <c r="B273" s="1" t="s">
        <v>1293</v>
      </c>
      <c r="C273" s="1" t="str">
        <f>knicks_players_all_stats[[#This Row],[NAME]]&amp;" ("&amp;knicks_players_all_stats[[#This Row],[SEASON]]&amp;")"</f>
        <v>Vin Baker (2003-04)</v>
      </c>
      <c r="D273" s="1">
        <f>knicks_players_all_stats[[#This Row],[PLAYER_AGE]]/10</f>
        <v>32</v>
      </c>
      <c r="E273">
        <v>320</v>
      </c>
      <c r="F273" s="1">
        <v>17</v>
      </c>
      <c r="G273" s="1">
        <v>3130</v>
      </c>
      <c r="H2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52</v>
      </c>
      <c r="I273" s="4">
        <f>knicks_players_all_stats[[#This Row],[VALORATION]]/knicks_players_all_stats[[#This Row],[GP]]</f>
        <v>3.0588235294117645</v>
      </c>
      <c r="J273" s="1">
        <v>40</v>
      </c>
      <c r="K273" s="1">
        <v>99</v>
      </c>
      <c r="L273" s="2">
        <f>knicks_players_all_stats[[#This Row],[FGM]]/knicks_players_all_stats[[#This Row],[FGA]]</f>
        <v>0.40404040404040403</v>
      </c>
      <c r="M273" s="16">
        <f>knicks_players_all_stats[[#This Row],[FG3M2]]/10</f>
        <v>1</v>
      </c>
      <c r="N273" s="1">
        <v>10</v>
      </c>
      <c r="O273" s="1">
        <f>knicks_players_all_stats[[#This Row],[FG3A2]]/10</f>
        <v>2</v>
      </c>
      <c r="P273" s="1">
        <v>20</v>
      </c>
      <c r="Q273" s="2">
        <f>knicks_players_all_stats[[#This Row],[FG3M2]]/knicks_players_all_stats[[#This Row],[FG3A2]]</f>
        <v>0.5</v>
      </c>
      <c r="R273" s="1">
        <v>32</v>
      </c>
      <c r="S273" s="1">
        <v>45</v>
      </c>
      <c r="T273" s="3">
        <f>knicks_players_all_stats[[#This Row],[FTM]]/knicks_players_all_stats[[#This Row],[FTA]]</f>
        <v>0.71111111111111114</v>
      </c>
      <c r="U273" s="1">
        <f>knicks_players_all_stats[[#This Row],[OREB22]]/10</f>
        <v>36</v>
      </c>
      <c r="V273" s="1">
        <f>knicks_players_all_stats[[#This Row],[DREB33]]/10</f>
        <v>34</v>
      </c>
      <c r="W273" s="1">
        <f>knicks_players_all_stats[[#This Row],[REB44]]/10</f>
        <v>70</v>
      </c>
      <c r="X273">
        <v>360</v>
      </c>
      <c r="Y273">
        <v>340</v>
      </c>
      <c r="Z273">
        <v>700</v>
      </c>
      <c r="AA273" s="14">
        <f>knicks_players_all_stats[[#This Row],[REB]]/knicks_players_all_stats[[#This Row],[GP]]</f>
        <v>4.117647058823529</v>
      </c>
      <c r="AB273" s="1">
        <v>12</v>
      </c>
      <c r="AC273" s="4">
        <f>knicks_players_all_stats[[#This Row],[AST]]/knicks_players_all_stats[[#This Row],[GP]]</f>
        <v>0.70588235294117652</v>
      </c>
      <c r="AD273" s="1">
        <f>knicks_players_all_stats[[#This Row],[STL2]]/10</f>
        <v>7</v>
      </c>
      <c r="AE273" s="1">
        <v>70</v>
      </c>
      <c r="AF273" s="4">
        <f>knicks_players_all_stats[[#This Row],[STL]]/knicks_players_all_stats[[#This Row],[GP]]</f>
        <v>0.41176470588235292</v>
      </c>
      <c r="AG273">
        <v>90</v>
      </c>
      <c r="AH273" s="1">
        <f>knicks_players_all_stats[[#This Row],[BLK2]]/10</f>
        <v>9</v>
      </c>
      <c r="AI273" s="4">
        <f>knicks_players_all_stats[[#This Row],[BLK]]/knicks_players_all_stats[[#This Row],[GP]]</f>
        <v>0.52941176470588236</v>
      </c>
      <c r="AJ273">
        <v>250</v>
      </c>
      <c r="AK273" s="4">
        <f>knicks_players_all_stats[[#This Row],[BLKPG]]+knicks_players_all_stats[[#This Row],[STLPG]]+knicks_players_all_stats[[#This Row],[REBPG]]</f>
        <v>5.0588235294117645</v>
      </c>
      <c r="AL273" s="1">
        <f>knicks_players_all_stats[[#This Row],[TOV2]]/10</f>
        <v>25</v>
      </c>
      <c r="AM273" s="4">
        <f>knicks_players_all_stats[[#This Row],[TOV]]/knicks_players_all_stats[[#This Row],[GP]]</f>
        <v>1.4705882352941178</v>
      </c>
      <c r="AN273" s="1">
        <v>62</v>
      </c>
      <c r="AO273" s="1">
        <f>knicks_players_all_stats[[#This Row],[PF]]/knicks_players_all_stats[[#This Row],[GP]]</f>
        <v>3.6470588235294117</v>
      </c>
      <c r="AP273" s="1">
        <v>113</v>
      </c>
      <c r="AQ273" s="4">
        <f>knicks_players_all_stats[[#This Row],[PTS]]/knicks_players_all_stats[[#This Row],[GP]]</f>
        <v>6.6470588235294121</v>
      </c>
    </row>
    <row r="274" spans="1:43" x14ac:dyDescent="0.3">
      <c r="A274" s="1" t="s">
        <v>1583</v>
      </c>
      <c r="B274" s="1" t="s">
        <v>1259</v>
      </c>
      <c r="C274" s="1" t="str">
        <f>knicks_players_all_stats[[#This Row],[NAME]]&amp;" ("&amp;knicks_players_all_stats[[#This Row],[SEASON]]&amp;")"</f>
        <v>Damyean Dotson (2017-18)</v>
      </c>
      <c r="D274" s="1">
        <f>knicks_players_all_stats[[#This Row],[PLAYER_AGE]]/10</f>
        <v>24</v>
      </c>
      <c r="E274">
        <v>240</v>
      </c>
      <c r="F274" s="1">
        <v>44</v>
      </c>
      <c r="G274" s="1">
        <v>4740</v>
      </c>
      <c r="H2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164</v>
      </c>
      <c r="I274" s="4">
        <f>knicks_players_all_stats[[#This Row],[VALORATION]]/knicks_players_all_stats[[#This Row],[GP]]</f>
        <v>3.7272727272727271</v>
      </c>
      <c r="J274" s="1">
        <v>72</v>
      </c>
      <c r="K274" s="1">
        <v>161</v>
      </c>
      <c r="L274" s="2">
        <f>knicks_players_all_stats[[#This Row],[FGM]]/knicks_players_all_stats[[#This Row],[FGA]]</f>
        <v>0.44720496894409939</v>
      </c>
      <c r="M274" s="16">
        <f>knicks_players_all_stats[[#This Row],[FG3M2]]/10</f>
        <v>22</v>
      </c>
      <c r="N274" s="1">
        <v>220</v>
      </c>
      <c r="O274" s="1">
        <f>knicks_players_all_stats[[#This Row],[FG3A2]]/10</f>
        <v>68</v>
      </c>
      <c r="P274" s="1">
        <v>680</v>
      </c>
      <c r="Q274" s="2">
        <f>knicks_players_all_stats[[#This Row],[FG3M2]]/knicks_players_all_stats[[#This Row],[FG3A2]]</f>
        <v>0.3235294117647059</v>
      </c>
      <c r="R274" s="1">
        <v>16</v>
      </c>
      <c r="S274" s="1">
        <v>23</v>
      </c>
      <c r="T274" s="3">
        <f>knicks_players_all_stats[[#This Row],[FTM]]/knicks_players_all_stats[[#This Row],[FTA]]</f>
        <v>0.69565217391304346</v>
      </c>
      <c r="U274" s="1">
        <f>knicks_players_all_stats[[#This Row],[OREB22]]/10</f>
        <v>9</v>
      </c>
      <c r="V274" s="1">
        <f>knicks_players_all_stats[[#This Row],[DREB33]]/10</f>
        <v>75</v>
      </c>
      <c r="W274" s="1">
        <f>knicks_players_all_stats[[#This Row],[REB44]]/10</f>
        <v>84</v>
      </c>
      <c r="X274">
        <v>90</v>
      </c>
      <c r="Y274">
        <v>750</v>
      </c>
      <c r="Z274">
        <v>840</v>
      </c>
      <c r="AA274" s="14">
        <f>knicks_players_all_stats[[#This Row],[REB]]/knicks_players_all_stats[[#This Row],[GP]]</f>
        <v>1.9090909090909092</v>
      </c>
      <c r="AB274" s="1">
        <v>31</v>
      </c>
      <c r="AC274" s="4">
        <f>knicks_players_all_stats[[#This Row],[AST]]/knicks_players_all_stats[[#This Row],[GP]]</f>
        <v>0.70454545454545459</v>
      </c>
      <c r="AD274" s="1">
        <f>knicks_players_all_stats[[#This Row],[STL2]]/10</f>
        <v>12</v>
      </c>
      <c r="AE274" s="1">
        <v>120</v>
      </c>
      <c r="AF274" s="4">
        <f>knicks_players_all_stats[[#This Row],[STL]]/knicks_players_all_stats[[#This Row],[GP]]</f>
        <v>0.27272727272727271</v>
      </c>
      <c r="AG274">
        <v>20</v>
      </c>
      <c r="AH274" s="1">
        <f>knicks_players_all_stats[[#This Row],[BLK2]]/10</f>
        <v>2</v>
      </c>
      <c r="AI274" s="4">
        <f>knicks_players_all_stats[[#This Row],[BLK]]/knicks_players_all_stats[[#This Row],[GP]]</f>
        <v>4.5454545454545456E-2</v>
      </c>
      <c r="AJ274">
        <v>170</v>
      </c>
      <c r="AK274" s="4">
        <f>knicks_players_all_stats[[#This Row],[BLKPG]]+knicks_players_all_stats[[#This Row],[STLPG]]+knicks_players_all_stats[[#This Row],[REBPG]]</f>
        <v>2.2272727272727275</v>
      </c>
      <c r="AL274" s="1">
        <f>knicks_players_all_stats[[#This Row],[TOV2]]/10</f>
        <v>17</v>
      </c>
      <c r="AM274" s="4">
        <f>knicks_players_all_stats[[#This Row],[TOV]]/knicks_players_all_stats[[#This Row],[GP]]</f>
        <v>0.38636363636363635</v>
      </c>
      <c r="AN274" s="1">
        <v>34</v>
      </c>
      <c r="AO274" s="1">
        <f>knicks_players_all_stats[[#This Row],[PF]]/knicks_players_all_stats[[#This Row],[GP]]</f>
        <v>0.77272727272727271</v>
      </c>
      <c r="AP274" s="1">
        <v>182</v>
      </c>
      <c r="AQ274" s="4">
        <f>knicks_players_all_stats[[#This Row],[PTS]]/knicks_players_all_stats[[#This Row],[GP]]</f>
        <v>4.1363636363636367</v>
      </c>
    </row>
    <row r="275" spans="1:43" x14ac:dyDescent="0.3">
      <c r="A275" s="1" t="s">
        <v>1663</v>
      </c>
      <c r="B275" s="1" t="s">
        <v>1295</v>
      </c>
      <c r="C275" s="1" t="str">
        <f>knicks_players_all_stats[[#This Row],[NAME]]&amp;" ("&amp;knicks_players_all_stats[[#This Row],[SEASON]]&amp;")"</f>
        <v>Malik Rose (2004-05)</v>
      </c>
      <c r="D275" s="1">
        <f>knicks_players_all_stats[[#This Row],[PLAYER_AGE]]/10</f>
        <v>30</v>
      </c>
      <c r="E275">
        <v>300</v>
      </c>
      <c r="F275" s="1">
        <v>26</v>
      </c>
      <c r="G275" s="1">
        <v>6120</v>
      </c>
      <c r="H2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122</v>
      </c>
      <c r="I275" s="4">
        <f>knicks_players_all_stats[[#This Row],[VALORATION]]/knicks_players_all_stats[[#This Row],[GP]]</f>
        <v>4.6923076923076925</v>
      </c>
      <c r="J275" s="1">
        <v>74</v>
      </c>
      <c r="K275" s="1">
        <v>174</v>
      </c>
      <c r="L275" s="1">
        <v>425</v>
      </c>
      <c r="M275" s="4">
        <f>knicks_players_all_stats[[#This Row],[FG3M2]]/10</f>
        <v>1</v>
      </c>
      <c r="N275" s="1">
        <v>10</v>
      </c>
      <c r="O275" s="1">
        <f>knicks_players_all_stats[[#This Row],[FG3A2]]/10</f>
        <v>6</v>
      </c>
      <c r="P275" s="1">
        <v>60</v>
      </c>
      <c r="Q275" s="2">
        <f>knicks_players_all_stats[[#This Row],[FG3M2]]/knicks_players_all_stats[[#This Row],[FG3A2]]</f>
        <v>0.16666666666666666</v>
      </c>
      <c r="R275" s="1">
        <v>68</v>
      </c>
      <c r="S275" s="1">
        <v>87</v>
      </c>
      <c r="T275" s="3">
        <f>knicks_players_all_stats[[#This Row],[FTM]]/knicks_players_all_stats[[#This Row],[FTA]]</f>
        <v>0.7816091954022989</v>
      </c>
      <c r="U275" s="1">
        <f>knicks_players_all_stats[[#This Row],[OREB22]]/10</f>
        <v>34</v>
      </c>
      <c r="V275" s="1">
        <f>knicks_players_all_stats[[#This Row],[DREB33]]/10</f>
        <v>80</v>
      </c>
      <c r="W275" s="1">
        <f>knicks_players_all_stats[[#This Row],[REB44]]/10</f>
        <v>114</v>
      </c>
      <c r="X275">
        <v>340</v>
      </c>
      <c r="Y275">
        <v>800</v>
      </c>
      <c r="Z275">
        <v>1140</v>
      </c>
      <c r="AA275" s="14">
        <f>knicks_players_all_stats[[#This Row],[REB]]/knicks_players_all_stats[[#This Row],[GP]]</f>
        <v>4.384615384615385</v>
      </c>
      <c r="AB275" s="1">
        <v>18</v>
      </c>
      <c r="AC275" s="4">
        <f>knicks_players_all_stats[[#This Row],[AST]]/knicks_players_all_stats[[#This Row],[GP]]</f>
        <v>0.69230769230769229</v>
      </c>
      <c r="AD275" s="1">
        <f>knicks_players_all_stats[[#This Row],[STL2]]/10</f>
        <v>15</v>
      </c>
      <c r="AE275" s="1">
        <v>150</v>
      </c>
      <c r="AF275" s="4">
        <f>knicks_players_all_stats[[#This Row],[STL]]/knicks_players_all_stats[[#This Row],[GP]]</f>
        <v>0.57692307692307687</v>
      </c>
      <c r="AG275">
        <v>70</v>
      </c>
      <c r="AH275" s="1">
        <f>knicks_players_all_stats[[#This Row],[BLK2]]/10</f>
        <v>7</v>
      </c>
      <c r="AI275" s="4">
        <f>knicks_players_all_stats[[#This Row],[BLK]]/knicks_players_all_stats[[#This Row],[GP]]</f>
        <v>0.26923076923076922</v>
      </c>
      <c r="AJ275">
        <v>460</v>
      </c>
      <c r="AK275" s="4">
        <f>knicks_players_all_stats[[#This Row],[BLKPG]]+knicks_players_all_stats[[#This Row],[STLPG]]+knicks_players_all_stats[[#This Row],[REBPG]]</f>
        <v>5.2307692307692308</v>
      </c>
      <c r="AL275" s="1">
        <f>knicks_players_all_stats[[#This Row],[TOV2]]/10</f>
        <v>46</v>
      </c>
      <c r="AM275" s="4">
        <f>knicks_players_all_stats[[#This Row],[TOV]]/knicks_players_all_stats[[#This Row],[GP]]</f>
        <v>1.7692307692307692</v>
      </c>
      <c r="AN275" s="1">
        <v>84</v>
      </c>
      <c r="AO275" s="1">
        <f>knicks_players_all_stats[[#This Row],[PF]]/knicks_players_all_stats[[#This Row],[GP]]</f>
        <v>3.2307692307692308</v>
      </c>
      <c r="AP275" s="1">
        <v>217</v>
      </c>
      <c r="AQ275" s="4">
        <f>knicks_players_all_stats[[#This Row],[PTS]]/knicks_players_all_stats[[#This Row],[GP]]</f>
        <v>8.3461538461538467</v>
      </c>
    </row>
    <row r="276" spans="1:43" x14ac:dyDescent="0.3">
      <c r="A276" s="1" t="s">
        <v>1326</v>
      </c>
      <c r="B276" s="1" t="s">
        <v>1325</v>
      </c>
      <c r="C276" s="1" t="str">
        <f>knicks_players_all_stats[[#This Row],[NAME]]&amp;" ("&amp;knicks_players_all_stats[[#This Row],[SEASON]]&amp;")"</f>
        <v>Lee Nailon (2002-03)</v>
      </c>
      <c r="D276" s="1">
        <f>knicks_players_all_stats[[#This Row],[PLAYER_AGE]]/10</f>
        <v>28</v>
      </c>
      <c r="E276">
        <v>280</v>
      </c>
      <c r="F276" s="1">
        <v>38</v>
      </c>
      <c r="G276" s="1">
        <v>4060</v>
      </c>
      <c r="H2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122</v>
      </c>
      <c r="I276" s="4">
        <f>knicks_players_all_stats[[#This Row],[VALORATION]]/knicks_players_all_stats[[#This Row],[GP]]</f>
        <v>3.2105263157894739</v>
      </c>
      <c r="J276" s="1">
        <v>84</v>
      </c>
      <c r="K276" s="1">
        <v>190</v>
      </c>
      <c r="L276" s="2">
        <f>knicks_players_all_stats[[#This Row],[FGM]]/knicks_players_all_stats[[#This Row],[FGA]]</f>
        <v>0.44210526315789472</v>
      </c>
      <c r="M276" s="16">
        <f>knicks_players_all_stats[[#This Row],[FG3M2]]/10</f>
        <v>0</v>
      </c>
      <c r="N276" s="1">
        <v>0</v>
      </c>
      <c r="O276" s="1">
        <f>knicks_players_all_stats[[#This Row],[FG3A2]]/10</f>
        <v>1</v>
      </c>
      <c r="P276" s="1">
        <v>10</v>
      </c>
      <c r="Q276" s="2">
        <f>knicks_players_all_stats[[#This Row],[FG3M2]]/knicks_players_all_stats[[#This Row],[FG3A2]]</f>
        <v>0</v>
      </c>
      <c r="R276" s="1">
        <v>42</v>
      </c>
      <c r="S276" s="1">
        <v>51</v>
      </c>
      <c r="T276" s="3">
        <f>knicks_players_all_stats[[#This Row],[FTM]]/knicks_players_all_stats[[#This Row],[FTA]]</f>
        <v>0.82352941176470584</v>
      </c>
      <c r="U276" s="1">
        <f>knicks_players_all_stats[[#This Row],[OREB22]]/10</f>
        <v>32</v>
      </c>
      <c r="V276" s="1">
        <f>knicks_players_all_stats[[#This Row],[DREB33]]/10</f>
        <v>38</v>
      </c>
      <c r="W276" s="1">
        <f>knicks_players_all_stats[[#This Row],[REB44]]/10</f>
        <v>70</v>
      </c>
      <c r="X276">
        <v>320</v>
      </c>
      <c r="Y276">
        <v>380</v>
      </c>
      <c r="Z276">
        <v>700</v>
      </c>
      <c r="AA276" s="14">
        <f>knicks_players_all_stats[[#This Row],[REB]]/knicks_players_all_stats[[#This Row],[GP]]</f>
        <v>1.8421052631578947</v>
      </c>
      <c r="AB276" s="1">
        <v>26</v>
      </c>
      <c r="AC276" s="4">
        <f>knicks_players_all_stats[[#This Row],[AST]]/knicks_players_all_stats[[#This Row],[GP]]</f>
        <v>0.68421052631578949</v>
      </c>
      <c r="AD276" s="1">
        <f>knicks_players_all_stats[[#This Row],[STL2]]/10</f>
        <v>6</v>
      </c>
      <c r="AE276" s="1">
        <v>60</v>
      </c>
      <c r="AF276" s="4">
        <f>knicks_players_all_stats[[#This Row],[STL]]/knicks_players_all_stats[[#This Row],[GP]]</f>
        <v>0.15789473684210525</v>
      </c>
      <c r="AG276">
        <v>30</v>
      </c>
      <c r="AH276" s="1">
        <f>knicks_players_all_stats[[#This Row],[BLK2]]/10</f>
        <v>3</v>
      </c>
      <c r="AI276" s="4">
        <f>knicks_players_all_stats[[#This Row],[BLK]]/knicks_players_all_stats[[#This Row],[GP]]</f>
        <v>7.8947368421052627E-2</v>
      </c>
      <c r="AJ276">
        <v>320</v>
      </c>
      <c r="AK276" s="4">
        <f>knicks_players_all_stats[[#This Row],[BLKPG]]+knicks_players_all_stats[[#This Row],[STLPG]]+knicks_players_all_stats[[#This Row],[REBPG]]</f>
        <v>2.0789473684210527</v>
      </c>
      <c r="AL276" s="1">
        <f>knicks_players_all_stats[[#This Row],[TOV2]]/10</f>
        <v>32</v>
      </c>
      <c r="AM276" s="4">
        <f>knicks_players_all_stats[[#This Row],[TOV]]/knicks_players_all_stats[[#This Row],[GP]]</f>
        <v>0.84210526315789469</v>
      </c>
      <c r="AN276" s="1">
        <v>46</v>
      </c>
      <c r="AO276" s="1">
        <f>knicks_players_all_stats[[#This Row],[PF]]/knicks_players_all_stats[[#This Row],[GP]]</f>
        <v>1.2105263157894737</v>
      </c>
      <c r="AP276" s="1">
        <v>210</v>
      </c>
      <c r="AQ276" s="4">
        <f>knicks_players_all_stats[[#This Row],[PTS]]/knicks_players_all_stats[[#This Row],[GP]]</f>
        <v>5.5263157894736841</v>
      </c>
    </row>
    <row r="277" spans="1:43" x14ac:dyDescent="0.3">
      <c r="A277" s="1" t="s">
        <v>1566</v>
      </c>
      <c r="B277" s="1" t="s">
        <v>1465</v>
      </c>
      <c r="C277" s="1" t="str">
        <f>knicks_players_all_stats[[#This Row],[NAME]]&amp;" ("&amp;knicks_players_all_stats[[#This Row],[SEASON]]&amp;")"</f>
        <v>Othella Harrington (2000-01)</v>
      </c>
      <c r="D277" s="1">
        <f>knicks_players_all_stats[[#This Row],[PLAYER_AGE]]/10</f>
        <v>27</v>
      </c>
      <c r="E277">
        <v>270</v>
      </c>
      <c r="F277" s="1">
        <v>30</v>
      </c>
      <c r="G277" s="1">
        <v>5480</v>
      </c>
      <c r="H2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123</v>
      </c>
      <c r="I277" s="4">
        <f>knicks_players_all_stats[[#This Row],[VALORATION]]/knicks_players_all_stats[[#This Row],[GP]]</f>
        <v>4.0999999999999996</v>
      </c>
      <c r="J277" s="1">
        <v>67</v>
      </c>
      <c r="K277" s="1">
        <v>121</v>
      </c>
      <c r="L277" s="2">
        <f>knicks_players_all_stats[[#This Row],[FGM]]/knicks_players_all_stats[[#This Row],[FGA]]</f>
        <v>0.55371900826446285</v>
      </c>
      <c r="M277" s="16">
        <f>knicks_players_all_stats[[#This Row],[FG3M2]]/10</f>
        <v>0</v>
      </c>
      <c r="N277" s="1">
        <v>0</v>
      </c>
      <c r="O277" s="1">
        <f>knicks_players_all_stats[[#This Row],[FG3A2]]/10</f>
        <v>0</v>
      </c>
      <c r="P277" s="1">
        <v>0</v>
      </c>
      <c r="Q277" s="2" t="e">
        <f>knicks_players_all_stats[[#This Row],[FG3M2]]/knicks_players_all_stats[[#This Row],[FG3A2]]</f>
        <v>#DIV/0!</v>
      </c>
      <c r="R277" s="1">
        <v>51</v>
      </c>
      <c r="S277" s="1">
        <v>70</v>
      </c>
      <c r="T277" s="3">
        <f>knicks_players_all_stats[[#This Row],[FTM]]/knicks_players_all_stats[[#This Row],[FTA]]</f>
        <v>0.72857142857142854</v>
      </c>
      <c r="U277" s="1">
        <f>knicks_players_all_stats[[#This Row],[OREB22]]/10</f>
        <v>37</v>
      </c>
      <c r="V277" s="1">
        <f>knicks_players_all_stats[[#This Row],[DREB33]]/10</f>
        <v>62</v>
      </c>
      <c r="W277" s="1">
        <f>knicks_players_all_stats[[#This Row],[REB44]]/10</f>
        <v>99</v>
      </c>
      <c r="X277">
        <v>370</v>
      </c>
      <c r="Y277">
        <v>620</v>
      </c>
      <c r="Z277">
        <v>990</v>
      </c>
      <c r="AA277" s="14">
        <f>knicks_players_all_stats[[#This Row],[REB]]/knicks_players_all_stats[[#This Row],[GP]]</f>
        <v>3.3</v>
      </c>
      <c r="AB277" s="1">
        <v>20</v>
      </c>
      <c r="AC277" s="4">
        <f>knicks_players_all_stats[[#This Row],[AST]]/knicks_players_all_stats[[#This Row],[GP]]</f>
        <v>0.66666666666666663</v>
      </c>
      <c r="AD277" s="1">
        <f>knicks_players_all_stats[[#This Row],[STL2]]/10</f>
        <v>15</v>
      </c>
      <c r="AE277" s="1">
        <v>150</v>
      </c>
      <c r="AF277" s="4">
        <f>knicks_players_all_stats[[#This Row],[STL]]/knicks_players_all_stats[[#This Row],[GP]]</f>
        <v>0.5</v>
      </c>
      <c r="AG277">
        <v>190</v>
      </c>
      <c r="AH277" s="1">
        <f>knicks_players_all_stats[[#This Row],[BLK2]]/10</f>
        <v>19</v>
      </c>
      <c r="AI277" s="4">
        <f>knicks_players_all_stats[[#This Row],[BLK]]/knicks_players_all_stats[[#This Row],[GP]]</f>
        <v>0.6333333333333333</v>
      </c>
      <c r="AJ277">
        <v>410</v>
      </c>
      <c r="AK277" s="4">
        <f>knicks_players_all_stats[[#This Row],[BLKPG]]+knicks_players_all_stats[[#This Row],[STLPG]]+knicks_players_all_stats[[#This Row],[REBPG]]</f>
        <v>4.4333333333333336</v>
      </c>
      <c r="AL277" s="1">
        <f>knicks_players_all_stats[[#This Row],[TOV2]]/10</f>
        <v>41</v>
      </c>
      <c r="AM277" s="4">
        <f>knicks_players_all_stats[[#This Row],[TOV]]/knicks_players_all_stats[[#This Row],[GP]]</f>
        <v>1.3666666666666667</v>
      </c>
      <c r="AN277" s="1">
        <v>101</v>
      </c>
      <c r="AO277" s="1">
        <f>knicks_players_all_stats[[#This Row],[PF]]/knicks_players_all_stats[[#This Row],[GP]]</f>
        <v>3.3666666666666667</v>
      </c>
      <c r="AP277" s="1">
        <v>185</v>
      </c>
      <c r="AQ277" s="4">
        <f>knicks_players_all_stats[[#This Row],[PTS]]/knicks_players_all_stats[[#This Row],[GP]]</f>
        <v>6.166666666666667</v>
      </c>
    </row>
    <row r="278" spans="1:43" x14ac:dyDescent="0.3">
      <c r="A278" s="1" t="s">
        <v>1678</v>
      </c>
      <c r="B278" s="1" t="s">
        <v>1308</v>
      </c>
      <c r="C278" s="1" t="str">
        <f>knicks_players_all_stats[[#This Row],[NAME]]&amp;" ("&amp;knicks_players_all_stats[[#This Row],[SEASON]]&amp;")"</f>
        <v>Cam Reddish (2021-22)</v>
      </c>
      <c r="D278" s="1">
        <f>knicks_players_all_stats[[#This Row],[PLAYER_AGE]]/10</f>
        <v>22</v>
      </c>
      <c r="E278">
        <v>220</v>
      </c>
      <c r="F278" s="1">
        <v>15</v>
      </c>
      <c r="G278" s="1">
        <v>2160</v>
      </c>
      <c r="H2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69</v>
      </c>
      <c r="I278" s="4">
        <f>knicks_players_all_stats[[#This Row],[VALORATION]]/knicks_players_all_stats[[#This Row],[GP]]</f>
        <v>4.5999999999999996</v>
      </c>
      <c r="J278" s="1">
        <v>27</v>
      </c>
      <c r="K278" s="1">
        <v>65</v>
      </c>
      <c r="L278" s="1">
        <v>415</v>
      </c>
      <c r="M278" s="4">
        <f>knicks_players_all_stats[[#This Row],[FG3M2]]/10</f>
        <v>8</v>
      </c>
      <c r="N278" s="1">
        <v>80</v>
      </c>
      <c r="O278" s="1">
        <f>knicks_players_all_stats[[#This Row],[FG3A2]]/10</f>
        <v>31</v>
      </c>
      <c r="P278" s="1">
        <v>310</v>
      </c>
      <c r="Q278" s="2">
        <f>knicks_players_all_stats[[#This Row],[FG3M2]]/knicks_players_all_stats[[#This Row],[FG3A2]]</f>
        <v>0.25806451612903225</v>
      </c>
      <c r="R278" s="1">
        <v>29</v>
      </c>
      <c r="S278" s="1">
        <v>32</v>
      </c>
      <c r="T278" s="3">
        <f>knicks_players_all_stats[[#This Row],[FTM]]/knicks_players_all_stats[[#This Row],[FTA]]</f>
        <v>0.90625</v>
      </c>
      <c r="U278" s="1">
        <f>knicks_players_all_stats[[#This Row],[OREB22]]/10</f>
        <v>5</v>
      </c>
      <c r="V278" s="1">
        <f>knicks_players_all_stats[[#This Row],[DREB33]]/10</f>
        <v>16</v>
      </c>
      <c r="W278" s="1">
        <f>knicks_players_all_stats[[#This Row],[REB44]]/10</f>
        <v>21</v>
      </c>
      <c r="X278">
        <v>50</v>
      </c>
      <c r="Y278">
        <v>160</v>
      </c>
      <c r="Z278">
        <v>210</v>
      </c>
      <c r="AA278" s="14">
        <f>knicks_players_all_stats[[#This Row],[REB]]/knicks_players_all_stats[[#This Row],[GP]]</f>
        <v>1.4</v>
      </c>
      <c r="AB278" s="1">
        <v>10</v>
      </c>
      <c r="AC278" s="4">
        <f>knicks_players_all_stats[[#This Row],[AST]]/knicks_players_all_stats[[#This Row],[GP]]</f>
        <v>0.66666666666666663</v>
      </c>
      <c r="AD278" s="1">
        <f>knicks_players_all_stats[[#This Row],[STL2]]/10</f>
        <v>12</v>
      </c>
      <c r="AE278" s="1">
        <v>120</v>
      </c>
      <c r="AF278" s="4">
        <f>knicks_players_all_stats[[#This Row],[STL]]/knicks_players_all_stats[[#This Row],[GP]]</f>
        <v>0.8</v>
      </c>
      <c r="AG278">
        <v>40</v>
      </c>
      <c r="AH278" s="1">
        <f>knicks_players_all_stats[[#This Row],[BLK2]]/10</f>
        <v>4</v>
      </c>
      <c r="AI278" s="4">
        <f>knicks_players_all_stats[[#This Row],[BLK]]/knicks_players_all_stats[[#This Row],[GP]]</f>
        <v>0.26666666666666666</v>
      </c>
      <c r="AJ278">
        <v>130</v>
      </c>
      <c r="AK278" s="4">
        <f>knicks_players_all_stats[[#This Row],[BLKPG]]+knicks_players_all_stats[[#This Row],[STLPG]]+knicks_players_all_stats[[#This Row],[REBPG]]</f>
        <v>2.4666666666666668</v>
      </c>
      <c r="AL278" s="1">
        <f>knicks_players_all_stats[[#This Row],[TOV2]]/10</f>
        <v>13</v>
      </c>
      <c r="AM278" s="4">
        <f>knicks_players_all_stats[[#This Row],[TOV]]/knicks_players_all_stats[[#This Row],[GP]]</f>
        <v>0.8666666666666667</v>
      </c>
      <c r="AN278" s="1">
        <v>15</v>
      </c>
      <c r="AO278" s="1">
        <f>knicks_players_all_stats[[#This Row],[PF]]/knicks_players_all_stats[[#This Row],[GP]]</f>
        <v>1</v>
      </c>
      <c r="AP278" s="1">
        <v>91</v>
      </c>
      <c r="AQ278" s="4">
        <f>knicks_players_all_stats[[#This Row],[PTS]]/knicks_players_all_stats[[#This Row],[GP]]</f>
        <v>6.0666666666666664</v>
      </c>
    </row>
    <row r="279" spans="1:43" x14ac:dyDescent="0.3">
      <c r="A279" s="1" t="s">
        <v>1734</v>
      </c>
      <c r="B279" s="1" t="s">
        <v>1290</v>
      </c>
      <c r="C279" s="1" t="str">
        <f>knicks_players_all_stats[[#This Row],[NAME]]&amp;" ("&amp;knicks_players_all_stats[[#This Row],[SEASON]]&amp;")"</f>
        <v>Jared Jeffries (2011-12)</v>
      </c>
      <c r="D279" s="1">
        <f>knicks_players_all_stats[[#This Row],[PLAYER_AGE]]/10</f>
        <v>30</v>
      </c>
      <c r="E279">
        <v>300</v>
      </c>
      <c r="F279" s="1">
        <v>39</v>
      </c>
      <c r="G279" s="1">
        <v>7290</v>
      </c>
      <c r="H2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176</v>
      </c>
      <c r="I279" s="4">
        <f>knicks_players_all_stats[[#This Row],[VALORATION]]/knicks_players_all_stats[[#This Row],[GP]]</f>
        <v>4.5128205128205128</v>
      </c>
      <c r="J279" s="1">
        <v>59</v>
      </c>
      <c r="K279" s="1">
        <v>144</v>
      </c>
      <c r="L279" s="1">
        <v>41</v>
      </c>
      <c r="M279" s="4">
        <f>knicks_players_all_stats[[#This Row],[FG3M2]]/10</f>
        <v>3</v>
      </c>
      <c r="N279" s="1">
        <v>30</v>
      </c>
      <c r="O279" s="1">
        <f>knicks_players_all_stats[[#This Row],[FG3A2]]/10</f>
        <v>16</v>
      </c>
      <c r="P279" s="1">
        <v>160</v>
      </c>
      <c r="Q279" s="2">
        <f>knicks_players_all_stats[[#This Row],[FG3M2]]/knicks_players_all_stats[[#This Row],[FG3A2]]</f>
        <v>0.1875</v>
      </c>
      <c r="R279" s="1">
        <v>49</v>
      </c>
      <c r="S279" s="1">
        <v>72</v>
      </c>
      <c r="T279" s="3">
        <f>knicks_players_all_stats[[#This Row],[FTM]]/knicks_players_all_stats[[#This Row],[FTA]]</f>
        <v>0.68055555555555558</v>
      </c>
      <c r="U279" s="1">
        <f>knicks_players_all_stats[[#This Row],[OREB22]]/10</f>
        <v>69</v>
      </c>
      <c r="V279" s="1">
        <f>knicks_players_all_stats[[#This Row],[DREB33]]/10</f>
        <v>83</v>
      </c>
      <c r="W279" s="1">
        <f>knicks_players_all_stats[[#This Row],[REB44]]/10</f>
        <v>152</v>
      </c>
      <c r="X279">
        <v>690</v>
      </c>
      <c r="Y279">
        <v>830</v>
      </c>
      <c r="Z279">
        <v>1520</v>
      </c>
      <c r="AA279" s="14">
        <f>knicks_players_all_stats[[#This Row],[REB]]/knicks_players_all_stats[[#This Row],[GP]]</f>
        <v>3.8974358974358974</v>
      </c>
      <c r="AB279" s="1">
        <v>26</v>
      </c>
      <c r="AC279" s="4">
        <f>knicks_players_all_stats[[#This Row],[AST]]/knicks_players_all_stats[[#This Row],[GP]]</f>
        <v>0.66666666666666663</v>
      </c>
      <c r="AD279" s="1">
        <f>knicks_players_all_stats[[#This Row],[STL2]]/10</f>
        <v>29</v>
      </c>
      <c r="AE279" s="1">
        <v>290</v>
      </c>
      <c r="AF279" s="4">
        <f>knicks_players_all_stats[[#This Row],[STL]]/knicks_players_all_stats[[#This Row],[GP]]</f>
        <v>0.74358974358974361</v>
      </c>
      <c r="AG279">
        <v>250</v>
      </c>
      <c r="AH279" s="1">
        <f>knicks_players_all_stats[[#This Row],[BLK2]]/10</f>
        <v>25</v>
      </c>
      <c r="AI279" s="4">
        <f>knicks_players_all_stats[[#This Row],[BLK]]/knicks_players_all_stats[[#This Row],[GP]]</f>
        <v>0.64102564102564108</v>
      </c>
      <c r="AJ279">
        <v>290</v>
      </c>
      <c r="AK279" s="4">
        <f>knicks_players_all_stats[[#This Row],[BLKPG]]+knicks_players_all_stats[[#This Row],[STLPG]]+knicks_players_all_stats[[#This Row],[REBPG]]</f>
        <v>5.2820512820512819</v>
      </c>
      <c r="AL279" s="1">
        <f>knicks_players_all_stats[[#This Row],[TOV2]]/10</f>
        <v>29</v>
      </c>
      <c r="AM279" s="4">
        <f>knicks_players_all_stats[[#This Row],[TOV]]/knicks_players_all_stats[[#This Row],[GP]]</f>
        <v>0.74358974358974361</v>
      </c>
      <c r="AN279" s="1">
        <v>89</v>
      </c>
      <c r="AO279" s="1">
        <f>knicks_players_all_stats[[#This Row],[PF]]/knicks_players_all_stats[[#This Row],[GP]]</f>
        <v>2.2820512820512819</v>
      </c>
      <c r="AP279" s="1">
        <v>170</v>
      </c>
      <c r="AQ279" s="4">
        <f>knicks_players_all_stats[[#This Row],[PTS]]/knicks_players_all_stats[[#This Row],[GP]]</f>
        <v>4.3589743589743586</v>
      </c>
    </row>
    <row r="280" spans="1:43" x14ac:dyDescent="0.3">
      <c r="A280" s="1" t="s">
        <v>1370</v>
      </c>
      <c r="B280" s="1" t="s">
        <v>1369</v>
      </c>
      <c r="C280" s="1" t="str">
        <f>knicks_players_all_stats[[#This Row],[NAME]]&amp;" ("&amp;knicks_players_all_stats[[#This Row],[SEASON]]&amp;")"</f>
        <v>Shake Milton (2023-24)</v>
      </c>
      <c r="D280" s="1">
        <f>knicks_players_all_stats[[#This Row],[PLAYER_AGE]]/10</f>
        <v>27</v>
      </c>
      <c r="E280">
        <v>270</v>
      </c>
      <c r="F280" s="1">
        <v>6</v>
      </c>
      <c r="G280" s="1">
        <v>270</v>
      </c>
      <c r="H2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</v>
      </c>
      <c r="I280" s="4">
        <f>knicks_players_all_stats[[#This Row],[VALORATION]]/knicks_players_all_stats[[#This Row],[GP]]</f>
        <v>1.6666666666666667</v>
      </c>
      <c r="J280" s="1">
        <v>4</v>
      </c>
      <c r="K280" s="1">
        <v>9</v>
      </c>
      <c r="L280" s="2">
        <f>knicks_players_all_stats[[#This Row],[FGM]]/knicks_players_all_stats[[#This Row],[FGA]]</f>
        <v>0.44444444444444442</v>
      </c>
      <c r="M280" s="16">
        <f>knicks_players_all_stats[[#This Row],[FG3M2]]/10</f>
        <v>1</v>
      </c>
      <c r="N280" s="1">
        <v>10</v>
      </c>
      <c r="O280" s="1">
        <f>knicks_players_all_stats[[#This Row],[FG3A2]]/10</f>
        <v>2</v>
      </c>
      <c r="P280" s="1">
        <v>20</v>
      </c>
      <c r="Q280" s="2">
        <f>knicks_players_all_stats[[#This Row],[FG3M2]]/knicks_players_all_stats[[#This Row],[FG3A2]]</f>
        <v>0.5</v>
      </c>
      <c r="R280" s="1">
        <v>2</v>
      </c>
      <c r="S280" s="1">
        <v>2</v>
      </c>
      <c r="T280" s="3">
        <f>knicks_players_all_stats[[#This Row],[FTM]]/knicks_players_all_stats[[#This Row],[FTA]]</f>
        <v>1</v>
      </c>
      <c r="U280" s="1">
        <f>knicks_players_all_stats[[#This Row],[OREB22]]/10</f>
        <v>0</v>
      </c>
      <c r="V280" s="1">
        <f>knicks_players_all_stats[[#This Row],[DREB33]]/10</f>
        <v>6</v>
      </c>
      <c r="W280" s="1">
        <f>knicks_players_all_stats[[#This Row],[REB44]]/10</f>
        <v>6</v>
      </c>
      <c r="X280">
        <v>0</v>
      </c>
      <c r="Y280">
        <v>60</v>
      </c>
      <c r="Z280">
        <v>60</v>
      </c>
      <c r="AA280" s="14">
        <f>knicks_players_all_stats[[#This Row],[REB]]/knicks_players_all_stats[[#This Row],[GP]]</f>
        <v>1</v>
      </c>
      <c r="AB280" s="1">
        <v>4</v>
      </c>
      <c r="AC280" s="4">
        <f>knicks_players_all_stats[[#This Row],[AST]]/knicks_players_all_stats[[#This Row],[GP]]</f>
        <v>0.66666666666666663</v>
      </c>
      <c r="AD280" s="1">
        <f>knicks_players_all_stats[[#This Row],[STL2]]/10</f>
        <v>1</v>
      </c>
      <c r="AE280" s="1">
        <v>10</v>
      </c>
      <c r="AF280" s="4">
        <f>knicks_players_all_stats[[#This Row],[STL]]/knicks_players_all_stats[[#This Row],[GP]]</f>
        <v>0.16666666666666666</v>
      </c>
      <c r="AG280">
        <v>0</v>
      </c>
      <c r="AH280" s="1">
        <f>knicks_players_all_stats[[#This Row],[BLK2]]/10</f>
        <v>0</v>
      </c>
      <c r="AI280" s="4">
        <f>knicks_players_all_stats[[#This Row],[BLK]]/knicks_players_all_stats[[#This Row],[GP]]</f>
        <v>0</v>
      </c>
      <c r="AJ280">
        <v>0</v>
      </c>
      <c r="AK280" s="4">
        <f>knicks_players_all_stats[[#This Row],[BLKPG]]+knicks_players_all_stats[[#This Row],[STLPG]]+knicks_players_all_stats[[#This Row],[REBPG]]</f>
        <v>1.1666666666666667</v>
      </c>
      <c r="AL280" s="1">
        <f>knicks_players_all_stats[[#This Row],[TOV2]]/10</f>
        <v>0</v>
      </c>
      <c r="AM280" s="4">
        <f>knicks_players_all_stats[[#This Row],[TOV]]/knicks_players_all_stats[[#This Row],[GP]]</f>
        <v>0</v>
      </c>
      <c r="AN280" s="1">
        <v>7</v>
      </c>
      <c r="AO280" s="1">
        <f>knicks_players_all_stats[[#This Row],[PF]]/knicks_players_all_stats[[#This Row],[GP]]</f>
        <v>1.1666666666666667</v>
      </c>
      <c r="AP280" s="1">
        <v>11</v>
      </c>
      <c r="AQ280" s="4">
        <f>knicks_players_all_stats[[#This Row],[PTS]]/knicks_players_all_stats[[#This Row],[GP]]</f>
        <v>1.8333333333333333</v>
      </c>
    </row>
    <row r="281" spans="1:43" customFormat="1" x14ac:dyDescent="0.3">
      <c r="A281" s="1" t="s">
        <v>1624</v>
      </c>
      <c r="B281" s="1" t="s">
        <v>1295</v>
      </c>
      <c r="C281" s="1" t="str">
        <f>knicks_players_all_stats[[#This Row],[NAME]]&amp;" ("&amp;knicks_players_all_stats[[#This Row],[SEASON]]&amp;")"</f>
        <v>Jamison Brewer (2004-05)</v>
      </c>
      <c r="D281" s="1">
        <f>knicks_players_all_stats[[#This Row],[PLAYER_AGE]]/10</f>
        <v>24</v>
      </c>
      <c r="E281">
        <v>240</v>
      </c>
      <c r="F281" s="1">
        <v>18</v>
      </c>
      <c r="G281" s="1">
        <v>1840</v>
      </c>
      <c r="H2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17</v>
      </c>
      <c r="I281" s="4">
        <f>knicks_players_all_stats[[#This Row],[VALORATION]]/knicks_players_all_stats[[#This Row],[GP]]</f>
        <v>0.94444444444444442</v>
      </c>
      <c r="J281" s="1">
        <v>11</v>
      </c>
      <c r="K281" s="1">
        <v>37</v>
      </c>
      <c r="L281" s="2">
        <f>knicks_players_all_stats[[#This Row],[FGM]]/knicks_players_all_stats[[#This Row],[FGA]]</f>
        <v>0.29729729729729731</v>
      </c>
      <c r="M281" s="16">
        <f>knicks_players_all_stats[[#This Row],[FG3M2]]/10</f>
        <v>3</v>
      </c>
      <c r="N281" s="1">
        <v>30</v>
      </c>
      <c r="O281" s="1">
        <f>knicks_players_all_stats[[#This Row],[FG3A2]]/10</f>
        <v>15</v>
      </c>
      <c r="P281" s="1">
        <v>150</v>
      </c>
      <c r="Q281" s="2">
        <f>knicks_players_all_stats[[#This Row],[FG3M2]]/knicks_players_all_stats[[#This Row],[FG3A2]]</f>
        <v>0.2</v>
      </c>
      <c r="R281" s="1">
        <v>6</v>
      </c>
      <c r="S281" s="1">
        <v>13</v>
      </c>
      <c r="T281" s="3">
        <f>knicks_players_all_stats[[#This Row],[FTM]]/knicks_players_all_stats[[#This Row],[FTA]]</f>
        <v>0.46153846153846156</v>
      </c>
      <c r="U281" s="1">
        <f>knicks_players_all_stats[[#This Row],[OREB22]]/10</f>
        <v>6</v>
      </c>
      <c r="V281" s="1">
        <f>knicks_players_all_stats[[#This Row],[DREB33]]/10</f>
        <v>16</v>
      </c>
      <c r="W281" s="1">
        <f>knicks_players_all_stats[[#This Row],[REB44]]/10</f>
        <v>22</v>
      </c>
      <c r="X281">
        <v>60</v>
      </c>
      <c r="Y281">
        <v>160</v>
      </c>
      <c r="Z281">
        <v>220</v>
      </c>
      <c r="AA281" s="14">
        <f>knicks_players_all_stats[[#This Row],[REB]]/knicks_players_all_stats[[#This Row],[GP]]</f>
        <v>1.2222222222222223</v>
      </c>
      <c r="AB281" s="1">
        <v>12</v>
      </c>
      <c r="AC281" s="4">
        <f>knicks_players_all_stats[[#This Row],[AST]]/knicks_players_all_stats[[#This Row],[GP]]</f>
        <v>0.66666666666666663</v>
      </c>
      <c r="AD281" s="1">
        <f>knicks_players_all_stats[[#This Row],[STL2]]/10</f>
        <v>8</v>
      </c>
      <c r="AE281" s="1">
        <v>80</v>
      </c>
      <c r="AF281" s="4">
        <f>knicks_players_all_stats[[#This Row],[STL]]/knicks_players_all_stats[[#This Row],[GP]]</f>
        <v>0.44444444444444442</v>
      </c>
      <c r="AG281">
        <v>10</v>
      </c>
      <c r="AH281" s="1">
        <f>knicks_players_all_stats[[#This Row],[BLK2]]/10</f>
        <v>1</v>
      </c>
      <c r="AI281" s="4">
        <f>knicks_players_all_stats[[#This Row],[BLK]]/knicks_players_all_stats[[#This Row],[GP]]</f>
        <v>5.5555555555555552E-2</v>
      </c>
      <c r="AJ281">
        <v>130</v>
      </c>
      <c r="AK281" s="4">
        <f>knicks_players_all_stats[[#This Row],[BLKPG]]+knicks_players_all_stats[[#This Row],[STLPG]]+knicks_players_all_stats[[#This Row],[REBPG]]</f>
        <v>1.7222222222222223</v>
      </c>
      <c r="AL281" s="1">
        <f>knicks_players_all_stats[[#This Row],[TOV2]]/10</f>
        <v>13</v>
      </c>
      <c r="AM281" s="4">
        <f>knicks_players_all_stats[[#This Row],[TOV]]/knicks_players_all_stats[[#This Row],[GP]]</f>
        <v>0.72222222222222221</v>
      </c>
      <c r="AN281" s="1">
        <v>11</v>
      </c>
      <c r="AO281" s="1">
        <f>knicks_players_all_stats[[#This Row],[PF]]/knicks_players_all_stats[[#This Row],[GP]]</f>
        <v>0.61111111111111116</v>
      </c>
      <c r="AP281" s="1">
        <v>31</v>
      </c>
      <c r="AQ281" s="4">
        <f>knicks_players_all_stats[[#This Row],[PTS]]/knicks_players_all_stats[[#This Row],[GP]]</f>
        <v>1.7222222222222223</v>
      </c>
    </row>
    <row r="282" spans="1:43" customFormat="1" x14ac:dyDescent="0.3">
      <c r="A282" s="1" t="s">
        <v>1608</v>
      </c>
      <c r="B282" s="1" t="s">
        <v>1293</v>
      </c>
      <c r="C282" s="1" t="str">
        <f>knicks_players_all_stats[[#This Row],[NAME]]&amp;" ("&amp;knicks_players_all_stats[[#This Row],[SEASON]]&amp;")"</f>
        <v>Michael Doleac (2003-04)</v>
      </c>
      <c r="D282" s="1">
        <f>knicks_players_all_stats[[#This Row],[PLAYER_AGE]]/10</f>
        <v>27</v>
      </c>
      <c r="E282">
        <v>270</v>
      </c>
      <c r="F282" s="1">
        <v>46</v>
      </c>
      <c r="G282" s="1">
        <v>6810</v>
      </c>
      <c r="H2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246</v>
      </c>
      <c r="I282" s="4">
        <f>knicks_players_all_stats[[#This Row],[VALORATION]]/knicks_players_all_stats[[#This Row],[GP]]</f>
        <v>5.3478260869565215</v>
      </c>
      <c r="J282" s="1">
        <v>100</v>
      </c>
      <c r="K282" s="1">
        <v>225</v>
      </c>
      <c r="L282" s="2">
        <f>knicks_players_all_stats[[#This Row],[FGM]]/knicks_players_all_stats[[#This Row],[FGA]]</f>
        <v>0.44444444444444442</v>
      </c>
      <c r="M282" s="16">
        <f>knicks_players_all_stats[[#This Row],[FG3M2]]/10</f>
        <v>0</v>
      </c>
      <c r="N282" s="1">
        <v>0</v>
      </c>
      <c r="O282" s="1">
        <f>knicks_players_all_stats[[#This Row],[FG3A2]]/10</f>
        <v>0</v>
      </c>
      <c r="P282" s="1">
        <v>0</v>
      </c>
      <c r="Q282" s="2" t="e">
        <f>knicks_players_all_stats[[#This Row],[FG3M2]]/knicks_players_all_stats[[#This Row],[FG3A2]]</f>
        <v>#DIV/0!</v>
      </c>
      <c r="R282" s="1">
        <v>31</v>
      </c>
      <c r="S282" s="1">
        <v>36</v>
      </c>
      <c r="T282" s="3">
        <f>knicks_players_all_stats[[#This Row],[FTM]]/knicks_players_all_stats[[#This Row],[FTA]]</f>
        <v>0.86111111111111116</v>
      </c>
      <c r="U282" s="1">
        <f>knicks_players_all_stats[[#This Row],[OREB22]]/10</f>
        <v>60</v>
      </c>
      <c r="V282" s="1">
        <f>knicks_players_all_stats[[#This Row],[DREB33]]/10</f>
        <v>129</v>
      </c>
      <c r="W282" s="1">
        <f>knicks_players_all_stats[[#This Row],[REB44]]/10</f>
        <v>189</v>
      </c>
      <c r="X282">
        <v>600</v>
      </c>
      <c r="Y282">
        <v>1290</v>
      </c>
      <c r="Z282">
        <v>1890</v>
      </c>
      <c r="AA282" s="14">
        <f>knicks_players_all_stats[[#This Row],[REB]]/knicks_players_all_stats[[#This Row],[GP]]</f>
        <v>4.1086956521739131</v>
      </c>
      <c r="AB282" s="1">
        <v>30</v>
      </c>
      <c r="AC282" s="4">
        <f>knicks_players_all_stats[[#This Row],[AST]]/knicks_players_all_stats[[#This Row],[GP]]</f>
        <v>0.65217391304347827</v>
      </c>
      <c r="AD282" s="1">
        <f>knicks_players_all_stats[[#This Row],[STL2]]/10</f>
        <v>17</v>
      </c>
      <c r="AE282" s="1">
        <v>170</v>
      </c>
      <c r="AF282" s="4">
        <f>knicks_players_all_stats[[#This Row],[STL]]/knicks_players_all_stats[[#This Row],[GP]]</f>
        <v>0.36956521739130432</v>
      </c>
      <c r="AG282">
        <v>300</v>
      </c>
      <c r="AH282" s="1">
        <f>knicks_players_all_stats[[#This Row],[BLK2]]/10</f>
        <v>30</v>
      </c>
      <c r="AI282" s="4">
        <f>knicks_players_all_stats[[#This Row],[BLK]]/knicks_players_all_stats[[#This Row],[GP]]</f>
        <v>0.65217391304347827</v>
      </c>
      <c r="AJ282">
        <v>370</v>
      </c>
      <c r="AK282" s="4">
        <f>knicks_players_all_stats[[#This Row],[BLKPG]]+knicks_players_all_stats[[#This Row],[STLPG]]+knicks_players_all_stats[[#This Row],[REBPG]]</f>
        <v>5.1304347826086953</v>
      </c>
      <c r="AL282" s="1">
        <f>knicks_players_all_stats[[#This Row],[TOV2]]/10</f>
        <v>37</v>
      </c>
      <c r="AM282" s="4">
        <f>knicks_players_all_stats[[#This Row],[TOV]]/knicks_players_all_stats[[#This Row],[GP]]</f>
        <v>0.80434782608695654</v>
      </c>
      <c r="AN282" s="1">
        <v>84</v>
      </c>
      <c r="AO282" s="1">
        <f>knicks_players_all_stats[[#This Row],[PF]]/knicks_players_all_stats[[#This Row],[GP]]</f>
        <v>1.826086956521739</v>
      </c>
      <c r="AP282" s="1">
        <v>231</v>
      </c>
      <c r="AQ282" s="4">
        <f>knicks_players_all_stats[[#This Row],[PTS]]/knicks_players_all_stats[[#This Row],[GP]]</f>
        <v>5.0217391304347823</v>
      </c>
    </row>
    <row r="283" spans="1:43" customFormat="1" x14ac:dyDescent="0.3">
      <c r="A283" s="1" t="s">
        <v>1311</v>
      </c>
      <c r="B283" s="1" t="s">
        <v>1302</v>
      </c>
      <c r="C283" s="1" t="str">
        <f>knicks_players_all_stats[[#This Row],[NAME]]&amp;" ("&amp;knicks_players_all_stats[[#This Row],[SEASON]]&amp;")"</f>
        <v>Renaldo Balkman (2006-07)</v>
      </c>
      <c r="D283" s="1">
        <f>knicks_players_all_stats[[#This Row],[PLAYER_AGE]]/10</f>
        <v>22</v>
      </c>
      <c r="E283">
        <v>220</v>
      </c>
      <c r="F283" s="1">
        <v>68</v>
      </c>
      <c r="G283" s="1">
        <v>10640</v>
      </c>
      <c r="H2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403</v>
      </c>
      <c r="I283" s="4">
        <f>knicks_players_all_stats[[#This Row],[VALORATION]]/knicks_players_all_stats[[#This Row],[GP]]</f>
        <v>5.9264705882352944</v>
      </c>
      <c r="J283" s="1">
        <v>139</v>
      </c>
      <c r="K283" s="1">
        <v>275</v>
      </c>
      <c r="L283" s="2">
        <f>knicks_players_all_stats[[#This Row],[FGM]]/knicks_players_all_stats[[#This Row],[FGA]]</f>
        <v>0.50545454545454549</v>
      </c>
      <c r="M283" s="16">
        <f>knicks_players_all_stats[[#This Row],[FG3M2]]/10</f>
        <v>5</v>
      </c>
      <c r="N283" s="1">
        <v>50</v>
      </c>
      <c r="O283" s="1">
        <f>knicks_players_all_stats[[#This Row],[FG3A2]]/10</f>
        <v>27</v>
      </c>
      <c r="P283" s="1">
        <v>270</v>
      </c>
      <c r="Q283" s="2">
        <f>knicks_players_all_stats[[#This Row],[FG3M2]]/knicks_players_all_stats[[#This Row],[FG3A2]]</f>
        <v>0.18518518518518517</v>
      </c>
      <c r="R283" s="1">
        <v>51</v>
      </c>
      <c r="S283" s="1">
        <v>90</v>
      </c>
      <c r="T283" s="3">
        <f>knicks_players_all_stats[[#This Row],[FTM]]/knicks_players_all_stats[[#This Row],[FTA]]</f>
        <v>0.56666666666666665</v>
      </c>
      <c r="U283" s="1">
        <f>knicks_players_all_stats[[#This Row],[OREB22]]/10</f>
        <v>97</v>
      </c>
      <c r="V283" s="1">
        <f>knicks_players_all_stats[[#This Row],[DREB33]]/10</f>
        <v>197</v>
      </c>
      <c r="W283" s="1">
        <f>knicks_players_all_stats[[#This Row],[REB44]]/10</f>
        <v>294</v>
      </c>
      <c r="X283">
        <v>970</v>
      </c>
      <c r="Y283">
        <v>1970</v>
      </c>
      <c r="Z283">
        <v>2940</v>
      </c>
      <c r="AA283" s="14">
        <f>knicks_players_all_stats[[#This Row],[REB]]/knicks_players_all_stats[[#This Row],[GP]]</f>
        <v>4.3235294117647056</v>
      </c>
      <c r="AB283" s="1">
        <v>44</v>
      </c>
      <c r="AC283" s="4">
        <f>knicks_players_all_stats[[#This Row],[AST]]/knicks_players_all_stats[[#This Row],[GP]]</f>
        <v>0.6470588235294118</v>
      </c>
      <c r="AD283" s="1">
        <f>knicks_players_all_stats[[#This Row],[STL2]]/10</f>
        <v>57</v>
      </c>
      <c r="AE283" s="1">
        <v>570</v>
      </c>
      <c r="AF283" s="4">
        <f>knicks_players_all_stats[[#This Row],[STL]]/knicks_players_all_stats[[#This Row],[GP]]</f>
        <v>0.83823529411764708</v>
      </c>
      <c r="AG283">
        <v>440</v>
      </c>
      <c r="AH283" s="1">
        <f>knicks_players_all_stats[[#This Row],[BLK2]]/10</f>
        <v>44</v>
      </c>
      <c r="AI283" s="4">
        <f>knicks_players_all_stats[[#This Row],[BLK]]/knicks_players_all_stats[[#This Row],[GP]]</f>
        <v>0.6470588235294118</v>
      </c>
      <c r="AJ283">
        <v>490</v>
      </c>
      <c r="AK283" s="4">
        <f>knicks_players_all_stats[[#This Row],[BLKPG]]+knicks_players_all_stats[[#This Row],[STLPG]]+knicks_players_all_stats[[#This Row],[REBPG]]</f>
        <v>5.8088235294117645</v>
      </c>
      <c r="AL283" s="1">
        <f>knicks_players_all_stats[[#This Row],[TOV2]]/10</f>
        <v>49</v>
      </c>
      <c r="AM283" s="4">
        <f>knicks_players_all_stats[[#This Row],[TOV]]/knicks_players_all_stats[[#This Row],[GP]]</f>
        <v>0.72058823529411764</v>
      </c>
      <c r="AN283" s="1">
        <v>146</v>
      </c>
      <c r="AO283" s="1">
        <f>knicks_players_all_stats[[#This Row],[PF]]/knicks_players_all_stats[[#This Row],[GP]]</f>
        <v>2.1470588235294117</v>
      </c>
      <c r="AP283" s="1">
        <v>334</v>
      </c>
      <c r="AQ283" s="4">
        <f>knicks_players_all_stats[[#This Row],[PTS]]/knicks_players_all_stats[[#This Row],[GP]]</f>
        <v>4.9117647058823533</v>
      </c>
    </row>
    <row r="284" spans="1:43" customFormat="1" x14ac:dyDescent="0.3">
      <c r="A284" s="1" t="s">
        <v>1547</v>
      </c>
      <c r="B284" s="1" t="s">
        <v>1300</v>
      </c>
      <c r="C284" s="1" t="str">
        <f>knicks_players_all_stats[[#This Row],[NAME]]&amp;" ("&amp;knicks_players_all_stats[[#This Row],[SEASON]]&amp;")"</f>
        <v>David Lee (2005-06)</v>
      </c>
      <c r="D284" s="1">
        <f>knicks_players_all_stats[[#This Row],[PLAYER_AGE]]/10</f>
        <v>23</v>
      </c>
      <c r="E284">
        <v>230</v>
      </c>
      <c r="F284" s="1">
        <v>67</v>
      </c>
      <c r="G284" s="1">
        <v>11290</v>
      </c>
      <c r="H2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421</v>
      </c>
      <c r="I284" s="4">
        <f>knicks_players_all_stats[[#This Row],[VALORATION]]/knicks_players_all_stats[[#This Row],[GP]]</f>
        <v>6.2835820895522385</v>
      </c>
      <c r="J284" s="1">
        <v>137</v>
      </c>
      <c r="K284" s="1">
        <v>230</v>
      </c>
      <c r="L284" s="2">
        <f>knicks_players_all_stats[[#This Row],[FGM]]/knicks_players_all_stats[[#This Row],[FGA]]</f>
        <v>0.59565217391304348</v>
      </c>
      <c r="M284" s="16">
        <f>knicks_players_all_stats[[#This Row],[FG3M2]]/10</f>
        <v>0</v>
      </c>
      <c r="N284" s="1">
        <v>0</v>
      </c>
      <c r="O284" s="1">
        <f>knicks_players_all_stats[[#This Row],[FG3A2]]/10</f>
        <v>0</v>
      </c>
      <c r="P284" s="1">
        <v>0</v>
      </c>
      <c r="Q284" s="2" t="e">
        <f>knicks_players_all_stats[[#This Row],[FG3M2]]/knicks_players_all_stats[[#This Row],[FG3A2]]</f>
        <v>#DIV/0!</v>
      </c>
      <c r="R284" s="1">
        <v>71</v>
      </c>
      <c r="S284" s="1">
        <v>123</v>
      </c>
      <c r="T284" s="3">
        <f>knicks_players_all_stats[[#This Row],[FTM]]/knicks_players_all_stats[[#This Row],[FTA]]</f>
        <v>0.57723577235772361</v>
      </c>
      <c r="U284" s="1">
        <f>knicks_players_all_stats[[#This Row],[OREB22]]/10</f>
        <v>109</v>
      </c>
      <c r="V284" s="1">
        <f>knicks_players_all_stats[[#This Row],[DREB33]]/10</f>
        <v>194</v>
      </c>
      <c r="W284" s="1">
        <f>knicks_players_all_stats[[#This Row],[REB44]]/10</f>
        <v>303</v>
      </c>
      <c r="X284">
        <v>1090</v>
      </c>
      <c r="Y284">
        <v>1940</v>
      </c>
      <c r="Z284">
        <v>3030</v>
      </c>
      <c r="AA284" s="14">
        <f>knicks_players_all_stats[[#This Row],[REB]]/knicks_players_all_stats[[#This Row],[GP]]</f>
        <v>4.5223880597014929</v>
      </c>
      <c r="AB284" s="1">
        <v>43</v>
      </c>
      <c r="AC284" s="4">
        <f>knicks_players_all_stats[[#This Row],[AST]]/knicks_players_all_stats[[#This Row],[GP]]</f>
        <v>0.64179104477611937</v>
      </c>
      <c r="AD284" s="1">
        <f>knicks_players_all_stats[[#This Row],[STL2]]/10</f>
        <v>30</v>
      </c>
      <c r="AE284" s="1">
        <v>300</v>
      </c>
      <c r="AF284" s="4">
        <f>knicks_players_all_stats[[#This Row],[STL]]/knicks_players_all_stats[[#This Row],[GP]]</f>
        <v>0.44776119402985076</v>
      </c>
      <c r="AG284">
        <v>200</v>
      </c>
      <c r="AH284" s="1">
        <f>knicks_players_all_stats[[#This Row],[BLK2]]/10</f>
        <v>20</v>
      </c>
      <c r="AI284" s="4">
        <f>knicks_players_all_stats[[#This Row],[BLK]]/knicks_players_all_stats[[#This Row],[GP]]</f>
        <v>0.29850746268656714</v>
      </c>
      <c r="AJ284">
        <v>510</v>
      </c>
      <c r="AK284" s="4">
        <f>knicks_players_all_stats[[#This Row],[BLKPG]]+knicks_players_all_stats[[#This Row],[STLPG]]+knicks_players_all_stats[[#This Row],[REBPG]]</f>
        <v>5.2686567164179108</v>
      </c>
      <c r="AL284" s="1">
        <f>knicks_players_all_stats[[#This Row],[TOV2]]/10</f>
        <v>51</v>
      </c>
      <c r="AM284" s="4">
        <f>knicks_players_all_stats[[#This Row],[TOV]]/knicks_players_all_stats[[#This Row],[GP]]</f>
        <v>0.76119402985074625</v>
      </c>
      <c r="AN284" s="1">
        <v>124</v>
      </c>
      <c r="AO284" s="1">
        <f>knicks_players_all_stats[[#This Row],[PF]]/knicks_players_all_stats[[#This Row],[GP]]</f>
        <v>1.8507462686567164</v>
      </c>
      <c r="AP284" s="1">
        <v>345</v>
      </c>
      <c r="AQ284" s="4">
        <f>knicks_players_all_stats[[#This Row],[PTS]]/knicks_players_all_stats[[#This Row],[GP]]</f>
        <v>5.1492537313432836</v>
      </c>
    </row>
    <row r="285" spans="1:43" customFormat="1" x14ac:dyDescent="0.3">
      <c r="A285" s="1" t="s">
        <v>1760</v>
      </c>
      <c r="B285" s="1" t="s">
        <v>1305</v>
      </c>
      <c r="C285" s="1" t="str">
        <f>knicks_players_all_stats[[#This Row],[NAME]]&amp;" ("&amp;knicks_players_all_stats[[#This Row],[SEASON]]&amp;")"</f>
        <v>Jonathan Bender (2009-10)</v>
      </c>
      <c r="D285" s="1">
        <f>knicks_players_all_stats[[#This Row],[PLAYER_AGE]]/10</f>
        <v>29</v>
      </c>
      <c r="E285">
        <v>290</v>
      </c>
      <c r="F285" s="1">
        <v>25</v>
      </c>
      <c r="G285" s="1">
        <v>2920</v>
      </c>
      <c r="H2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82</v>
      </c>
      <c r="I285" s="4">
        <f>knicks_players_all_stats[[#This Row],[VALORATION]]/knicks_players_all_stats[[#This Row],[GP]]</f>
        <v>3.28</v>
      </c>
      <c r="J285" s="1">
        <v>40</v>
      </c>
      <c r="K285" s="1">
        <v>100</v>
      </c>
      <c r="L285" s="1">
        <v>4</v>
      </c>
      <c r="M285" s="4">
        <f>knicks_players_all_stats[[#This Row],[FG3M2]]/10</f>
        <v>14</v>
      </c>
      <c r="N285" s="1">
        <v>140</v>
      </c>
      <c r="O285" s="1">
        <f>knicks_players_all_stats[[#This Row],[FG3A2]]/10</f>
        <v>39</v>
      </c>
      <c r="P285" s="1">
        <v>390</v>
      </c>
      <c r="Q285" s="2">
        <f>knicks_players_all_stats[[#This Row],[FG3M2]]/knicks_players_all_stats[[#This Row],[FG3A2]]</f>
        <v>0.35897435897435898</v>
      </c>
      <c r="R285" s="1">
        <v>24</v>
      </c>
      <c r="S285" s="1">
        <v>26</v>
      </c>
      <c r="T285" s="3">
        <f>knicks_players_all_stats[[#This Row],[FTM]]/knicks_players_all_stats[[#This Row],[FTA]]</f>
        <v>0.92307692307692313</v>
      </c>
      <c r="U285" s="1">
        <f>knicks_players_all_stats[[#This Row],[OREB22]]/10</f>
        <v>15</v>
      </c>
      <c r="V285" s="1">
        <f>knicks_players_all_stats[[#This Row],[DREB33]]/10</f>
        <v>37</v>
      </c>
      <c r="W285" s="1">
        <f>knicks_players_all_stats[[#This Row],[REB44]]/10</f>
        <v>52</v>
      </c>
      <c r="X285">
        <v>150</v>
      </c>
      <c r="Y285">
        <v>370</v>
      </c>
      <c r="Z285">
        <v>520</v>
      </c>
      <c r="AA285" s="14">
        <f>knicks_players_all_stats[[#This Row],[REB]]/knicks_players_all_stats[[#This Row],[GP]]</f>
        <v>2.08</v>
      </c>
      <c r="AB285" s="1">
        <v>16</v>
      </c>
      <c r="AC285" s="4">
        <f>knicks_players_all_stats[[#This Row],[AST]]/knicks_players_all_stats[[#This Row],[GP]]</f>
        <v>0.64</v>
      </c>
      <c r="AD285" s="1">
        <f>knicks_players_all_stats[[#This Row],[STL2]]/10</f>
        <v>2</v>
      </c>
      <c r="AE285" s="1">
        <v>20</v>
      </c>
      <c r="AF285" s="4">
        <f>knicks_players_all_stats[[#This Row],[STL]]/knicks_players_all_stats[[#This Row],[GP]]</f>
        <v>0.08</v>
      </c>
      <c r="AG285">
        <v>170</v>
      </c>
      <c r="AH285" s="1">
        <f>knicks_players_all_stats[[#This Row],[BLK2]]/10</f>
        <v>17</v>
      </c>
      <c r="AI285" s="4">
        <f>knicks_players_all_stats[[#This Row],[BLK]]/knicks_players_all_stats[[#This Row],[GP]]</f>
        <v>0.68</v>
      </c>
      <c r="AJ285">
        <v>280</v>
      </c>
      <c r="AK285" s="4">
        <f>knicks_players_all_stats[[#This Row],[BLKPG]]+knicks_players_all_stats[[#This Row],[STLPG]]+knicks_players_all_stats[[#This Row],[REBPG]]</f>
        <v>2.84</v>
      </c>
      <c r="AL285" s="1">
        <f>knicks_players_all_stats[[#This Row],[TOV2]]/10</f>
        <v>28</v>
      </c>
      <c r="AM285" s="4">
        <f>knicks_players_all_stats[[#This Row],[TOV]]/knicks_players_all_stats[[#This Row],[GP]]</f>
        <v>1.1200000000000001</v>
      </c>
      <c r="AN285" s="1">
        <v>33</v>
      </c>
      <c r="AO285" s="1">
        <f>knicks_players_all_stats[[#This Row],[PF]]/knicks_players_all_stats[[#This Row],[GP]]</f>
        <v>1.32</v>
      </c>
      <c r="AP285" s="1">
        <v>118</v>
      </c>
      <c r="AQ285" s="4">
        <f>knicks_players_all_stats[[#This Row],[PTS]]/knicks_players_all_stats[[#This Row],[GP]]</f>
        <v>4.72</v>
      </c>
    </row>
    <row r="286" spans="1:43" customFormat="1" x14ac:dyDescent="0.3">
      <c r="A286" s="1" t="s">
        <v>1707</v>
      </c>
      <c r="B286" s="1" t="s">
        <v>1305</v>
      </c>
      <c r="C286" s="1" t="str">
        <f>knicks_players_all_stats[[#This Row],[NAME]]&amp;" ("&amp;knicks_players_all_stats[[#This Row],[SEASON]]&amp;")"</f>
        <v>J.R. Giddens (2009-10)</v>
      </c>
      <c r="D286" s="1">
        <f>knicks_players_all_stats[[#This Row],[PLAYER_AGE]]/10</f>
        <v>25</v>
      </c>
      <c r="E286">
        <v>250</v>
      </c>
      <c r="F286" s="1">
        <v>11</v>
      </c>
      <c r="G286" s="1">
        <v>1400</v>
      </c>
      <c r="H2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36</v>
      </c>
      <c r="I286" s="4">
        <f>knicks_players_all_stats[[#This Row],[VALORATION]]/knicks_players_all_stats[[#This Row],[GP]]</f>
        <v>3.2727272727272729</v>
      </c>
      <c r="J286" s="1">
        <v>19</v>
      </c>
      <c r="K286" s="1">
        <v>39</v>
      </c>
      <c r="L286" s="1">
        <v>487</v>
      </c>
      <c r="M286" s="4">
        <f>knicks_players_all_stats[[#This Row],[FG3M2]]/10</f>
        <v>0</v>
      </c>
      <c r="N286" s="1">
        <v>0</v>
      </c>
      <c r="O286" s="1">
        <f>knicks_players_all_stats[[#This Row],[FG3A2]]/10</f>
        <v>8</v>
      </c>
      <c r="P286" s="1">
        <v>80</v>
      </c>
      <c r="Q286" s="2">
        <f>knicks_players_all_stats[[#This Row],[FG3M2]]/knicks_players_all_stats[[#This Row],[FG3A2]]</f>
        <v>0</v>
      </c>
      <c r="R286" s="1">
        <v>7</v>
      </c>
      <c r="S286" s="1">
        <v>11</v>
      </c>
      <c r="T286" s="3">
        <f>knicks_players_all_stats[[#This Row],[FTM]]/knicks_players_all_stats[[#This Row],[FTA]]</f>
        <v>0.63636363636363635</v>
      </c>
      <c r="U286" s="1">
        <f>knicks_players_all_stats[[#This Row],[OREB22]]/10</f>
        <v>12</v>
      </c>
      <c r="V286" s="1">
        <f>knicks_players_all_stats[[#This Row],[DREB33]]/10</f>
        <v>19</v>
      </c>
      <c r="W286" s="1">
        <f>knicks_players_all_stats[[#This Row],[REB44]]/10</f>
        <v>31</v>
      </c>
      <c r="X286">
        <v>120</v>
      </c>
      <c r="Y286">
        <v>190</v>
      </c>
      <c r="Z286">
        <v>310</v>
      </c>
      <c r="AA286" s="14">
        <f>knicks_players_all_stats[[#This Row],[REB]]/knicks_players_all_stats[[#This Row],[GP]]</f>
        <v>2.8181818181818183</v>
      </c>
      <c r="AB286" s="1">
        <v>7</v>
      </c>
      <c r="AC286" s="4">
        <f>knicks_players_all_stats[[#This Row],[AST]]/knicks_players_all_stats[[#This Row],[GP]]</f>
        <v>0.63636363636363635</v>
      </c>
      <c r="AD286" s="1">
        <f>knicks_players_all_stats[[#This Row],[STL2]]/10</f>
        <v>5</v>
      </c>
      <c r="AE286" s="1">
        <v>50</v>
      </c>
      <c r="AF286" s="4">
        <f>knicks_players_all_stats[[#This Row],[STL]]/knicks_players_all_stats[[#This Row],[GP]]</f>
        <v>0.45454545454545453</v>
      </c>
      <c r="AG286">
        <v>10</v>
      </c>
      <c r="AH286" s="1">
        <f>knicks_players_all_stats[[#This Row],[BLK2]]/10</f>
        <v>1</v>
      </c>
      <c r="AI286" s="4">
        <f>knicks_players_all_stats[[#This Row],[BLK]]/knicks_players_all_stats[[#This Row],[GP]]</f>
        <v>9.0909090909090912E-2</v>
      </c>
      <c r="AJ286">
        <v>100</v>
      </c>
      <c r="AK286" s="4">
        <f>knicks_players_all_stats[[#This Row],[BLKPG]]+knicks_players_all_stats[[#This Row],[STLPG]]+knicks_players_all_stats[[#This Row],[REBPG]]</f>
        <v>3.3636363636363638</v>
      </c>
      <c r="AL286" s="1">
        <f>knicks_players_all_stats[[#This Row],[TOV2]]/10</f>
        <v>10</v>
      </c>
      <c r="AM286" s="4">
        <f>knicks_players_all_stats[[#This Row],[TOV]]/knicks_players_all_stats[[#This Row],[GP]]</f>
        <v>0.90909090909090906</v>
      </c>
      <c r="AN286" s="1">
        <v>19</v>
      </c>
      <c r="AO286" s="1">
        <f>knicks_players_all_stats[[#This Row],[PF]]/knicks_players_all_stats[[#This Row],[GP]]</f>
        <v>1.7272727272727273</v>
      </c>
      <c r="AP286" s="1">
        <v>45</v>
      </c>
      <c r="AQ286" s="4">
        <f>knicks_players_all_stats[[#This Row],[PTS]]/knicks_players_all_stats[[#This Row],[GP]]</f>
        <v>4.0909090909090908</v>
      </c>
    </row>
    <row r="287" spans="1:43" customFormat="1" x14ac:dyDescent="0.3">
      <c r="A287" s="1" t="s">
        <v>1710</v>
      </c>
      <c r="B287" s="1" t="s">
        <v>1308</v>
      </c>
      <c r="C287" s="1" t="str">
        <f>knicks_players_all_stats[[#This Row],[NAME]]&amp;" ("&amp;knicks_players_all_stats[[#This Row],[SEASON]]&amp;")"</f>
        <v>Taj Gibson (2021-22)</v>
      </c>
      <c r="D287" s="1">
        <f>knicks_players_all_stats[[#This Row],[PLAYER_AGE]]/10</f>
        <v>37</v>
      </c>
      <c r="E287">
        <v>370</v>
      </c>
      <c r="F287" s="1">
        <v>52</v>
      </c>
      <c r="G287" s="1">
        <v>9460</v>
      </c>
      <c r="H2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298</v>
      </c>
      <c r="I287" s="4">
        <f>knicks_players_all_stats[[#This Row],[VALORATION]]/knicks_players_all_stats[[#This Row],[GP]]</f>
        <v>5.7307692307692308</v>
      </c>
      <c r="J287" s="1">
        <v>86</v>
      </c>
      <c r="K287" s="1">
        <v>166</v>
      </c>
      <c r="L287" s="1">
        <v>518</v>
      </c>
      <c r="M287" s="4">
        <f>knicks_players_all_stats[[#This Row],[FG3M2]]/10</f>
        <v>15</v>
      </c>
      <c r="N287" s="1">
        <v>150</v>
      </c>
      <c r="O287" s="1">
        <f>knicks_players_all_stats[[#This Row],[FG3A2]]/10</f>
        <v>38</v>
      </c>
      <c r="P287" s="1">
        <v>380</v>
      </c>
      <c r="Q287" s="2">
        <f>knicks_players_all_stats[[#This Row],[FG3M2]]/knicks_players_all_stats[[#This Row],[FG3A2]]</f>
        <v>0.39473684210526316</v>
      </c>
      <c r="R287" s="1">
        <v>42</v>
      </c>
      <c r="S287" s="1">
        <v>52</v>
      </c>
      <c r="T287" s="3">
        <f>knicks_players_all_stats[[#This Row],[FTM]]/knicks_players_all_stats[[#This Row],[FTA]]</f>
        <v>0.80769230769230771</v>
      </c>
      <c r="U287" s="1">
        <f>knicks_players_all_stats[[#This Row],[OREB22]]/10</f>
        <v>88</v>
      </c>
      <c r="V287" s="1">
        <f>knicks_players_all_stats[[#This Row],[DREB33]]/10</f>
        <v>141</v>
      </c>
      <c r="W287" s="1">
        <f>knicks_players_all_stats[[#This Row],[REB44]]/10</f>
        <v>229</v>
      </c>
      <c r="X287">
        <v>880</v>
      </c>
      <c r="Y287">
        <v>1410</v>
      </c>
      <c r="Z287">
        <v>2290</v>
      </c>
      <c r="AA287" s="14">
        <f>knicks_players_all_stats[[#This Row],[REB]]/knicks_players_all_stats[[#This Row],[GP]]</f>
        <v>4.4038461538461542</v>
      </c>
      <c r="AB287" s="1">
        <v>32</v>
      </c>
      <c r="AC287" s="4">
        <f>knicks_players_all_stats[[#This Row],[AST]]/knicks_players_all_stats[[#This Row],[GP]]</f>
        <v>0.61538461538461542</v>
      </c>
      <c r="AD287" s="1">
        <f>knicks_players_all_stats[[#This Row],[STL2]]/10</f>
        <v>22</v>
      </c>
      <c r="AE287" s="1">
        <v>220</v>
      </c>
      <c r="AF287" s="4">
        <f>knicks_players_all_stats[[#This Row],[STL]]/knicks_players_all_stats[[#This Row],[GP]]</f>
        <v>0.42307692307692307</v>
      </c>
      <c r="AG287">
        <v>400</v>
      </c>
      <c r="AH287" s="1">
        <f>knicks_players_all_stats[[#This Row],[BLK2]]/10</f>
        <v>40</v>
      </c>
      <c r="AI287" s="4">
        <f>knicks_players_all_stats[[#This Row],[BLK]]/knicks_players_all_stats[[#This Row],[GP]]</f>
        <v>0.76923076923076927</v>
      </c>
      <c r="AJ287">
        <v>270</v>
      </c>
      <c r="AK287" s="4">
        <f>knicks_players_all_stats[[#This Row],[BLKPG]]+knicks_players_all_stats[[#This Row],[STLPG]]+knicks_players_all_stats[[#This Row],[REBPG]]</f>
        <v>5.5961538461538467</v>
      </c>
      <c r="AL287" s="1">
        <f>knicks_players_all_stats[[#This Row],[TOV2]]/10</f>
        <v>27</v>
      </c>
      <c r="AM287" s="4">
        <f>knicks_players_all_stats[[#This Row],[TOV]]/knicks_players_all_stats[[#This Row],[GP]]</f>
        <v>0.51923076923076927</v>
      </c>
      <c r="AN287" s="1">
        <v>137</v>
      </c>
      <c r="AO287" s="1">
        <f>knicks_players_all_stats[[#This Row],[PF]]/knicks_players_all_stats[[#This Row],[GP]]</f>
        <v>2.6346153846153846</v>
      </c>
      <c r="AP287" s="1">
        <v>229</v>
      </c>
      <c r="AQ287" s="4">
        <f>knicks_players_all_stats[[#This Row],[PTS]]/knicks_players_all_stats[[#This Row],[GP]]</f>
        <v>4.4038461538461542</v>
      </c>
    </row>
    <row r="288" spans="1:43" x14ac:dyDescent="0.3">
      <c r="A288" s="1" t="s">
        <v>1311</v>
      </c>
      <c r="B288" s="1" t="s">
        <v>1303</v>
      </c>
      <c r="C288" s="1" t="str">
        <f>knicks_players_all_stats[[#This Row],[NAME]]&amp;" ("&amp;knicks_players_all_stats[[#This Row],[SEASON]]&amp;")"</f>
        <v>Renaldo Balkman (2007-08)</v>
      </c>
      <c r="D288" s="1">
        <f>knicks_players_all_stats[[#This Row],[PLAYER_AGE]]/10</f>
        <v>23</v>
      </c>
      <c r="E288">
        <v>230</v>
      </c>
      <c r="F288" s="1">
        <v>65</v>
      </c>
      <c r="G288" s="1">
        <v>9520</v>
      </c>
      <c r="H2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236</v>
      </c>
      <c r="I288" s="4">
        <f>knicks_players_all_stats[[#This Row],[VALORATION]]/knicks_players_all_stats[[#This Row],[GP]]</f>
        <v>3.6307692307692307</v>
      </c>
      <c r="J288" s="1">
        <v>91</v>
      </c>
      <c r="K288" s="1">
        <v>186</v>
      </c>
      <c r="L288" s="2">
        <f>knicks_players_all_stats[[#This Row],[FGM]]/knicks_players_all_stats[[#This Row],[FGA]]</f>
        <v>0.489247311827957</v>
      </c>
      <c r="M288" s="16">
        <f>knicks_players_all_stats[[#This Row],[FG3M2]]/10</f>
        <v>1</v>
      </c>
      <c r="N288" s="1">
        <v>10</v>
      </c>
      <c r="O288" s="1">
        <f>knicks_players_all_stats[[#This Row],[FG3A2]]/10</f>
        <v>12</v>
      </c>
      <c r="P288" s="1">
        <v>120</v>
      </c>
      <c r="Q288" s="2">
        <f>knicks_players_all_stats[[#This Row],[FG3M2]]/knicks_players_all_stats[[#This Row],[FG3A2]]</f>
        <v>8.3333333333333329E-2</v>
      </c>
      <c r="R288" s="1">
        <v>41</v>
      </c>
      <c r="S288" s="1">
        <v>95</v>
      </c>
      <c r="T288" s="3">
        <f>knicks_players_all_stats[[#This Row],[FTM]]/knicks_players_all_stats[[#This Row],[FTA]]</f>
        <v>0.43157894736842106</v>
      </c>
      <c r="U288" s="1">
        <f>knicks_players_all_stats[[#This Row],[OREB22]]/10</f>
        <v>83</v>
      </c>
      <c r="V288" s="1">
        <f>knicks_players_all_stats[[#This Row],[DREB33]]/10</f>
        <v>133</v>
      </c>
      <c r="W288" s="1">
        <f>knicks_players_all_stats[[#This Row],[REB44]]/10</f>
        <v>216</v>
      </c>
      <c r="X288">
        <v>830</v>
      </c>
      <c r="Y288">
        <v>1330</v>
      </c>
      <c r="Z288">
        <v>2160</v>
      </c>
      <c r="AA288" s="14">
        <f>knicks_players_all_stats[[#This Row],[REB]]/knicks_players_all_stats[[#This Row],[GP]]</f>
        <v>3.3230769230769233</v>
      </c>
      <c r="AB288" s="1">
        <v>40</v>
      </c>
      <c r="AC288" s="4">
        <f>knicks_players_all_stats[[#This Row],[AST]]/knicks_players_all_stats[[#This Row],[GP]]</f>
        <v>0.61538461538461542</v>
      </c>
      <c r="AD288" s="1">
        <f>knicks_players_all_stats[[#This Row],[STL2]]/10</f>
        <v>44</v>
      </c>
      <c r="AE288" s="1">
        <v>440</v>
      </c>
      <c r="AF288" s="4">
        <f>knicks_players_all_stats[[#This Row],[STL]]/knicks_players_all_stats[[#This Row],[GP]]</f>
        <v>0.67692307692307696</v>
      </c>
      <c r="AG288">
        <v>300</v>
      </c>
      <c r="AH288" s="1">
        <f>knicks_players_all_stats[[#This Row],[BLK2]]/10</f>
        <v>30</v>
      </c>
      <c r="AI288" s="4">
        <f>knicks_players_all_stats[[#This Row],[BLK]]/knicks_players_all_stats[[#This Row],[GP]]</f>
        <v>0.46153846153846156</v>
      </c>
      <c r="AJ288">
        <v>370</v>
      </c>
      <c r="AK288" s="4">
        <f>knicks_players_all_stats[[#This Row],[BLKPG]]+knicks_players_all_stats[[#This Row],[STLPG]]+knicks_players_all_stats[[#This Row],[REBPG]]</f>
        <v>4.4615384615384617</v>
      </c>
      <c r="AL288" s="1">
        <f>knicks_players_all_stats[[#This Row],[TOV2]]/10</f>
        <v>37</v>
      </c>
      <c r="AM288" s="4">
        <f>knicks_players_all_stats[[#This Row],[TOV]]/knicks_players_all_stats[[#This Row],[GP]]</f>
        <v>0.56923076923076921</v>
      </c>
      <c r="AN288" s="1">
        <v>132</v>
      </c>
      <c r="AO288" s="1">
        <f>knicks_players_all_stats[[#This Row],[PF]]/knicks_players_all_stats[[#This Row],[GP]]</f>
        <v>2.0307692307692307</v>
      </c>
      <c r="AP288" s="1">
        <v>224</v>
      </c>
      <c r="AQ288" s="4">
        <f>knicks_players_all_stats[[#This Row],[PTS]]/knicks_players_all_stats[[#This Row],[GP]]</f>
        <v>3.4461538461538463</v>
      </c>
    </row>
    <row r="289" spans="1:43" x14ac:dyDescent="0.3">
      <c r="A289" s="1" t="s">
        <v>1791</v>
      </c>
      <c r="B289" s="1" t="s">
        <v>1259</v>
      </c>
      <c r="C289" s="1" t="str">
        <f>knicks_players_all_stats[[#This Row],[NAME]]&amp;" ("&amp;knicks_players_all_stats[[#This Row],[SEASON]]&amp;")"</f>
        <v>Lance Thomas (2017-18)</v>
      </c>
      <c r="D289" s="1">
        <f>knicks_players_all_stats[[#This Row],[PLAYER_AGE]]/10</f>
        <v>30</v>
      </c>
      <c r="E289">
        <v>300</v>
      </c>
      <c r="F289" s="1">
        <v>73</v>
      </c>
      <c r="G289" s="1">
        <v>13530</v>
      </c>
      <c r="H2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212</v>
      </c>
      <c r="I289" s="4">
        <f>knicks_players_all_stats[[#This Row],[VALORATION]]/knicks_players_all_stats[[#This Row],[GP]]</f>
        <v>2.904109589041096</v>
      </c>
      <c r="J289" s="1">
        <v>102</v>
      </c>
      <c r="K289" s="1">
        <v>267</v>
      </c>
      <c r="L289" s="1">
        <v>382</v>
      </c>
      <c r="M289" s="4">
        <f>knicks_players_all_stats[[#This Row],[FG3M2]]/10</f>
        <v>50</v>
      </c>
      <c r="N289" s="1">
        <v>500</v>
      </c>
      <c r="O289" s="1">
        <f>knicks_players_all_stats[[#This Row],[FG3A2]]/10</f>
        <v>124</v>
      </c>
      <c r="P289" s="1">
        <v>1240</v>
      </c>
      <c r="Q289" s="2">
        <f>knicks_players_all_stats[[#This Row],[FG3M2]]/knicks_players_all_stats[[#This Row],[FG3A2]]</f>
        <v>0.40322580645161288</v>
      </c>
      <c r="R289" s="1">
        <v>44</v>
      </c>
      <c r="S289" s="1">
        <v>53</v>
      </c>
      <c r="T289" s="3">
        <f>knicks_players_all_stats[[#This Row],[FTM]]/knicks_players_all_stats[[#This Row],[FTA]]</f>
        <v>0.83018867924528306</v>
      </c>
      <c r="U289" s="1">
        <f>knicks_players_all_stats[[#This Row],[OREB22]]/10</f>
        <v>44</v>
      </c>
      <c r="V289" s="1">
        <f>knicks_players_all_stats[[#This Row],[DREB33]]/10</f>
        <v>131</v>
      </c>
      <c r="W289" s="1">
        <f>knicks_players_all_stats[[#This Row],[REB44]]/10</f>
        <v>175</v>
      </c>
      <c r="X289">
        <v>440</v>
      </c>
      <c r="Y289">
        <v>1310</v>
      </c>
      <c r="Z289">
        <v>1750</v>
      </c>
      <c r="AA289" s="14">
        <f>knicks_players_all_stats[[#This Row],[REB]]/knicks_players_all_stats[[#This Row],[GP]]</f>
        <v>2.3972602739726026</v>
      </c>
      <c r="AB289" s="1">
        <v>44</v>
      </c>
      <c r="AC289" s="4">
        <f>knicks_players_all_stats[[#This Row],[AST]]/knicks_players_all_stats[[#This Row],[GP]]</f>
        <v>0.60273972602739723</v>
      </c>
      <c r="AD289" s="1">
        <f>knicks_players_all_stats[[#This Row],[STL2]]/10</f>
        <v>30</v>
      </c>
      <c r="AE289" s="1">
        <v>300</v>
      </c>
      <c r="AF289" s="4">
        <f>knicks_players_all_stats[[#This Row],[STL]]/knicks_players_all_stats[[#This Row],[GP]]</f>
        <v>0.41095890410958902</v>
      </c>
      <c r="AG289">
        <v>140</v>
      </c>
      <c r="AH289" s="1">
        <f>knicks_players_all_stats[[#This Row],[BLK2]]/10</f>
        <v>14</v>
      </c>
      <c r="AI289" s="4">
        <f>knicks_players_all_stats[[#This Row],[BLK]]/knicks_players_all_stats[[#This Row],[GP]]</f>
        <v>0.19178082191780821</v>
      </c>
      <c r="AJ289">
        <v>410</v>
      </c>
      <c r="AK289" s="4">
        <f>knicks_players_all_stats[[#This Row],[BLKPG]]+knicks_players_all_stats[[#This Row],[STLPG]]+knicks_players_all_stats[[#This Row],[REBPG]]</f>
        <v>3</v>
      </c>
      <c r="AL289" s="1">
        <f>knicks_players_all_stats[[#This Row],[TOV2]]/10</f>
        <v>41</v>
      </c>
      <c r="AM289" s="4">
        <f>knicks_players_all_stats[[#This Row],[TOV]]/knicks_players_all_stats[[#This Row],[GP]]</f>
        <v>0.56164383561643838</v>
      </c>
      <c r="AN289" s="1">
        <v>134</v>
      </c>
      <c r="AO289" s="1">
        <f>knicks_players_all_stats[[#This Row],[PF]]/knicks_players_all_stats[[#This Row],[GP]]</f>
        <v>1.8356164383561644</v>
      </c>
      <c r="AP289" s="1">
        <v>298</v>
      </c>
      <c r="AQ289" s="4">
        <f>knicks_players_all_stats[[#This Row],[PTS]]/knicks_players_all_stats[[#This Row],[GP]]</f>
        <v>4.0821917808219181</v>
      </c>
    </row>
    <row r="290" spans="1:43" x14ac:dyDescent="0.3">
      <c r="A290" s="1" t="s">
        <v>1724</v>
      </c>
      <c r="B290" s="1" t="s">
        <v>1312</v>
      </c>
      <c r="C290" s="1" t="str">
        <f>knicks_players_all_stats[[#This Row],[NAME]]&amp;" ("&amp;knicks_players_all_stats[[#This Row],[SEASON]]&amp;")"</f>
        <v>Andy Rautins (2010-11)</v>
      </c>
      <c r="D290" s="1">
        <f>knicks_players_all_stats[[#This Row],[PLAYER_AGE]]/10</f>
        <v>24</v>
      </c>
      <c r="E290">
        <v>240</v>
      </c>
      <c r="F290" s="1">
        <v>5</v>
      </c>
      <c r="G290" s="1">
        <v>240</v>
      </c>
      <c r="H2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290" s="4">
        <f>knicks_players_all_stats[[#This Row],[VALORATION]]/knicks_players_all_stats[[#This Row],[GP]]</f>
        <v>0.2</v>
      </c>
      <c r="J290" s="1">
        <v>3</v>
      </c>
      <c r="K290" s="1">
        <v>7</v>
      </c>
      <c r="L290" s="1">
        <v>429</v>
      </c>
      <c r="M290" s="4">
        <f>knicks_players_all_stats[[#This Row],[FG3M2]]/10</f>
        <v>1</v>
      </c>
      <c r="N290" s="1">
        <v>10</v>
      </c>
      <c r="O290" s="1">
        <f>knicks_players_all_stats[[#This Row],[FG3A2]]/10</f>
        <v>4</v>
      </c>
      <c r="P290" s="1">
        <v>40</v>
      </c>
      <c r="Q290" s="2">
        <f>knicks_players_all_stats[[#This Row],[FG3M2]]/knicks_players_all_stats[[#This Row],[FG3A2]]</f>
        <v>0.25</v>
      </c>
      <c r="R290" s="1">
        <v>1</v>
      </c>
      <c r="S290" s="1">
        <v>2</v>
      </c>
      <c r="T290" s="3">
        <f>knicks_players_all_stats[[#This Row],[FTM]]/knicks_players_all_stats[[#This Row],[FTA]]</f>
        <v>0.5</v>
      </c>
      <c r="U290" s="1">
        <f>knicks_players_all_stats[[#This Row],[OREB22]]/10</f>
        <v>0</v>
      </c>
      <c r="V290" s="1">
        <f>knicks_players_all_stats[[#This Row],[DREB33]]/10</f>
        <v>1</v>
      </c>
      <c r="W290" s="1">
        <f>knicks_players_all_stats[[#This Row],[REB44]]/10</f>
        <v>1</v>
      </c>
      <c r="X290">
        <v>0</v>
      </c>
      <c r="Y290">
        <v>10</v>
      </c>
      <c r="Z290">
        <v>10</v>
      </c>
      <c r="AA290" s="14">
        <f>knicks_players_all_stats[[#This Row],[REB]]/knicks_players_all_stats[[#This Row],[GP]]</f>
        <v>0.2</v>
      </c>
      <c r="AB290" s="1">
        <v>3</v>
      </c>
      <c r="AC290" s="4">
        <f>knicks_players_all_stats[[#This Row],[AST]]/knicks_players_all_stats[[#This Row],[GP]]</f>
        <v>0.6</v>
      </c>
      <c r="AD290" s="1">
        <f>knicks_players_all_stats[[#This Row],[STL2]]/10</f>
        <v>1</v>
      </c>
      <c r="AE290" s="1">
        <v>10</v>
      </c>
      <c r="AF290" s="4">
        <f>knicks_players_all_stats[[#This Row],[STL]]/knicks_players_all_stats[[#This Row],[GP]]</f>
        <v>0.2</v>
      </c>
      <c r="AG290">
        <v>0</v>
      </c>
      <c r="AH290" s="1">
        <f>knicks_players_all_stats[[#This Row],[BLK2]]/10</f>
        <v>0</v>
      </c>
      <c r="AI290" s="4">
        <f>knicks_players_all_stats[[#This Row],[BLK]]/knicks_players_all_stats[[#This Row],[GP]]</f>
        <v>0</v>
      </c>
      <c r="AJ290">
        <v>70</v>
      </c>
      <c r="AK290" s="4">
        <f>knicks_players_all_stats[[#This Row],[BLKPG]]+knicks_players_all_stats[[#This Row],[STLPG]]+knicks_players_all_stats[[#This Row],[REBPG]]</f>
        <v>0.4</v>
      </c>
      <c r="AL290" s="1">
        <f>knicks_players_all_stats[[#This Row],[TOV2]]/10</f>
        <v>7</v>
      </c>
      <c r="AM290" s="4">
        <f>knicks_players_all_stats[[#This Row],[TOV]]/knicks_players_all_stats[[#This Row],[GP]]</f>
        <v>1.4</v>
      </c>
      <c r="AN290" s="1">
        <v>0</v>
      </c>
      <c r="AO290" s="1">
        <f>knicks_players_all_stats[[#This Row],[PF]]/knicks_players_all_stats[[#This Row],[GP]]</f>
        <v>0</v>
      </c>
      <c r="AP290" s="1">
        <v>8</v>
      </c>
      <c r="AQ290" s="4">
        <f>knicks_players_all_stats[[#This Row],[PTS]]/knicks_players_all_stats[[#This Row],[GP]]</f>
        <v>1.6</v>
      </c>
    </row>
    <row r="291" spans="1:43" x14ac:dyDescent="0.3">
      <c r="A291" s="1" t="s">
        <v>1364</v>
      </c>
      <c r="B291" s="1" t="s">
        <v>1293</v>
      </c>
      <c r="C291" s="1" t="str">
        <f>knicks_players_all_stats[[#This Row],[NAME]]&amp;" ("&amp;knicks_players_all_stats[[#This Row],[SEASON]]&amp;")"</f>
        <v>Nazr Mohammed (2003-04)</v>
      </c>
      <c r="D291" s="1">
        <f>knicks_players_all_stats[[#This Row],[PLAYER_AGE]]/10</f>
        <v>26</v>
      </c>
      <c r="E291">
        <v>260</v>
      </c>
      <c r="F291" s="1">
        <v>27</v>
      </c>
      <c r="G291" s="1">
        <v>6730</v>
      </c>
      <c r="H2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293</v>
      </c>
      <c r="I291" s="4">
        <f>knicks_players_all_stats[[#This Row],[VALORATION]]/knicks_players_all_stats[[#This Row],[GP]]</f>
        <v>10.851851851851851</v>
      </c>
      <c r="J291" s="1">
        <v>108</v>
      </c>
      <c r="K291" s="1">
        <v>192</v>
      </c>
      <c r="L291" s="2">
        <f>knicks_players_all_stats[[#This Row],[FGM]]/knicks_players_all_stats[[#This Row],[FGA]]</f>
        <v>0.5625</v>
      </c>
      <c r="M291" s="16">
        <f>knicks_players_all_stats[[#This Row],[FG3M2]]/10</f>
        <v>0</v>
      </c>
      <c r="N291" s="1">
        <v>0</v>
      </c>
      <c r="O291" s="1">
        <f>knicks_players_all_stats[[#This Row],[FG3A2]]/10</f>
        <v>0</v>
      </c>
      <c r="P291" s="1">
        <v>0</v>
      </c>
      <c r="Q291" s="2" t="e">
        <f>knicks_players_all_stats[[#This Row],[FG3M2]]/knicks_players_all_stats[[#This Row],[FG3A2]]</f>
        <v>#DIV/0!</v>
      </c>
      <c r="R291" s="1">
        <v>31</v>
      </c>
      <c r="S291" s="1">
        <v>59</v>
      </c>
      <c r="T291" s="3">
        <f>knicks_players_all_stats[[#This Row],[FTM]]/knicks_players_all_stats[[#This Row],[FTA]]</f>
        <v>0.52542372881355937</v>
      </c>
      <c r="U291" s="1">
        <f>knicks_players_all_stats[[#This Row],[OREB22]]/10</f>
        <v>77</v>
      </c>
      <c r="V291" s="1">
        <f>knicks_players_all_stats[[#This Row],[DREB33]]/10</f>
        <v>130</v>
      </c>
      <c r="W291" s="1">
        <f>knicks_players_all_stats[[#This Row],[REB44]]/10</f>
        <v>207</v>
      </c>
      <c r="X291">
        <v>770</v>
      </c>
      <c r="Y291">
        <v>1300</v>
      </c>
      <c r="Z291">
        <v>2070</v>
      </c>
      <c r="AA291" s="14">
        <f>knicks_players_all_stats[[#This Row],[REB]]/knicks_players_all_stats[[#This Row],[GP]]</f>
        <v>7.666666666666667</v>
      </c>
      <c r="AB291" s="1">
        <v>16</v>
      </c>
      <c r="AC291" s="4">
        <f>knicks_players_all_stats[[#This Row],[AST]]/knicks_players_all_stats[[#This Row],[GP]]</f>
        <v>0.59259259259259256</v>
      </c>
      <c r="AD291" s="1">
        <f>knicks_players_all_stats[[#This Row],[STL2]]/10</f>
        <v>33</v>
      </c>
      <c r="AE291" s="1">
        <v>330</v>
      </c>
      <c r="AF291" s="4">
        <f>knicks_players_all_stats[[#This Row],[STL]]/knicks_players_all_stats[[#This Row],[GP]]</f>
        <v>1.2222222222222223</v>
      </c>
      <c r="AG291">
        <v>250</v>
      </c>
      <c r="AH291" s="1">
        <f>knicks_players_all_stats[[#This Row],[BLK2]]/10</f>
        <v>25</v>
      </c>
      <c r="AI291" s="4">
        <f>knicks_players_all_stats[[#This Row],[BLK]]/knicks_players_all_stats[[#This Row],[GP]]</f>
        <v>0.92592592592592593</v>
      </c>
      <c r="AJ291">
        <v>410</v>
      </c>
      <c r="AK291" s="4">
        <f>knicks_players_all_stats[[#This Row],[BLKPG]]+knicks_players_all_stats[[#This Row],[STLPG]]+knicks_players_all_stats[[#This Row],[REBPG]]</f>
        <v>9.8148148148148149</v>
      </c>
      <c r="AL291" s="1">
        <f>knicks_players_all_stats[[#This Row],[TOV2]]/10</f>
        <v>41</v>
      </c>
      <c r="AM291" s="4">
        <f>knicks_players_all_stats[[#This Row],[TOV]]/knicks_players_all_stats[[#This Row],[GP]]</f>
        <v>1.5185185185185186</v>
      </c>
      <c r="AN291" s="1">
        <v>82</v>
      </c>
      <c r="AO291" s="1">
        <f>knicks_players_all_stats[[#This Row],[PF]]/knicks_players_all_stats[[#This Row],[GP]]</f>
        <v>3.0370370370370372</v>
      </c>
      <c r="AP291" s="1">
        <v>247</v>
      </c>
      <c r="AQ291" s="4">
        <f>knicks_players_all_stats[[#This Row],[PTS]]/knicks_players_all_stats[[#This Row],[GP]]</f>
        <v>9.1481481481481488</v>
      </c>
    </row>
    <row r="292" spans="1:43" customFormat="1" x14ac:dyDescent="0.3">
      <c r="A292" s="1" t="s">
        <v>1850</v>
      </c>
      <c r="B292" s="1" t="s">
        <v>1337</v>
      </c>
      <c r="C292" s="1" t="str">
        <f>knicks_players_all_stats[[#This Row],[NAME]]&amp;" ("&amp;knicks_players_all_stats[[#This Row],[SEASON]]&amp;")"</f>
        <v>Metta World Peace (2013-14)</v>
      </c>
      <c r="D292" s="1">
        <f>knicks_players_all_stats[[#This Row],[PLAYER_AGE]]/10</f>
        <v>34</v>
      </c>
      <c r="E292">
        <v>340</v>
      </c>
      <c r="F292" s="1">
        <v>29</v>
      </c>
      <c r="G292" s="1">
        <v>3880</v>
      </c>
      <c r="H2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93</v>
      </c>
      <c r="I292" s="4">
        <f>knicks_players_all_stats[[#This Row],[VALORATION]]/knicks_players_all_stats[[#This Row],[GP]]</f>
        <v>3.2068965517241379</v>
      </c>
      <c r="J292" s="1">
        <v>56</v>
      </c>
      <c r="K292" s="1">
        <v>141</v>
      </c>
      <c r="L292" s="1">
        <v>397</v>
      </c>
      <c r="M292" s="4">
        <f>knicks_players_all_stats[[#This Row],[FG3M2]]/10</f>
        <v>17</v>
      </c>
      <c r="N292" s="1">
        <v>170</v>
      </c>
      <c r="O292" s="1">
        <f>knicks_players_all_stats[[#This Row],[FG3A2]]/10</f>
        <v>54</v>
      </c>
      <c r="P292" s="1">
        <v>540</v>
      </c>
      <c r="Q292" s="2">
        <f>knicks_players_all_stats[[#This Row],[FG3M2]]/knicks_players_all_stats[[#This Row],[FG3A2]]</f>
        <v>0.31481481481481483</v>
      </c>
      <c r="R292" s="1">
        <v>10</v>
      </c>
      <c r="S292" s="1">
        <v>16</v>
      </c>
      <c r="T292" s="3">
        <f>knicks_players_all_stats[[#This Row],[FTM]]/knicks_players_all_stats[[#This Row],[FTA]]</f>
        <v>0.625</v>
      </c>
      <c r="U292" s="1">
        <f>knicks_players_all_stats[[#This Row],[OREB22]]/10</f>
        <v>18</v>
      </c>
      <c r="V292" s="1">
        <f>knicks_players_all_stats[[#This Row],[DREB33]]/10</f>
        <v>41</v>
      </c>
      <c r="W292" s="1">
        <f>knicks_players_all_stats[[#This Row],[REB44]]/10</f>
        <v>59</v>
      </c>
      <c r="X292">
        <v>180</v>
      </c>
      <c r="Y292">
        <v>410</v>
      </c>
      <c r="Z292">
        <v>590</v>
      </c>
      <c r="AA292" s="14">
        <f>knicks_players_all_stats[[#This Row],[REB]]/knicks_players_all_stats[[#This Row],[GP]]</f>
        <v>2.0344827586206895</v>
      </c>
      <c r="AB292" s="1">
        <v>17</v>
      </c>
      <c r="AC292" s="4">
        <f>knicks_players_all_stats[[#This Row],[AST]]/knicks_players_all_stats[[#This Row],[GP]]</f>
        <v>0.58620689655172409</v>
      </c>
      <c r="AD292" s="1">
        <f>knicks_players_all_stats[[#This Row],[STL2]]/10</f>
        <v>24</v>
      </c>
      <c r="AE292" s="1">
        <v>240</v>
      </c>
      <c r="AF292" s="4">
        <f>knicks_players_all_stats[[#This Row],[STL]]/knicks_players_all_stats[[#This Row],[GP]]</f>
        <v>0.82758620689655171</v>
      </c>
      <c r="AG292">
        <v>80</v>
      </c>
      <c r="AH292" s="1">
        <f>knicks_players_all_stats[[#This Row],[BLK2]]/10</f>
        <v>8</v>
      </c>
      <c r="AI292" s="4">
        <f>knicks_players_all_stats[[#This Row],[BLK]]/knicks_players_all_stats[[#This Row],[GP]]</f>
        <v>0.27586206896551724</v>
      </c>
      <c r="AJ292">
        <v>190</v>
      </c>
      <c r="AK292" s="4">
        <f>knicks_players_all_stats[[#This Row],[BLKPG]]+knicks_players_all_stats[[#This Row],[STLPG]]+knicks_players_all_stats[[#This Row],[REBPG]]</f>
        <v>3.1379310344827585</v>
      </c>
      <c r="AL292" s="1">
        <f>knicks_players_all_stats[[#This Row],[TOV2]]/10</f>
        <v>19</v>
      </c>
      <c r="AM292" s="4">
        <f>knicks_players_all_stats[[#This Row],[TOV]]/knicks_players_all_stats[[#This Row],[GP]]</f>
        <v>0.65517241379310343</v>
      </c>
      <c r="AN292" s="1">
        <v>44</v>
      </c>
      <c r="AO292" s="1">
        <f>knicks_players_all_stats[[#This Row],[PF]]/knicks_players_all_stats[[#This Row],[GP]]</f>
        <v>1.5172413793103448</v>
      </c>
      <c r="AP292" s="1">
        <v>139</v>
      </c>
      <c r="AQ292" s="4">
        <f>knicks_players_all_stats[[#This Row],[PTS]]/knicks_players_all_stats[[#This Row],[GP]]</f>
        <v>4.7931034482758621</v>
      </c>
    </row>
    <row r="293" spans="1:43" x14ac:dyDescent="0.3">
      <c r="A293" s="1" t="s">
        <v>1501</v>
      </c>
      <c r="B293" s="1" t="s">
        <v>1292</v>
      </c>
      <c r="C293" s="1" t="str">
        <f>knicks_players_all_stats[[#This Row],[NAME]]&amp;" ("&amp;knicks_players_all_stats[[#This Row],[SEASON]]&amp;")"</f>
        <v>Marcus Camby (2012-13)</v>
      </c>
      <c r="D293" s="1">
        <f>knicks_players_all_stats[[#This Row],[PLAYER_AGE]]/10</f>
        <v>39</v>
      </c>
      <c r="E293">
        <v>390</v>
      </c>
      <c r="F293" s="1">
        <v>24</v>
      </c>
      <c r="G293" s="1">
        <v>2500</v>
      </c>
      <c r="H2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67</v>
      </c>
      <c r="I293" s="4">
        <f>knicks_players_all_stats[[#This Row],[VALORATION]]/knicks_players_all_stats[[#This Row],[GP]]</f>
        <v>2.7916666666666665</v>
      </c>
      <c r="J293" s="1">
        <v>17</v>
      </c>
      <c r="K293" s="1">
        <v>53</v>
      </c>
      <c r="L293" s="2">
        <f>knicks_players_all_stats[[#This Row],[FGM]]/knicks_players_all_stats[[#This Row],[FGA]]</f>
        <v>0.32075471698113206</v>
      </c>
      <c r="M293" s="16">
        <f>knicks_players_all_stats[[#This Row],[FG3M2]]/10</f>
        <v>0</v>
      </c>
      <c r="N293" s="1">
        <v>0</v>
      </c>
      <c r="O293" s="1">
        <f>knicks_players_all_stats[[#This Row],[FG3A2]]/10</f>
        <v>0</v>
      </c>
      <c r="P293" s="1">
        <v>0</v>
      </c>
      <c r="Q293" s="2" t="e">
        <f>knicks_players_all_stats[[#This Row],[FG3M2]]/knicks_players_all_stats[[#This Row],[FG3A2]]</f>
        <v>#DIV/0!</v>
      </c>
      <c r="R293" s="1">
        <v>8</v>
      </c>
      <c r="S293" s="1">
        <v>19</v>
      </c>
      <c r="T293" s="3">
        <f>knicks_players_all_stats[[#This Row],[FTM]]/knicks_players_all_stats[[#This Row],[FTA]]</f>
        <v>0.42105263157894735</v>
      </c>
      <c r="U293" s="1">
        <f>knicks_players_all_stats[[#This Row],[OREB22]]/10</f>
        <v>24</v>
      </c>
      <c r="V293" s="1">
        <f>knicks_players_all_stats[[#This Row],[DREB33]]/10</f>
        <v>56</v>
      </c>
      <c r="W293" s="1">
        <f>knicks_players_all_stats[[#This Row],[REB44]]/10</f>
        <v>80</v>
      </c>
      <c r="X293">
        <v>240</v>
      </c>
      <c r="Y293">
        <v>560</v>
      </c>
      <c r="Z293">
        <v>800</v>
      </c>
      <c r="AA293" s="14">
        <f>knicks_players_all_stats[[#This Row],[REB]]/knicks_players_all_stats[[#This Row],[GP]]</f>
        <v>3.3333333333333335</v>
      </c>
      <c r="AB293" s="1">
        <v>14</v>
      </c>
      <c r="AC293" s="4">
        <f>knicks_players_all_stats[[#This Row],[AST]]/knicks_players_all_stats[[#This Row],[GP]]</f>
        <v>0.58333333333333337</v>
      </c>
      <c r="AD293" s="1">
        <f>knicks_players_all_stats[[#This Row],[STL2]]/10</f>
        <v>7</v>
      </c>
      <c r="AE293" s="1">
        <v>70</v>
      </c>
      <c r="AF293" s="4">
        <f>knicks_players_all_stats[[#This Row],[STL]]/knicks_players_all_stats[[#This Row],[GP]]</f>
        <v>0.29166666666666669</v>
      </c>
      <c r="AG293">
        <v>140</v>
      </c>
      <c r="AH293" s="1">
        <f>knicks_players_all_stats[[#This Row],[BLK2]]/10</f>
        <v>14</v>
      </c>
      <c r="AI293" s="4">
        <f>knicks_players_all_stats[[#This Row],[BLK]]/knicks_players_all_stats[[#This Row],[GP]]</f>
        <v>0.58333333333333337</v>
      </c>
      <c r="AJ293">
        <v>150</v>
      </c>
      <c r="AK293" s="4">
        <f>knicks_players_all_stats[[#This Row],[BLKPG]]+knicks_players_all_stats[[#This Row],[STLPG]]+knicks_players_all_stats[[#This Row],[REBPG]]</f>
        <v>4.2083333333333339</v>
      </c>
      <c r="AL293" s="1">
        <f>knicks_players_all_stats[[#This Row],[TOV2]]/10</f>
        <v>15</v>
      </c>
      <c r="AM293" s="4">
        <f>knicks_players_all_stats[[#This Row],[TOV]]/knicks_players_all_stats[[#This Row],[GP]]</f>
        <v>0.625</v>
      </c>
      <c r="AN293" s="1">
        <v>28</v>
      </c>
      <c r="AO293" s="1">
        <f>knicks_players_all_stats[[#This Row],[PF]]/knicks_players_all_stats[[#This Row],[GP]]</f>
        <v>1.1666666666666667</v>
      </c>
      <c r="AP293" s="1">
        <v>42</v>
      </c>
      <c r="AQ293" s="4">
        <f>knicks_players_all_stats[[#This Row],[PTS]]/knicks_players_all_stats[[#This Row],[GP]]</f>
        <v>1.75</v>
      </c>
    </row>
    <row r="294" spans="1:43" x14ac:dyDescent="0.3">
      <c r="A294" s="1" t="s">
        <v>1534</v>
      </c>
      <c r="B294" s="1" t="s">
        <v>1369</v>
      </c>
      <c r="C294" s="1" t="str">
        <f>knicks_players_all_stats[[#This Row],[NAME]]&amp;" ("&amp;knicks_players_all_stats[[#This Row],[SEASON]]&amp;")"</f>
        <v>Mitchell Robinson (2023-24)</v>
      </c>
      <c r="D294" s="1">
        <f>knicks_players_all_stats[[#This Row],[PLAYER_AGE]]/10</f>
        <v>26</v>
      </c>
      <c r="E294">
        <v>260</v>
      </c>
      <c r="F294" s="1">
        <v>31</v>
      </c>
      <c r="G294" s="1">
        <v>7680</v>
      </c>
      <c r="H2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353</v>
      </c>
      <c r="I294" s="4">
        <f>knicks_players_all_stats[[#This Row],[VALORATION]]/knicks_players_all_stats[[#This Row],[GP]]</f>
        <v>11.387096774193548</v>
      </c>
      <c r="J294" s="1">
        <v>73</v>
      </c>
      <c r="K294" s="1">
        <v>127</v>
      </c>
      <c r="L294" s="2">
        <f>knicks_players_all_stats[[#This Row],[FGM]]/knicks_players_all_stats[[#This Row],[FGA]]</f>
        <v>0.57480314960629919</v>
      </c>
      <c r="M294" s="16">
        <f>knicks_players_all_stats[[#This Row],[FG3M2]]/10</f>
        <v>0</v>
      </c>
      <c r="N294" s="1">
        <v>0</v>
      </c>
      <c r="O294" s="1">
        <f>knicks_players_all_stats[[#This Row],[FG3A2]]/10</f>
        <v>0</v>
      </c>
      <c r="P294" s="1">
        <v>0</v>
      </c>
      <c r="Q294" s="2" t="e">
        <f>knicks_players_all_stats[[#This Row],[FG3M2]]/knicks_players_all_stats[[#This Row],[FG3A2]]</f>
        <v>#DIV/0!</v>
      </c>
      <c r="R294" s="1">
        <v>27</v>
      </c>
      <c r="S294" s="1">
        <v>66</v>
      </c>
      <c r="T294" s="3">
        <f>knicks_players_all_stats[[#This Row],[FTM]]/knicks_players_all_stats[[#This Row],[FTA]]</f>
        <v>0.40909090909090912</v>
      </c>
      <c r="U294" s="1">
        <f>knicks_players_all_stats[[#This Row],[OREB22]]/10</f>
        <v>142</v>
      </c>
      <c r="V294" s="1">
        <f>knicks_players_all_stats[[#This Row],[DREB33]]/10</f>
        <v>121</v>
      </c>
      <c r="W294" s="1">
        <f>knicks_players_all_stats[[#This Row],[REB44]]/10</f>
        <v>263</v>
      </c>
      <c r="X294">
        <v>1420</v>
      </c>
      <c r="Y294">
        <v>1210</v>
      </c>
      <c r="Z294">
        <v>2630</v>
      </c>
      <c r="AA294" s="14">
        <f>knicks_players_all_stats[[#This Row],[REB]]/knicks_players_all_stats[[#This Row],[GP]]</f>
        <v>8.4838709677419359</v>
      </c>
      <c r="AB294" s="1">
        <v>18</v>
      </c>
      <c r="AC294" s="4">
        <f>knicks_players_all_stats[[#This Row],[AST]]/knicks_players_all_stats[[#This Row],[GP]]</f>
        <v>0.58064516129032262</v>
      </c>
      <c r="AD294" s="1">
        <f>knicks_players_all_stats[[#This Row],[STL2]]/10</f>
        <v>37</v>
      </c>
      <c r="AE294" s="1">
        <v>370</v>
      </c>
      <c r="AF294" s="4">
        <f>knicks_players_all_stats[[#This Row],[STL]]/knicks_players_all_stats[[#This Row],[GP]]</f>
        <v>1.1935483870967742</v>
      </c>
      <c r="AG294">
        <v>350</v>
      </c>
      <c r="AH294" s="1">
        <f>knicks_players_all_stats[[#This Row],[BLK2]]/10</f>
        <v>35</v>
      </c>
      <c r="AI294" s="4">
        <f>knicks_players_all_stats[[#This Row],[BLK]]/knicks_players_all_stats[[#This Row],[GP]]</f>
        <v>1.1290322580645162</v>
      </c>
      <c r="AJ294">
        <v>250</v>
      </c>
      <c r="AK294" s="4">
        <f>knicks_players_all_stats[[#This Row],[BLKPG]]+knicks_players_all_stats[[#This Row],[STLPG]]+knicks_players_all_stats[[#This Row],[REBPG]]</f>
        <v>10.806451612903226</v>
      </c>
      <c r="AL294" s="1">
        <f>knicks_players_all_stats[[#This Row],[TOV2]]/10</f>
        <v>25</v>
      </c>
      <c r="AM294" s="4">
        <f>knicks_players_all_stats[[#This Row],[TOV]]/knicks_players_all_stats[[#This Row],[GP]]</f>
        <v>0.80645161290322576</v>
      </c>
      <c r="AN294" s="1">
        <v>55</v>
      </c>
      <c r="AO294" s="1">
        <f>knicks_players_all_stats[[#This Row],[PF]]/knicks_players_all_stats[[#This Row],[GP]]</f>
        <v>1.7741935483870968</v>
      </c>
      <c r="AP294" s="1">
        <v>173</v>
      </c>
      <c r="AQ294" s="4">
        <f>knicks_players_all_stats[[#This Row],[PTS]]/knicks_players_all_stats[[#This Row],[GP]]</f>
        <v>5.580645161290323</v>
      </c>
    </row>
    <row r="295" spans="1:43" x14ac:dyDescent="0.3">
      <c r="A295" s="1" t="s">
        <v>1286</v>
      </c>
      <c r="B295" s="1" t="s">
        <v>1289</v>
      </c>
      <c r="C295" s="1" t="str">
        <f>knicks_players_all_stats[[#This Row],[NAME]]&amp;" ("&amp;knicks_players_all_stats[[#This Row],[SEASON]]&amp;")"</f>
        <v>Frank Ntilikina (2020-21)</v>
      </c>
      <c r="D295" s="1">
        <f>knicks_players_all_stats[[#This Row],[PLAYER_AGE]]/10</f>
        <v>22</v>
      </c>
      <c r="E295">
        <v>220</v>
      </c>
      <c r="F295" s="1">
        <v>33</v>
      </c>
      <c r="G295" s="1">
        <v>3220</v>
      </c>
      <c r="H2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</v>
      </c>
      <c r="I295" s="4">
        <f>knicks_players_all_stats[[#This Row],[VALORATION]]/knicks_players_all_stats[[#This Row],[GP]]</f>
        <v>1.3636363636363635</v>
      </c>
      <c r="J295" s="1">
        <v>29</v>
      </c>
      <c r="K295" s="1">
        <v>79</v>
      </c>
      <c r="L295" s="2">
        <f>knicks_players_all_stats[[#This Row],[FGM]]/knicks_players_all_stats[[#This Row],[FGA]]</f>
        <v>0.36708860759493672</v>
      </c>
      <c r="M295" s="16">
        <f>knicks_players_all_stats[[#This Row],[FG3M2]]/10</f>
        <v>23</v>
      </c>
      <c r="N295" s="1">
        <v>230</v>
      </c>
      <c r="O295" s="1">
        <f>knicks_players_all_stats[[#This Row],[FG3A2]]/10</f>
        <v>48</v>
      </c>
      <c r="P295" s="1">
        <v>480</v>
      </c>
      <c r="Q295" s="2">
        <f>knicks_players_all_stats[[#This Row],[FG3M2]]/knicks_players_all_stats[[#This Row],[FG3A2]]</f>
        <v>0.47916666666666669</v>
      </c>
      <c r="R295" s="1">
        <v>8</v>
      </c>
      <c r="S295" s="1">
        <v>18</v>
      </c>
      <c r="T295" s="3">
        <f>knicks_players_all_stats[[#This Row],[FTM]]/knicks_players_all_stats[[#This Row],[FTA]]</f>
        <v>0.44444444444444442</v>
      </c>
      <c r="U295" s="1">
        <f>knicks_players_all_stats[[#This Row],[OREB22]]/10</f>
        <v>6</v>
      </c>
      <c r="V295" s="1">
        <f>knicks_players_all_stats[[#This Row],[DREB33]]/10</f>
        <v>25</v>
      </c>
      <c r="W295" s="1">
        <f>knicks_players_all_stats[[#This Row],[REB44]]/10</f>
        <v>31</v>
      </c>
      <c r="X295">
        <v>60</v>
      </c>
      <c r="Y295">
        <v>250</v>
      </c>
      <c r="Z295">
        <v>310</v>
      </c>
      <c r="AA295" s="14">
        <f>knicks_players_all_stats[[#This Row],[REB]]/knicks_players_all_stats[[#This Row],[GP]]</f>
        <v>0.93939393939393945</v>
      </c>
      <c r="AB295" s="1">
        <v>19</v>
      </c>
      <c r="AC295" s="4">
        <f>knicks_players_all_stats[[#This Row],[AST]]/knicks_players_all_stats[[#This Row],[GP]]</f>
        <v>0.5757575757575758</v>
      </c>
      <c r="AD295" s="1">
        <f>knicks_players_all_stats[[#This Row],[STL2]]/10</f>
        <v>18</v>
      </c>
      <c r="AE295" s="1">
        <v>180</v>
      </c>
      <c r="AF295" s="4">
        <f>knicks_players_all_stats[[#This Row],[STL]]/knicks_players_all_stats[[#This Row],[GP]]</f>
        <v>0.54545454545454541</v>
      </c>
      <c r="AG295">
        <v>40</v>
      </c>
      <c r="AH295" s="1">
        <f>knicks_players_all_stats[[#This Row],[BLK2]]/10</f>
        <v>4</v>
      </c>
      <c r="AI295" s="4">
        <f>knicks_players_all_stats[[#This Row],[BLK]]/knicks_players_all_stats[[#This Row],[GP]]</f>
        <v>0.12121212121212122</v>
      </c>
      <c r="AJ295">
        <v>110</v>
      </c>
      <c r="AK295" s="4">
        <f>knicks_players_all_stats[[#This Row],[BLKPG]]+knicks_players_all_stats[[#This Row],[STLPG]]+knicks_players_all_stats[[#This Row],[REBPG]]</f>
        <v>1.606060606060606</v>
      </c>
      <c r="AL295" s="1">
        <f>knicks_players_all_stats[[#This Row],[TOV2]]/10</f>
        <v>11</v>
      </c>
      <c r="AM295" s="4">
        <f>knicks_players_all_stats[[#This Row],[TOV]]/knicks_players_all_stats[[#This Row],[GP]]</f>
        <v>0.33333333333333331</v>
      </c>
      <c r="AN295" s="1">
        <v>45</v>
      </c>
      <c r="AO295" s="1">
        <f>knicks_players_all_stats[[#This Row],[PF]]/knicks_players_all_stats[[#This Row],[GP]]</f>
        <v>1.3636363636363635</v>
      </c>
      <c r="AP295" s="1">
        <v>89</v>
      </c>
      <c r="AQ295" s="4">
        <f>knicks_players_all_stats[[#This Row],[PTS]]/knicks_players_all_stats[[#This Row],[GP]]</f>
        <v>2.6969696969696968</v>
      </c>
    </row>
    <row r="296" spans="1:43" x14ac:dyDescent="0.3">
      <c r="A296" s="1" t="s">
        <v>1786</v>
      </c>
      <c r="B296" s="1" t="s">
        <v>1295</v>
      </c>
      <c r="C296" s="1" t="str">
        <f>knicks_players_all_stats[[#This Row],[NAME]]&amp;" ("&amp;knicks_players_all_stats[[#This Row],[SEASON]]&amp;")"</f>
        <v>Michael Sweetney (2004-05)</v>
      </c>
      <c r="D296" s="1">
        <f>knicks_players_all_stats[[#This Row],[PLAYER_AGE]]/10</f>
        <v>22</v>
      </c>
      <c r="E296">
        <v>220</v>
      </c>
      <c r="F296" s="1">
        <v>77</v>
      </c>
      <c r="G296" s="1">
        <v>15090</v>
      </c>
      <c r="H2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567</v>
      </c>
      <c r="I296" s="4">
        <f>knicks_players_all_stats[[#This Row],[VALORATION]]/knicks_players_all_stats[[#This Row],[GP]]</f>
        <v>7.3636363636363633</v>
      </c>
      <c r="J296" s="1">
        <v>237</v>
      </c>
      <c r="K296" s="1">
        <v>446</v>
      </c>
      <c r="L296" s="1">
        <v>531</v>
      </c>
      <c r="M296" s="4">
        <f>knicks_players_all_stats[[#This Row],[FG3M2]]/10</f>
        <v>0</v>
      </c>
      <c r="N296" s="1">
        <v>0</v>
      </c>
      <c r="O296" s="1">
        <f>knicks_players_all_stats[[#This Row],[FG3A2]]/10</f>
        <v>1</v>
      </c>
      <c r="P296" s="1">
        <v>10</v>
      </c>
      <c r="Q296" s="2">
        <f>knicks_players_all_stats[[#This Row],[FG3M2]]/knicks_players_all_stats[[#This Row],[FG3A2]]</f>
        <v>0</v>
      </c>
      <c r="R296" s="1">
        <v>176</v>
      </c>
      <c r="S296" s="1">
        <v>235</v>
      </c>
      <c r="T296" s="3">
        <f>knicks_players_all_stats[[#This Row],[FTM]]/knicks_players_all_stats[[#This Row],[FTA]]</f>
        <v>0.74893617021276593</v>
      </c>
      <c r="U296" s="1">
        <f>knicks_players_all_stats[[#This Row],[OREB22]]/10</f>
        <v>169</v>
      </c>
      <c r="V296" s="1">
        <f>knicks_players_all_stats[[#This Row],[DREB33]]/10</f>
        <v>249</v>
      </c>
      <c r="W296" s="1">
        <f>knicks_players_all_stats[[#This Row],[REB44]]/10</f>
        <v>418</v>
      </c>
      <c r="X296">
        <v>1690</v>
      </c>
      <c r="Y296">
        <v>2490</v>
      </c>
      <c r="Z296">
        <v>4180</v>
      </c>
      <c r="AA296" s="14">
        <f>knicks_players_all_stats[[#This Row],[REB]]/knicks_players_all_stats[[#This Row],[GP]]</f>
        <v>5.4285714285714288</v>
      </c>
      <c r="AB296" s="1">
        <v>44</v>
      </c>
      <c r="AC296" s="4">
        <f>knicks_players_all_stats[[#This Row],[AST]]/knicks_players_all_stats[[#This Row],[GP]]</f>
        <v>0.5714285714285714</v>
      </c>
      <c r="AD296" s="1">
        <f>knicks_players_all_stats[[#This Row],[STL2]]/10</f>
        <v>27</v>
      </c>
      <c r="AE296" s="1">
        <v>270</v>
      </c>
      <c r="AF296" s="4">
        <f>knicks_players_all_stats[[#This Row],[STL]]/knicks_players_all_stats[[#This Row],[GP]]</f>
        <v>0.35064935064935066</v>
      </c>
      <c r="AG296">
        <v>280</v>
      </c>
      <c r="AH296" s="1">
        <f>knicks_players_all_stats[[#This Row],[BLK2]]/10</f>
        <v>28</v>
      </c>
      <c r="AI296" s="4">
        <f>knicks_players_all_stats[[#This Row],[BLK]]/knicks_players_all_stats[[#This Row],[GP]]</f>
        <v>0.36363636363636365</v>
      </c>
      <c r="AJ296">
        <v>1080</v>
      </c>
      <c r="AK296" s="4">
        <f>knicks_players_all_stats[[#This Row],[BLKPG]]+knicks_players_all_stats[[#This Row],[STLPG]]+knicks_players_all_stats[[#This Row],[REBPG]]</f>
        <v>6.1428571428571432</v>
      </c>
      <c r="AL296" s="1">
        <f>knicks_players_all_stats[[#This Row],[TOV2]]/10</f>
        <v>108</v>
      </c>
      <c r="AM296" s="4">
        <f>knicks_players_all_stats[[#This Row],[TOV]]/knicks_players_all_stats[[#This Row],[GP]]</f>
        <v>1.4025974025974026</v>
      </c>
      <c r="AN296" s="1">
        <v>224</v>
      </c>
      <c r="AO296" s="1">
        <f>knicks_players_all_stats[[#This Row],[PF]]/knicks_players_all_stats[[#This Row],[GP]]</f>
        <v>2.9090909090909092</v>
      </c>
      <c r="AP296" s="1">
        <v>650</v>
      </c>
      <c r="AQ296" s="4">
        <f>knicks_players_all_stats[[#This Row],[PTS]]/knicks_players_all_stats[[#This Row],[GP]]</f>
        <v>8.4415584415584419</v>
      </c>
    </row>
    <row r="297" spans="1:43" x14ac:dyDescent="0.3">
      <c r="A297" s="1" t="s">
        <v>1663</v>
      </c>
      <c r="B297" s="1" t="s">
        <v>1303</v>
      </c>
      <c r="C297" s="1" t="str">
        <f>knicks_players_all_stats[[#This Row],[NAME]]&amp;" ("&amp;knicks_players_all_stats[[#This Row],[SEASON]]&amp;")"</f>
        <v>Malik Rose (2007-08)</v>
      </c>
      <c r="D297" s="1">
        <f>knicks_players_all_stats[[#This Row],[PLAYER_AGE]]/10</f>
        <v>33</v>
      </c>
      <c r="E297">
        <v>330</v>
      </c>
      <c r="F297" s="1">
        <v>49</v>
      </c>
      <c r="G297" s="1">
        <v>4940</v>
      </c>
      <c r="H2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77</v>
      </c>
      <c r="I297" s="4">
        <f>knicks_players_all_stats[[#This Row],[VALORATION]]/knicks_players_all_stats[[#This Row],[GP]]</f>
        <v>1.5714285714285714</v>
      </c>
      <c r="J297" s="1">
        <v>66</v>
      </c>
      <c r="K297" s="1">
        <v>180</v>
      </c>
      <c r="L297" s="1">
        <v>367</v>
      </c>
      <c r="M297" s="4">
        <f>knicks_players_all_stats[[#This Row],[FG3M2]]/10</f>
        <v>2</v>
      </c>
      <c r="N297" s="1">
        <v>20</v>
      </c>
      <c r="O297" s="1">
        <f>knicks_players_all_stats[[#This Row],[FG3A2]]/10</f>
        <v>7</v>
      </c>
      <c r="P297" s="1">
        <v>70</v>
      </c>
      <c r="Q297" s="2">
        <f>knicks_players_all_stats[[#This Row],[FG3M2]]/knicks_players_all_stats[[#This Row],[FG3A2]]</f>
        <v>0.2857142857142857</v>
      </c>
      <c r="R297" s="1">
        <v>37</v>
      </c>
      <c r="S297" s="1">
        <v>51</v>
      </c>
      <c r="T297" s="3">
        <f>knicks_players_all_stats[[#This Row],[FTM]]/knicks_players_all_stats[[#This Row],[FTA]]</f>
        <v>0.72549019607843135</v>
      </c>
      <c r="U297" s="1">
        <f>knicks_players_all_stats[[#This Row],[OREB22]]/10</f>
        <v>31</v>
      </c>
      <c r="V297" s="1">
        <f>knicks_players_all_stats[[#This Row],[DREB33]]/10</f>
        <v>72</v>
      </c>
      <c r="W297" s="1">
        <f>knicks_players_all_stats[[#This Row],[REB44]]/10</f>
        <v>103</v>
      </c>
      <c r="X297">
        <v>310</v>
      </c>
      <c r="Y297">
        <v>720</v>
      </c>
      <c r="Z297">
        <v>1030</v>
      </c>
      <c r="AA297" s="14">
        <f>knicks_players_all_stats[[#This Row],[REB]]/knicks_players_all_stats[[#This Row],[GP]]</f>
        <v>2.1020408163265305</v>
      </c>
      <c r="AB297" s="1">
        <v>28</v>
      </c>
      <c r="AC297" s="4">
        <f>knicks_players_all_stats[[#This Row],[AST]]/knicks_players_all_stats[[#This Row],[GP]]</f>
        <v>0.5714285714285714</v>
      </c>
      <c r="AD297" s="1">
        <f>knicks_players_all_stats[[#This Row],[STL2]]/10</f>
        <v>16</v>
      </c>
      <c r="AE297" s="1">
        <v>160</v>
      </c>
      <c r="AF297" s="4">
        <f>knicks_players_all_stats[[#This Row],[STL]]/knicks_players_all_stats[[#This Row],[GP]]</f>
        <v>0.32653061224489793</v>
      </c>
      <c r="AG297">
        <v>70</v>
      </c>
      <c r="AH297" s="1">
        <f>knicks_players_all_stats[[#This Row],[BLK2]]/10</f>
        <v>7</v>
      </c>
      <c r="AI297" s="4">
        <f>knicks_players_all_stats[[#This Row],[BLK]]/knicks_players_all_stats[[#This Row],[GP]]</f>
        <v>0.14285714285714285</v>
      </c>
      <c r="AJ297">
        <v>400</v>
      </c>
      <c r="AK297" s="4">
        <f>knicks_players_all_stats[[#This Row],[BLKPG]]+knicks_players_all_stats[[#This Row],[STLPG]]+knicks_players_all_stats[[#This Row],[REBPG]]</f>
        <v>2.5714285714285712</v>
      </c>
      <c r="AL297" s="1">
        <f>knicks_players_all_stats[[#This Row],[TOV2]]/10</f>
        <v>40</v>
      </c>
      <c r="AM297" s="4">
        <f>knicks_players_all_stats[[#This Row],[TOV]]/knicks_players_all_stats[[#This Row],[GP]]</f>
        <v>0.81632653061224492</v>
      </c>
      <c r="AN297" s="1">
        <v>80</v>
      </c>
      <c r="AO297" s="1">
        <f>knicks_players_all_stats[[#This Row],[PF]]/knicks_players_all_stats[[#This Row],[GP]]</f>
        <v>1.6326530612244898</v>
      </c>
      <c r="AP297" s="1">
        <v>171</v>
      </c>
      <c r="AQ297" s="4">
        <f>knicks_players_all_stats[[#This Row],[PTS]]/knicks_players_all_stats[[#This Row],[GP]]</f>
        <v>3.489795918367347</v>
      </c>
    </row>
    <row r="298" spans="1:43" x14ac:dyDescent="0.3">
      <c r="A298" s="1" t="s">
        <v>1309</v>
      </c>
      <c r="B298" s="1" t="s">
        <v>1259</v>
      </c>
      <c r="C298" s="1" t="str">
        <f>knicks_players_all_stats[[#This Row],[NAME]]&amp;" ("&amp;knicks_players_all_stats[[#This Row],[SEASON]]&amp;")"</f>
        <v>Joakim Noah (2017-18)</v>
      </c>
      <c r="D298" s="1">
        <f>knicks_players_all_stats[[#This Row],[PLAYER_AGE]]/10</f>
        <v>33</v>
      </c>
      <c r="E298">
        <v>330</v>
      </c>
      <c r="F298" s="1">
        <v>7</v>
      </c>
      <c r="G298" s="1">
        <v>400</v>
      </c>
      <c r="H2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</v>
      </c>
      <c r="I298" s="4">
        <f>knicks_players_all_stats[[#This Row],[VALORATION]]/knicks_players_all_stats[[#This Row],[GP]]</f>
        <v>2.5714285714285716</v>
      </c>
      <c r="J298" s="1">
        <v>5</v>
      </c>
      <c r="K298" s="1">
        <v>10</v>
      </c>
      <c r="L298" s="2">
        <f>knicks_players_all_stats[[#This Row],[FGM]]/knicks_players_all_stats[[#This Row],[FGA]]</f>
        <v>0.5</v>
      </c>
      <c r="M298" s="16">
        <f>knicks_players_all_stats[[#This Row],[FG3M2]]/10</f>
        <v>0</v>
      </c>
      <c r="N298" s="1">
        <v>0</v>
      </c>
      <c r="O298" s="1">
        <f>knicks_players_all_stats[[#This Row],[FG3A2]]/10</f>
        <v>0</v>
      </c>
      <c r="P298" s="1">
        <v>0</v>
      </c>
      <c r="Q298" s="2" t="e">
        <f>knicks_players_all_stats[[#This Row],[FG3M2]]/knicks_players_all_stats[[#This Row],[FG3A2]]</f>
        <v>#DIV/0!</v>
      </c>
      <c r="R298" s="1">
        <v>2</v>
      </c>
      <c r="S298" s="1">
        <v>4</v>
      </c>
      <c r="T298" s="3">
        <f>knicks_players_all_stats[[#This Row],[FTM]]/knicks_players_all_stats[[#This Row],[FTA]]</f>
        <v>0.5</v>
      </c>
      <c r="U298" s="1">
        <f>knicks_players_all_stats[[#This Row],[OREB22]]/10</f>
        <v>6</v>
      </c>
      <c r="V298" s="1">
        <f>knicks_players_all_stats[[#This Row],[DREB33]]/10</f>
        <v>8</v>
      </c>
      <c r="W298" s="1">
        <f>knicks_players_all_stats[[#This Row],[REB44]]/10</f>
        <v>14</v>
      </c>
      <c r="X298">
        <v>60</v>
      </c>
      <c r="Y298">
        <v>80</v>
      </c>
      <c r="Z298">
        <v>140</v>
      </c>
      <c r="AA298" s="14">
        <f>knicks_players_all_stats[[#This Row],[REB]]/knicks_players_all_stats[[#This Row],[GP]]</f>
        <v>2</v>
      </c>
      <c r="AB298" s="1">
        <v>4</v>
      </c>
      <c r="AC298" s="4">
        <f>knicks_players_all_stats[[#This Row],[AST]]/knicks_players_all_stats[[#This Row],[GP]]</f>
        <v>0.5714285714285714</v>
      </c>
      <c r="AD298" s="1">
        <f>knicks_players_all_stats[[#This Row],[STL2]]/10</f>
        <v>2</v>
      </c>
      <c r="AE298" s="1">
        <v>20</v>
      </c>
      <c r="AF298" s="4">
        <f>knicks_players_all_stats[[#This Row],[STL]]/knicks_players_all_stats[[#This Row],[GP]]</f>
        <v>0.2857142857142857</v>
      </c>
      <c r="AG298">
        <v>20</v>
      </c>
      <c r="AH298" s="1">
        <f>knicks_players_all_stats[[#This Row],[BLK2]]/10</f>
        <v>2</v>
      </c>
      <c r="AI298" s="4">
        <f>knicks_players_all_stats[[#This Row],[BLK]]/knicks_players_all_stats[[#This Row],[GP]]</f>
        <v>0.2857142857142857</v>
      </c>
      <c r="AJ298">
        <v>40</v>
      </c>
      <c r="AK298" s="4">
        <f>knicks_players_all_stats[[#This Row],[BLKPG]]+knicks_players_all_stats[[#This Row],[STLPG]]+knicks_players_all_stats[[#This Row],[REBPG]]</f>
        <v>2.5714285714285712</v>
      </c>
      <c r="AL298" s="1">
        <f>knicks_players_all_stats[[#This Row],[TOV2]]/10</f>
        <v>4</v>
      </c>
      <c r="AM298" s="4">
        <f>knicks_players_all_stats[[#This Row],[TOV]]/knicks_players_all_stats[[#This Row],[GP]]</f>
        <v>0.5714285714285714</v>
      </c>
      <c r="AN298" s="1">
        <v>5</v>
      </c>
      <c r="AO298" s="1">
        <f>knicks_players_all_stats[[#This Row],[PF]]/knicks_players_all_stats[[#This Row],[GP]]</f>
        <v>0.7142857142857143</v>
      </c>
      <c r="AP298" s="1">
        <v>12</v>
      </c>
      <c r="AQ298" s="4">
        <f>knicks_players_all_stats[[#This Row],[PTS]]/knicks_players_all_stats[[#This Row],[GP]]</f>
        <v>1.7142857142857142</v>
      </c>
    </row>
    <row r="299" spans="1:43" customFormat="1" x14ac:dyDescent="0.3">
      <c r="A299" s="1" t="s">
        <v>1710</v>
      </c>
      <c r="B299" s="1" t="s">
        <v>1369</v>
      </c>
      <c r="C299" s="1" t="str">
        <f>knicks_players_all_stats[[#This Row],[NAME]]&amp;" ("&amp;knicks_players_all_stats[[#This Row],[SEASON]]&amp;")"</f>
        <v>Taj Gibson (2023-24)</v>
      </c>
      <c r="D299" s="1">
        <f>knicks_players_all_stats[[#This Row],[PLAYER_AGE]]/10</f>
        <v>39</v>
      </c>
      <c r="E299">
        <v>390</v>
      </c>
      <c r="F299" s="1">
        <v>16</v>
      </c>
      <c r="G299" s="1">
        <v>1650</v>
      </c>
      <c r="H2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</v>
      </c>
      <c r="I299" s="4">
        <f>knicks_players_all_stats[[#This Row],[VALORATION]]/knicks_players_all_stats[[#This Row],[GP]]</f>
        <v>0.75</v>
      </c>
      <c r="J299" s="1">
        <v>7</v>
      </c>
      <c r="K299" s="1">
        <v>23</v>
      </c>
      <c r="L299" s="1">
        <v>304</v>
      </c>
      <c r="M299" s="4">
        <f>knicks_players_all_stats[[#This Row],[FG3M2]]/10</f>
        <v>0</v>
      </c>
      <c r="N299" s="1">
        <v>0</v>
      </c>
      <c r="O299" s="1">
        <f>knicks_players_all_stats[[#This Row],[FG3A2]]/10</f>
        <v>6</v>
      </c>
      <c r="P299" s="1">
        <v>60</v>
      </c>
      <c r="Q299" s="2">
        <f>knicks_players_all_stats[[#This Row],[FG3M2]]/knicks_players_all_stats[[#This Row],[FG3A2]]</f>
        <v>0</v>
      </c>
      <c r="R299" s="1">
        <v>2</v>
      </c>
      <c r="S299" s="1">
        <v>2</v>
      </c>
      <c r="T299" s="3">
        <f>knicks_players_all_stats[[#This Row],[FTM]]/knicks_players_all_stats[[#This Row],[FTA]]</f>
        <v>1</v>
      </c>
      <c r="U299" s="1">
        <f>knicks_players_all_stats[[#This Row],[OREB22]]/10</f>
        <v>10</v>
      </c>
      <c r="V299" s="1">
        <f>knicks_players_all_stats[[#This Row],[DREB33]]/10</f>
        <v>18</v>
      </c>
      <c r="W299" s="1">
        <f>knicks_players_all_stats[[#This Row],[REB44]]/10</f>
        <v>28</v>
      </c>
      <c r="X299">
        <v>100</v>
      </c>
      <c r="Y299">
        <v>180</v>
      </c>
      <c r="Z299">
        <v>280</v>
      </c>
      <c r="AA299" s="14">
        <f>knicks_players_all_stats[[#This Row],[REB]]/knicks_players_all_stats[[#This Row],[GP]]</f>
        <v>1.75</v>
      </c>
      <c r="AB299" s="1">
        <v>9</v>
      </c>
      <c r="AC299" s="4">
        <f>knicks_players_all_stats[[#This Row],[AST]]/knicks_players_all_stats[[#This Row],[GP]]</f>
        <v>0.5625</v>
      </c>
      <c r="AD299" s="1">
        <f>knicks_players_all_stats[[#This Row],[STL2]]/10</f>
        <v>2</v>
      </c>
      <c r="AE299" s="1">
        <v>20</v>
      </c>
      <c r="AF299" s="4">
        <f>knicks_players_all_stats[[#This Row],[STL]]/knicks_players_all_stats[[#This Row],[GP]]</f>
        <v>0.125</v>
      </c>
      <c r="AG299">
        <v>60</v>
      </c>
      <c r="AH299" s="1">
        <f>knicks_players_all_stats[[#This Row],[BLK2]]/10</f>
        <v>6</v>
      </c>
      <c r="AI299" s="4">
        <f>knicks_players_all_stats[[#This Row],[BLK]]/knicks_players_all_stats[[#This Row],[GP]]</f>
        <v>0.375</v>
      </c>
      <c r="AJ299">
        <v>50</v>
      </c>
      <c r="AK299" s="4">
        <f>knicks_players_all_stats[[#This Row],[BLKPG]]+knicks_players_all_stats[[#This Row],[STLPG]]+knicks_players_all_stats[[#This Row],[REBPG]]</f>
        <v>2.25</v>
      </c>
      <c r="AL299" s="1">
        <f>knicks_players_all_stats[[#This Row],[TOV2]]/10</f>
        <v>5</v>
      </c>
      <c r="AM299" s="4">
        <f>knicks_players_all_stats[[#This Row],[TOV]]/knicks_players_all_stats[[#This Row],[GP]]</f>
        <v>0.3125</v>
      </c>
      <c r="AN299" s="1">
        <v>28</v>
      </c>
      <c r="AO299" s="1">
        <f>knicks_players_all_stats[[#This Row],[PF]]/knicks_players_all_stats[[#This Row],[GP]]</f>
        <v>1.75</v>
      </c>
      <c r="AP299" s="1">
        <v>16</v>
      </c>
      <c r="AQ299" s="4">
        <f>knicks_players_all_stats[[#This Row],[PTS]]/knicks_players_all_stats[[#This Row],[GP]]</f>
        <v>1</v>
      </c>
    </row>
    <row r="300" spans="1:43" x14ac:dyDescent="0.3">
      <c r="A300" s="1" t="s">
        <v>1831</v>
      </c>
      <c r="B300" s="1" t="s">
        <v>1304</v>
      </c>
      <c r="C300" s="1" t="str">
        <f>knicks_players_all_stats[[#This Row],[NAME]]&amp;" ("&amp;knicks_players_all_stats[[#This Row],[SEASON]]&amp;")"</f>
        <v>Chris Wilcox (2008-09)</v>
      </c>
      <c r="D300" s="1">
        <f>knicks_players_all_stats[[#This Row],[PLAYER_AGE]]/10</f>
        <v>26</v>
      </c>
      <c r="E300">
        <v>260</v>
      </c>
      <c r="F300" s="1">
        <v>25</v>
      </c>
      <c r="G300" s="1">
        <v>3300</v>
      </c>
      <c r="H3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102</v>
      </c>
      <c r="I300" s="4">
        <f>knicks_players_all_stats[[#This Row],[VALORATION]]/knicks_players_all_stats[[#This Row],[GP]]</f>
        <v>4.08</v>
      </c>
      <c r="J300" s="1">
        <v>54</v>
      </c>
      <c r="K300" s="1">
        <v>102</v>
      </c>
      <c r="L300" s="1">
        <v>529</v>
      </c>
      <c r="M300" s="4">
        <f>knicks_players_all_stats[[#This Row],[FG3M2]]/10</f>
        <v>0</v>
      </c>
      <c r="N300" s="1">
        <v>0</v>
      </c>
      <c r="O300" s="1">
        <f>knicks_players_all_stats[[#This Row],[FG3A2]]/10</f>
        <v>1</v>
      </c>
      <c r="P300" s="1">
        <v>10</v>
      </c>
      <c r="Q300" s="2">
        <f>knicks_players_all_stats[[#This Row],[FG3M2]]/knicks_players_all_stats[[#This Row],[FG3A2]]</f>
        <v>0</v>
      </c>
      <c r="R300" s="1">
        <v>27</v>
      </c>
      <c r="S300" s="1">
        <v>53</v>
      </c>
      <c r="T300" s="3">
        <f>knicks_players_all_stats[[#This Row],[FTM]]/knicks_players_all_stats[[#This Row],[FTA]]</f>
        <v>0.50943396226415094</v>
      </c>
      <c r="U300" s="1">
        <f>knicks_players_all_stats[[#This Row],[OREB22]]/10</f>
        <v>31</v>
      </c>
      <c r="V300" s="1">
        <f>knicks_players_all_stats[[#This Row],[DREB33]]/10</f>
        <v>51</v>
      </c>
      <c r="W300" s="1">
        <f>knicks_players_all_stats[[#This Row],[REB44]]/10</f>
        <v>82</v>
      </c>
      <c r="X300">
        <v>310</v>
      </c>
      <c r="Y300">
        <v>510</v>
      </c>
      <c r="Z300">
        <v>820</v>
      </c>
      <c r="AA300" s="14">
        <f>knicks_players_all_stats[[#This Row],[REB]]/knicks_players_all_stats[[#This Row],[GP]]</f>
        <v>3.28</v>
      </c>
      <c r="AB300" s="1">
        <v>14</v>
      </c>
      <c r="AC300" s="4">
        <f>knicks_players_all_stats[[#This Row],[AST]]/knicks_players_all_stats[[#This Row],[GP]]</f>
        <v>0.56000000000000005</v>
      </c>
      <c r="AD300" s="1">
        <f>knicks_players_all_stats[[#This Row],[STL2]]/10</f>
        <v>8</v>
      </c>
      <c r="AE300" s="1">
        <v>80</v>
      </c>
      <c r="AF300" s="4">
        <f>knicks_players_all_stats[[#This Row],[STL]]/knicks_players_all_stats[[#This Row],[GP]]</f>
        <v>0.32</v>
      </c>
      <c r="AG300">
        <v>50</v>
      </c>
      <c r="AH300" s="1">
        <f>knicks_players_all_stats[[#This Row],[BLK2]]/10</f>
        <v>5</v>
      </c>
      <c r="AI300" s="4">
        <f>knicks_players_all_stats[[#This Row],[BLK]]/knicks_players_all_stats[[#This Row],[GP]]</f>
        <v>0.2</v>
      </c>
      <c r="AJ300">
        <v>200</v>
      </c>
      <c r="AK300" s="4">
        <f>knicks_players_all_stats[[#This Row],[BLKPG]]+knicks_players_all_stats[[#This Row],[STLPG]]+knicks_players_all_stats[[#This Row],[REBPG]]</f>
        <v>3.8</v>
      </c>
      <c r="AL300" s="1">
        <f>knicks_players_all_stats[[#This Row],[TOV2]]/10</f>
        <v>20</v>
      </c>
      <c r="AM300" s="4">
        <f>knicks_players_all_stats[[#This Row],[TOV]]/knicks_players_all_stats[[#This Row],[GP]]</f>
        <v>0.8</v>
      </c>
      <c r="AN300" s="1">
        <v>48</v>
      </c>
      <c r="AO300" s="1">
        <f>knicks_players_all_stats[[#This Row],[PF]]/knicks_players_all_stats[[#This Row],[GP]]</f>
        <v>1.92</v>
      </c>
      <c r="AP300" s="1">
        <v>135</v>
      </c>
      <c r="AQ300" s="4">
        <f>knicks_players_all_stats[[#This Row],[PTS]]/knicks_players_all_stats[[#This Row],[GP]]</f>
        <v>5.4</v>
      </c>
    </row>
    <row r="301" spans="1:43" customFormat="1" x14ac:dyDescent="0.3">
      <c r="A301" s="1" t="s">
        <v>1608</v>
      </c>
      <c r="B301" s="1" t="s">
        <v>1325</v>
      </c>
      <c r="C301" s="1" t="str">
        <f>knicks_players_all_stats[[#This Row],[NAME]]&amp;" ("&amp;knicks_players_all_stats[[#This Row],[SEASON]]&amp;")"</f>
        <v>Michael Doleac (2002-03)</v>
      </c>
      <c r="D301" s="1">
        <f>knicks_players_all_stats[[#This Row],[PLAYER_AGE]]/10</f>
        <v>26</v>
      </c>
      <c r="E301">
        <v>260</v>
      </c>
      <c r="F301" s="1">
        <v>75</v>
      </c>
      <c r="G301" s="1">
        <v>10400</v>
      </c>
      <c r="H3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215</v>
      </c>
      <c r="I301" s="4">
        <f>knicks_players_all_stats[[#This Row],[VALORATION]]/knicks_players_all_stats[[#This Row],[GP]]</f>
        <v>2.8666666666666667</v>
      </c>
      <c r="J301" s="1">
        <v>146</v>
      </c>
      <c r="K301" s="1">
        <v>343</v>
      </c>
      <c r="L301" s="2">
        <f>knicks_players_all_stats[[#This Row],[FGM]]/knicks_players_all_stats[[#This Row],[FGA]]</f>
        <v>0.42565597667638483</v>
      </c>
      <c r="M301" s="16">
        <f>knicks_players_all_stats[[#This Row],[FG3M2]]/10</f>
        <v>0</v>
      </c>
      <c r="N301" s="1">
        <v>0</v>
      </c>
      <c r="O301" s="1">
        <f>knicks_players_all_stats[[#This Row],[FG3A2]]/10</f>
        <v>0</v>
      </c>
      <c r="P301" s="1">
        <v>0</v>
      </c>
      <c r="Q301" s="2" t="e">
        <f>knicks_players_all_stats[[#This Row],[FG3M2]]/knicks_players_all_stats[[#This Row],[FG3A2]]</f>
        <v>#DIV/0!</v>
      </c>
      <c r="R301" s="1">
        <v>36</v>
      </c>
      <c r="S301" s="1">
        <v>46</v>
      </c>
      <c r="T301" s="3">
        <f>knicks_players_all_stats[[#This Row],[FTM]]/knicks_players_all_stats[[#This Row],[FTA]]</f>
        <v>0.78260869565217395</v>
      </c>
      <c r="U301" s="1">
        <f>knicks_players_all_stats[[#This Row],[OREB22]]/10</f>
        <v>65</v>
      </c>
      <c r="V301" s="1">
        <f>knicks_players_all_stats[[#This Row],[DREB33]]/10</f>
        <v>154</v>
      </c>
      <c r="W301" s="1">
        <f>knicks_players_all_stats[[#This Row],[REB44]]/10</f>
        <v>219</v>
      </c>
      <c r="X301">
        <v>650</v>
      </c>
      <c r="Y301">
        <v>1540</v>
      </c>
      <c r="Z301">
        <v>2190</v>
      </c>
      <c r="AA301" s="14">
        <f>knicks_players_all_stats[[#This Row],[REB]]/knicks_players_all_stats[[#This Row],[GP]]</f>
        <v>2.92</v>
      </c>
      <c r="AB301" s="1">
        <v>42</v>
      </c>
      <c r="AC301" s="4">
        <f>knicks_players_all_stats[[#This Row],[AST]]/knicks_players_all_stats[[#This Row],[GP]]</f>
        <v>0.56000000000000005</v>
      </c>
      <c r="AD301" s="1">
        <f>knicks_players_all_stats[[#This Row],[STL2]]/10</f>
        <v>16</v>
      </c>
      <c r="AE301" s="1">
        <v>160</v>
      </c>
      <c r="AF301" s="4">
        <f>knicks_players_all_stats[[#This Row],[STL]]/knicks_players_all_stats[[#This Row],[GP]]</f>
        <v>0.21333333333333335</v>
      </c>
      <c r="AG301">
        <v>160</v>
      </c>
      <c r="AH301" s="1">
        <f>knicks_players_all_stats[[#This Row],[BLK2]]/10</f>
        <v>16</v>
      </c>
      <c r="AI301" s="4">
        <f>knicks_players_all_stats[[#This Row],[BLK]]/knicks_players_all_stats[[#This Row],[GP]]</f>
        <v>0.21333333333333335</v>
      </c>
      <c r="AJ301">
        <v>490</v>
      </c>
      <c r="AK301" s="4">
        <f>knicks_players_all_stats[[#This Row],[BLKPG]]+knicks_players_all_stats[[#This Row],[STLPG]]+knicks_players_all_stats[[#This Row],[REBPG]]</f>
        <v>3.3466666666666667</v>
      </c>
      <c r="AL301" s="1">
        <f>knicks_players_all_stats[[#This Row],[TOV2]]/10</f>
        <v>49</v>
      </c>
      <c r="AM301" s="4">
        <f>knicks_players_all_stats[[#This Row],[TOV]]/knicks_players_all_stats[[#This Row],[GP]]</f>
        <v>0.65333333333333332</v>
      </c>
      <c r="AN301" s="1">
        <v>150</v>
      </c>
      <c r="AO301" s="1">
        <f>knicks_players_all_stats[[#This Row],[PF]]/knicks_players_all_stats[[#This Row],[GP]]</f>
        <v>2</v>
      </c>
      <c r="AP301" s="1">
        <v>328</v>
      </c>
      <c r="AQ301" s="4">
        <f>knicks_players_all_stats[[#This Row],[PTS]]/knicks_players_all_stats[[#This Row],[GP]]</f>
        <v>4.3733333333333331</v>
      </c>
    </row>
    <row r="302" spans="1:43" customFormat="1" x14ac:dyDescent="0.3">
      <c r="A302" s="1" t="s">
        <v>1817</v>
      </c>
      <c r="B302" s="1" t="s">
        <v>1312</v>
      </c>
      <c r="C302" s="1" t="str">
        <f>knicks_players_all_stats[[#This Row],[NAME]]&amp;" ("&amp;knicks_players_all_stats[[#This Row],[SEASON]]&amp;")"</f>
        <v>Henry Walker (2010-11)</v>
      </c>
      <c r="D302" s="1">
        <f>knicks_players_all_stats[[#This Row],[PLAYER_AGE]]/10</f>
        <v>23</v>
      </c>
      <c r="E302">
        <v>230</v>
      </c>
      <c r="F302" s="1">
        <v>61</v>
      </c>
      <c r="G302" s="1">
        <v>7840</v>
      </c>
      <c r="H3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218</v>
      </c>
      <c r="I302" s="4">
        <f>knicks_players_all_stats[[#This Row],[VALORATION]]/knicks_players_all_stats[[#This Row],[GP]]</f>
        <v>3.5737704918032787</v>
      </c>
      <c r="J302" s="1">
        <v>104</v>
      </c>
      <c r="K302" s="1">
        <v>236</v>
      </c>
      <c r="L302" s="1">
        <v>441</v>
      </c>
      <c r="M302" s="4">
        <f>knicks_players_all_stats[[#This Row],[FG3M2]]/10</f>
        <v>59</v>
      </c>
      <c r="N302" s="1">
        <v>590</v>
      </c>
      <c r="O302" s="1">
        <f>knicks_players_all_stats[[#This Row],[FG3A2]]/10</f>
        <v>153</v>
      </c>
      <c r="P302" s="1">
        <v>1530</v>
      </c>
      <c r="Q302" s="2">
        <f>knicks_players_all_stats[[#This Row],[FG3M2]]/knicks_players_all_stats[[#This Row],[FG3A2]]</f>
        <v>0.38562091503267976</v>
      </c>
      <c r="R302" s="1">
        <v>31</v>
      </c>
      <c r="S302" s="1">
        <v>44</v>
      </c>
      <c r="T302" s="3">
        <f>knicks_players_all_stats[[#This Row],[FTM]]/knicks_players_all_stats[[#This Row],[FTA]]</f>
        <v>0.70454545454545459</v>
      </c>
      <c r="U302" s="1">
        <f>knicks_players_all_stats[[#This Row],[OREB22]]/10</f>
        <v>16</v>
      </c>
      <c r="V302" s="1">
        <f>knicks_players_all_stats[[#This Row],[DREB33]]/10</f>
        <v>106</v>
      </c>
      <c r="W302" s="1">
        <f>knicks_players_all_stats[[#This Row],[REB44]]/10</f>
        <v>122</v>
      </c>
      <c r="X302">
        <v>160</v>
      </c>
      <c r="Y302">
        <v>1060</v>
      </c>
      <c r="Z302">
        <v>1220</v>
      </c>
      <c r="AA302" s="14">
        <f>knicks_players_all_stats[[#This Row],[REB]]/knicks_players_all_stats[[#This Row],[GP]]</f>
        <v>2</v>
      </c>
      <c r="AB302" s="1">
        <v>34</v>
      </c>
      <c r="AC302" s="4">
        <f>knicks_players_all_stats[[#This Row],[AST]]/knicks_players_all_stats[[#This Row],[GP]]</f>
        <v>0.55737704918032782</v>
      </c>
      <c r="AD302" s="1">
        <f>knicks_players_all_stats[[#This Row],[STL2]]/10</f>
        <v>21</v>
      </c>
      <c r="AE302" s="1">
        <v>210</v>
      </c>
      <c r="AF302" s="4">
        <f>knicks_players_all_stats[[#This Row],[STL]]/knicks_players_all_stats[[#This Row],[GP]]</f>
        <v>0.34426229508196721</v>
      </c>
      <c r="AG302">
        <v>60</v>
      </c>
      <c r="AH302" s="1">
        <f>knicks_players_all_stats[[#This Row],[BLK2]]/10</f>
        <v>6</v>
      </c>
      <c r="AI302" s="4">
        <f>knicks_players_all_stats[[#This Row],[BLK]]/knicks_players_all_stats[[#This Row],[GP]]</f>
        <v>9.8360655737704916E-2</v>
      </c>
      <c r="AJ302">
        <v>370</v>
      </c>
      <c r="AK302" s="4">
        <f>knicks_players_all_stats[[#This Row],[BLKPG]]+knicks_players_all_stats[[#This Row],[STLPG]]+knicks_players_all_stats[[#This Row],[REBPG]]</f>
        <v>2.442622950819672</v>
      </c>
      <c r="AL302" s="1">
        <f>knicks_players_all_stats[[#This Row],[TOV2]]/10</f>
        <v>37</v>
      </c>
      <c r="AM302" s="4">
        <f>knicks_players_all_stats[[#This Row],[TOV]]/knicks_players_all_stats[[#This Row],[GP]]</f>
        <v>0.60655737704918034</v>
      </c>
      <c r="AN302" s="1">
        <v>81</v>
      </c>
      <c r="AO302" s="1">
        <f>knicks_players_all_stats[[#This Row],[PF]]/knicks_players_all_stats[[#This Row],[GP]]</f>
        <v>1.3278688524590163</v>
      </c>
      <c r="AP302" s="1">
        <v>298</v>
      </c>
      <c r="AQ302" s="4">
        <f>knicks_players_all_stats[[#This Row],[PTS]]/knicks_players_all_stats[[#This Row],[GP]]</f>
        <v>4.8852459016393439</v>
      </c>
    </row>
    <row r="303" spans="1:43" customFormat="1" x14ac:dyDescent="0.3">
      <c r="A303" s="1" t="s">
        <v>1552</v>
      </c>
      <c r="B303" s="1" t="s">
        <v>1369</v>
      </c>
      <c r="C303" s="1" t="str">
        <f>knicks_players_all_stats[[#This Row],[NAME]]&amp;" ("&amp;knicks_players_all_stats[[#This Row],[SEASON]]&amp;")"</f>
        <v>Jericho Sims (2023-24)</v>
      </c>
      <c r="D303" s="1">
        <f>knicks_players_all_stats[[#This Row],[PLAYER_AGE]]/10</f>
        <v>25</v>
      </c>
      <c r="E303">
        <v>250</v>
      </c>
      <c r="F303" s="1">
        <v>45</v>
      </c>
      <c r="G303" s="1">
        <v>5850</v>
      </c>
      <c r="H3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205</v>
      </c>
      <c r="I303" s="4">
        <f>knicks_players_all_stats[[#This Row],[VALORATION]]/knicks_players_all_stats[[#This Row],[GP]]</f>
        <v>4.5555555555555554</v>
      </c>
      <c r="J303" s="1">
        <v>38</v>
      </c>
      <c r="K303" s="1">
        <v>55</v>
      </c>
      <c r="L303" s="2">
        <f>knicks_players_all_stats[[#This Row],[FGM]]/knicks_players_all_stats[[#This Row],[FGA]]</f>
        <v>0.69090909090909092</v>
      </c>
      <c r="M303" s="16">
        <f>knicks_players_all_stats[[#This Row],[FG3M2]]/10</f>
        <v>0</v>
      </c>
      <c r="N303" s="1">
        <v>0</v>
      </c>
      <c r="O303" s="1">
        <f>knicks_players_all_stats[[#This Row],[FG3A2]]/10</f>
        <v>0</v>
      </c>
      <c r="P303" s="1">
        <v>0</v>
      </c>
      <c r="Q303" s="2" t="e">
        <f>knicks_players_all_stats[[#This Row],[FG3M2]]/knicks_players_all_stats[[#This Row],[FG3A2]]</f>
        <v>#DIV/0!</v>
      </c>
      <c r="R303" s="1">
        <v>16</v>
      </c>
      <c r="S303" s="1">
        <v>24</v>
      </c>
      <c r="T303" s="3">
        <f>knicks_players_all_stats[[#This Row],[FTM]]/knicks_players_all_stats[[#This Row],[FTA]]</f>
        <v>0.66666666666666663</v>
      </c>
      <c r="U303" s="1">
        <f>knicks_players_all_stats[[#This Row],[OREB22]]/10</f>
        <v>56</v>
      </c>
      <c r="V303" s="1">
        <f>knicks_players_all_stats[[#This Row],[DREB33]]/10</f>
        <v>91</v>
      </c>
      <c r="W303" s="1">
        <f>knicks_players_all_stats[[#This Row],[REB44]]/10</f>
        <v>147</v>
      </c>
      <c r="X303">
        <v>560</v>
      </c>
      <c r="Y303">
        <v>910</v>
      </c>
      <c r="Z303">
        <v>1470</v>
      </c>
      <c r="AA303" s="14">
        <f>knicks_players_all_stats[[#This Row],[REB]]/knicks_players_all_stats[[#This Row],[GP]]</f>
        <v>3.2666666666666666</v>
      </c>
      <c r="AB303" s="1">
        <v>25</v>
      </c>
      <c r="AC303" s="4">
        <f>knicks_players_all_stats[[#This Row],[AST]]/knicks_players_all_stats[[#This Row],[GP]]</f>
        <v>0.55555555555555558</v>
      </c>
      <c r="AD303" s="1">
        <f>knicks_players_all_stats[[#This Row],[STL2]]/10</f>
        <v>8</v>
      </c>
      <c r="AE303" s="1">
        <v>80</v>
      </c>
      <c r="AF303" s="4">
        <f>knicks_players_all_stats[[#This Row],[STL]]/knicks_players_all_stats[[#This Row],[GP]]</f>
        <v>0.17777777777777778</v>
      </c>
      <c r="AG303">
        <v>190</v>
      </c>
      <c r="AH303" s="1">
        <f>knicks_players_all_stats[[#This Row],[BLK2]]/10</f>
        <v>19</v>
      </c>
      <c r="AI303" s="4">
        <f>knicks_players_all_stats[[#This Row],[BLK]]/knicks_players_all_stats[[#This Row],[GP]]</f>
        <v>0.42222222222222222</v>
      </c>
      <c r="AJ303">
        <v>160</v>
      </c>
      <c r="AK303" s="4">
        <f>knicks_players_all_stats[[#This Row],[BLKPG]]+knicks_players_all_stats[[#This Row],[STLPG]]+knicks_players_all_stats[[#This Row],[REBPG]]</f>
        <v>3.8666666666666667</v>
      </c>
      <c r="AL303" s="1">
        <f>knicks_players_all_stats[[#This Row],[TOV2]]/10</f>
        <v>16</v>
      </c>
      <c r="AM303" s="4">
        <f>knicks_players_all_stats[[#This Row],[TOV]]/knicks_players_all_stats[[#This Row],[GP]]</f>
        <v>0.35555555555555557</v>
      </c>
      <c r="AN303" s="1">
        <v>45</v>
      </c>
      <c r="AO303" s="1">
        <f>knicks_players_all_stats[[#This Row],[PF]]/knicks_players_all_stats[[#This Row],[GP]]</f>
        <v>1</v>
      </c>
      <c r="AP303" s="1">
        <v>92</v>
      </c>
      <c r="AQ303" s="4">
        <f>knicks_players_all_stats[[#This Row],[PTS]]/knicks_players_all_stats[[#This Row],[GP]]</f>
        <v>2.0444444444444443</v>
      </c>
    </row>
    <row r="304" spans="1:43" customFormat="1" x14ac:dyDescent="0.3">
      <c r="A304" s="1" t="s">
        <v>1663</v>
      </c>
      <c r="B304" s="1" t="s">
        <v>1304</v>
      </c>
      <c r="C304" s="1" t="str">
        <f>knicks_players_all_stats[[#This Row],[NAME]]&amp;" ("&amp;knicks_players_all_stats[[#This Row],[SEASON]]&amp;")"</f>
        <v>Malik Rose (2008-09)</v>
      </c>
      <c r="D304" s="1">
        <f>knicks_players_all_stats[[#This Row],[PLAYER_AGE]]/10</f>
        <v>34</v>
      </c>
      <c r="E304">
        <v>340</v>
      </c>
      <c r="F304" s="1">
        <v>18</v>
      </c>
      <c r="G304" s="1">
        <v>1600</v>
      </c>
      <c r="H3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304" s="4">
        <f>knicks_players_all_stats[[#This Row],[VALORATION]]/knicks_players_all_stats[[#This Row],[GP]]</f>
        <v>-5.5555555555555552E-2</v>
      </c>
      <c r="J304" s="1">
        <v>11</v>
      </c>
      <c r="K304" s="1">
        <v>41</v>
      </c>
      <c r="L304" s="1">
        <v>268</v>
      </c>
      <c r="M304" s="4">
        <f>knicks_players_all_stats[[#This Row],[FG3M2]]/10</f>
        <v>0</v>
      </c>
      <c r="N304" s="1">
        <v>0</v>
      </c>
      <c r="O304" s="1">
        <f>knicks_players_all_stats[[#This Row],[FG3A2]]/10</f>
        <v>4</v>
      </c>
      <c r="P304" s="1">
        <v>40</v>
      </c>
      <c r="Q304" s="2">
        <f>knicks_players_all_stats[[#This Row],[FG3M2]]/knicks_players_all_stats[[#This Row],[FG3A2]]</f>
        <v>0</v>
      </c>
      <c r="R304" s="1">
        <v>8</v>
      </c>
      <c r="S304" s="1">
        <v>11</v>
      </c>
      <c r="T304" s="3">
        <f>knicks_players_all_stats[[#This Row],[FTM]]/knicks_players_all_stats[[#This Row],[FTA]]</f>
        <v>0.72727272727272729</v>
      </c>
      <c r="U304" s="1">
        <f>knicks_players_all_stats[[#This Row],[OREB22]]/10</f>
        <v>4</v>
      </c>
      <c r="V304" s="1">
        <f>knicks_players_all_stats[[#This Row],[DREB33]]/10</f>
        <v>27</v>
      </c>
      <c r="W304" s="1">
        <f>knicks_players_all_stats[[#This Row],[REB44]]/10</f>
        <v>31</v>
      </c>
      <c r="X304">
        <v>40</v>
      </c>
      <c r="Y304">
        <v>270</v>
      </c>
      <c r="Z304">
        <v>310</v>
      </c>
      <c r="AA304" s="14">
        <f>knicks_players_all_stats[[#This Row],[REB]]/knicks_players_all_stats[[#This Row],[GP]]</f>
        <v>1.7222222222222223</v>
      </c>
      <c r="AB304" s="1">
        <v>10</v>
      </c>
      <c r="AC304" s="4">
        <f>knicks_players_all_stats[[#This Row],[AST]]/knicks_players_all_stats[[#This Row],[GP]]</f>
        <v>0.55555555555555558</v>
      </c>
      <c r="AD304" s="1">
        <f>knicks_players_all_stats[[#This Row],[STL2]]/10</f>
        <v>1</v>
      </c>
      <c r="AE304" s="1">
        <v>10</v>
      </c>
      <c r="AF304" s="4">
        <f>knicks_players_all_stats[[#This Row],[STL]]/knicks_players_all_stats[[#This Row],[GP]]</f>
        <v>5.5555555555555552E-2</v>
      </c>
      <c r="AG304">
        <v>10</v>
      </c>
      <c r="AH304" s="1">
        <f>knicks_players_all_stats[[#This Row],[BLK2]]/10</f>
        <v>1</v>
      </c>
      <c r="AI304" s="4">
        <f>knicks_players_all_stats[[#This Row],[BLK]]/knicks_players_all_stats[[#This Row],[GP]]</f>
        <v>5.5555555555555552E-2</v>
      </c>
      <c r="AJ304">
        <v>170</v>
      </c>
      <c r="AK304" s="4">
        <f>knicks_players_all_stats[[#This Row],[BLKPG]]+knicks_players_all_stats[[#This Row],[STLPG]]+knicks_players_all_stats[[#This Row],[REBPG]]</f>
        <v>1.8333333333333335</v>
      </c>
      <c r="AL304" s="1">
        <f>knicks_players_all_stats[[#This Row],[TOV2]]/10</f>
        <v>17</v>
      </c>
      <c r="AM304" s="4">
        <f>knicks_players_all_stats[[#This Row],[TOV]]/knicks_players_all_stats[[#This Row],[GP]]</f>
        <v>0.94444444444444442</v>
      </c>
      <c r="AN304" s="1">
        <v>24</v>
      </c>
      <c r="AO304" s="1">
        <f>knicks_players_all_stats[[#This Row],[PF]]/knicks_players_all_stats[[#This Row],[GP]]</f>
        <v>1.3333333333333333</v>
      </c>
      <c r="AP304" s="1">
        <v>30</v>
      </c>
      <c r="AQ304" s="4">
        <f>knicks_players_all_stats[[#This Row],[PTS]]/knicks_players_all_stats[[#This Row],[GP]]</f>
        <v>1.6666666666666667</v>
      </c>
    </row>
    <row r="305" spans="1:43" customFormat="1" x14ac:dyDescent="0.3">
      <c r="A305" s="1" t="s">
        <v>1534</v>
      </c>
      <c r="B305" s="1" t="s">
        <v>1289</v>
      </c>
      <c r="C305" s="1" t="str">
        <f>knicks_players_all_stats[[#This Row],[NAME]]&amp;" ("&amp;knicks_players_all_stats[[#This Row],[SEASON]]&amp;")"</f>
        <v>Mitchell Robinson (2020-21)</v>
      </c>
      <c r="D305" s="1">
        <f>knicks_players_all_stats[[#This Row],[PLAYER_AGE]]/10</f>
        <v>23</v>
      </c>
      <c r="E305">
        <v>230</v>
      </c>
      <c r="F305" s="1">
        <v>31</v>
      </c>
      <c r="G305" s="1">
        <v>8530</v>
      </c>
      <c r="H3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405</v>
      </c>
      <c r="I305" s="4">
        <f>knicks_players_all_stats[[#This Row],[VALORATION]]/knicks_players_all_stats[[#This Row],[GP]]</f>
        <v>13.064516129032258</v>
      </c>
      <c r="J305" s="1">
        <v>115</v>
      </c>
      <c r="K305" s="1">
        <v>176</v>
      </c>
      <c r="L305" s="2">
        <f>knicks_players_all_stats[[#This Row],[FGM]]/knicks_players_all_stats[[#This Row],[FGA]]</f>
        <v>0.65340909090909094</v>
      </c>
      <c r="M305" s="16">
        <f>knicks_players_all_stats[[#This Row],[FG3M2]]/10</f>
        <v>0</v>
      </c>
      <c r="N305" s="1">
        <v>0</v>
      </c>
      <c r="O305" s="1">
        <f>knicks_players_all_stats[[#This Row],[FG3A2]]/10</f>
        <v>0</v>
      </c>
      <c r="P305" s="1">
        <v>0</v>
      </c>
      <c r="Q305" s="2" t="e">
        <f>knicks_players_all_stats[[#This Row],[FG3M2]]/knicks_players_all_stats[[#This Row],[FG3A2]]</f>
        <v>#DIV/0!</v>
      </c>
      <c r="R305" s="1">
        <v>26</v>
      </c>
      <c r="S305" s="1">
        <v>53</v>
      </c>
      <c r="T305" s="3">
        <f>knicks_players_all_stats[[#This Row],[FTM]]/knicks_players_all_stats[[#This Row],[FTA]]</f>
        <v>0.49056603773584906</v>
      </c>
      <c r="U305" s="1">
        <f>knicks_players_all_stats[[#This Row],[OREB22]]/10</f>
        <v>113</v>
      </c>
      <c r="V305" s="1">
        <f>knicks_players_all_stats[[#This Row],[DREB33]]/10</f>
        <v>139</v>
      </c>
      <c r="W305" s="1">
        <f>knicks_players_all_stats[[#This Row],[REB44]]/10</f>
        <v>252</v>
      </c>
      <c r="X305">
        <v>1130</v>
      </c>
      <c r="Y305">
        <v>1390</v>
      </c>
      <c r="Z305">
        <v>2520</v>
      </c>
      <c r="AA305" s="14">
        <f>knicks_players_all_stats[[#This Row],[REB]]/knicks_players_all_stats[[#This Row],[GP]]</f>
        <v>8.129032258064516</v>
      </c>
      <c r="AB305" s="1">
        <v>17</v>
      </c>
      <c r="AC305" s="4">
        <f>knicks_players_all_stats[[#This Row],[AST]]/knicks_players_all_stats[[#This Row],[GP]]</f>
        <v>0.54838709677419351</v>
      </c>
      <c r="AD305" s="1">
        <f>knicks_players_all_stats[[#This Row],[STL2]]/10</f>
        <v>35</v>
      </c>
      <c r="AE305" s="1">
        <v>350</v>
      </c>
      <c r="AF305" s="4">
        <f>knicks_players_all_stats[[#This Row],[STL]]/knicks_players_all_stats[[#This Row],[GP]]</f>
        <v>1.1290322580645162</v>
      </c>
      <c r="AG305">
        <v>450</v>
      </c>
      <c r="AH305" s="1">
        <f>knicks_players_all_stats[[#This Row],[BLK2]]/10</f>
        <v>45</v>
      </c>
      <c r="AI305" s="4">
        <f>knicks_players_all_stats[[#This Row],[BLK]]/knicks_players_all_stats[[#This Row],[GP]]</f>
        <v>1.4516129032258065</v>
      </c>
      <c r="AJ305">
        <v>260</v>
      </c>
      <c r="AK305" s="4">
        <f>knicks_players_all_stats[[#This Row],[BLKPG]]+knicks_players_all_stats[[#This Row],[STLPG]]+knicks_players_all_stats[[#This Row],[REBPG]]</f>
        <v>10.70967741935484</v>
      </c>
      <c r="AL305" s="1">
        <f>knicks_players_all_stats[[#This Row],[TOV2]]/10</f>
        <v>26</v>
      </c>
      <c r="AM305" s="4">
        <f>knicks_players_all_stats[[#This Row],[TOV]]/knicks_players_all_stats[[#This Row],[GP]]</f>
        <v>0.83870967741935487</v>
      </c>
      <c r="AN305" s="1">
        <v>86</v>
      </c>
      <c r="AO305" s="1">
        <f>knicks_players_all_stats[[#This Row],[PF]]/knicks_players_all_stats[[#This Row],[GP]]</f>
        <v>2.774193548387097</v>
      </c>
      <c r="AP305" s="1">
        <v>256</v>
      </c>
      <c r="AQ305" s="4">
        <f>knicks_players_all_stats[[#This Row],[PTS]]/knicks_players_all_stats[[#This Row],[GP]]</f>
        <v>8.258064516129032</v>
      </c>
    </row>
    <row r="306" spans="1:43" customFormat="1" x14ac:dyDescent="0.3">
      <c r="A306" s="1" t="s">
        <v>1676</v>
      </c>
      <c r="B306" s="1" t="s">
        <v>1303</v>
      </c>
      <c r="C306" s="1" t="str">
        <f>knicks_players_all_stats[[#This Row],[NAME]]&amp;" ("&amp;knicks_players_all_stats[[#This Row],[SEASON]]&amp;")"</f>
        <v>Eddy Curry (2007-08)</v>
      </c>
      <c r="D306" s="1">
        <f>knicks_players_all_stats[[#This Row],[PLAYER_AGE]]/10</f>
        <v>25</v>
      </c>
      <c r="E306">
        <v>250</v>
      </c>
      <c r="F306" s="1">
        <v>59</v>
      </c>
      <c r="G306" s="1">
        <v>15300</v>
      </c>
      <c r="H3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488</v>
      </c>
      <c r="I306" s="4">
        <f>knicks_players_all_stats[[#This Row],[VALORATION]]/knicks_players_all_stats[[#This Row],[GP]]</f>
        <v>8.2711864406779654</v>
      </c>
      <c r="J306" s="1">
        <v>297</v>
      </c>
      <c r="K306" s="1">
        <v>544</v>
      </c>
      <c r="L306" s="1">
        <v>546</v>
      </c>
      <c r="M306" s="4">
        <f>knicks_players_all_stats[[#This Row],[FG3M2]]/10</f>
        <v>0</v>
      </c>
      <c r="N306" s="1">
        <v>0</v>
      </c>
      <c r="O306" s="1">
        <f>knicks_players_all_stats[[#This Row],[FG3A2]]/10</f>
        <v>0</v>
      </c>
      <c r="P306" s="1">
        <v>0</v>
      </c>
      <c r="Q306" s="2" t="e">
        <f>knicks_players_all_stats[[#This Row],[FG3M2]]/knicks_players_all_stats[[#This Row],[FG3A2]]</f>
        <v>#DIV/0!</v>
      </c>
      <c r="R306" s="1">
        <v>187</v>
      </c>
      <c r="S306" s="1">
        <v>300</v>
      </c>
      <c r="T306" s="3">
        <f>knicks_players_all_stats[[#This Row],[FTM]]/knicks_players_all_stats[[#This Row],[FTA]]</f>
        <v>0.62333333333333329</v>
      </c>
      <c r="U306" s="1">
        <f>knicks_players_all_stats[[#This Row],[OREB22]]/10</f>
        <v>111</v>
      </c>
      <c r="V306" s="1">
        <f>knicks_players_all_stats[[#This Row],[DREB33]]/10</f>
        <v>164</v>
      </c>
      <c r="W306" s="1">
        <f>knicks_players_all_stats[[#This Row],[REB44]]/10</f>
        <v>275</v>
      </c>
      <c r="X306">
        <v>1110</v>
      </c>
      <c r="Y306">
        <v>1640</v>
      </c>
      <c r="Z306">
        <v>2750</v>
      </c>
      <c r="AA306" s="14">
        <f>knicks_players_all_stats[[#This Row],[REB]]/knicks_players_all_stats[[#This Row],[GP]]</f>
        <v>4.6610169491525424</v>
      </c>
      <c r="AB306" s="1">
        <v>32</v>
      </c>
      <c r="AC306" s="4">
        <f>knicks_players_all_stats[[#This Row],[AST]]/knicks_players_all_stats[[#This Row],[GP]]</f>
        <v>0.5423728813559322</v>
      </c>
      <c r="AD306" s="1">
        <f>knicks_players_all_stats[[#This Row],[STL2]]/10</f>
        <v>14</v>
      </c>
      <c r="AE306" s="1">
        <v>140</v>
      </c>
      <c r="AF306" s="4">
        <f>knicks_players_all_stats[[#This Row],[STL]]/knicks_players_all_stats[[#This Row],[GP]]</f>
        <v>0.23728813559322035</v>
      </c>
      <c r="AG306">
        <v>290</v>
      </c>
      <c r="AH306" s="1">
        <f>knicks_players_all_stats[[#This Row],[BLK2]]/10</f>
        <v>29</v>
      </c>
      <c r="AI306" s="4">
        <f>knicks_players_all_stats[[#This Row],[BLK]]/knicks_players_all_stats[[#This Row],[GP]]</f>
        <v>0.49152542372881358</v>
      </c>
      <c r="AJ306">
        <v>1260</v>
      </c>
      <c r="AK306" s="4">
        <f>knicks_players_all_stats[[#This Row],[BLKPG]]+knicks_players_all_stats[[#This Row],[STLPG]]+knicks_players_all_stats[[#This Row],[REBPG]]</f>
        <v>5.3898305084745761</v>
      </c>
      <c r="AL306" s="1">
        <f>knicks_players_all_stats[[#This Row],[TOV2]]/10</f>
        <v>126</v>
      </c>
      <c r="AM306" s="4">
        <f>knicks_players_all_stats[[#This Row],[TOV]]/knicks_players_all_stats[[#This Row],[GP]]</f>
        <v>2.1355932203389831</v>
      </c>
      <c r="AN306" s="1">
        <v>157</v>
      </c>
      <c r="AO306" s="1">
        <f>knicks_players_all_stats[[#This Row],[PF]]/knicks_players_all_stats[[#This Row],[GP]]</f>
        <v>2.6610169491525424</v>
      </c>
      <c r="AP306" s="1">
        <v>781</v>
      </c>
      <c r="AQ306" s="4">
        <f>knicks_players_all_stats[[#This Row],[PTS]]/knicks_players_all_stats[[#This Row],[GP]]</f>
        <v>13.23728813559322</v>
      </c>
    </row>
    <row r="307" spans="1:43" x14ac:dyDescent="0.3">
      <c r="A307" s="1" t="s">
        <v>1790</v>
      </c>
      <c r="B307" s="1" t="s">
        <v>1292</v>
      </c>
      <c r="C307" s="1" t="str">
        <f>knicks_players_all_stats[[#This Row],[NAME]]&amp;" ("&amp;knicks_players_all_stats[[#This Row],[SEASON]]&amp;")"</f>
        <v>Kurt Thomas (2012-13)</v>
      </c>
      <c r="D307" s="1">
        <f>knicks_players_all_stats[[#This Row],[PLAYER_AGE]]/10</f>
        <v>40</v>
      </c>
      <c r="E307">
        <v>400</v>
      </c>
      <c r="F307" s="1">
        <v>39</v>
      </c>
      <c r="G307" s="1">
        <v>3920</v>
      </c>
      <c r="H3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128</v>
      </c>
      <c r="I307" s="4">
        <f>knicks_players_all_stats[[#This Row],[VALORATION]]/knicks_players_all_stats[[#This Row],[GP]]</f>
        <v>3.2820512820512819</v>
      </c>
      <c r="J307" s="1">
        <v>45</v>
      </c>
      <c r="K307" s="1">
        <v>83</v>
      </c>
      <c r="L307" s="1">
        <v>542</v>
      </c>
      <c r="M307" s="4">
        <f>knicks_players_all_stats[[#This Row],[FG3M2]]/10</f>
        <v>1</v>
      </c>
      <c r="N307" s="1">
        <v>10</v>
      </c>
      <c r="O307" s="1">
        <f>knicks_players_all_stats[[#This Row],[FG3A2]]/10</f>
        <v>1</v>
      </c>
      <c r="P307" s="1">
        <v>10</v>
      </c>
      <c r="Q307" s="2">
        <f>knicks_players_all_stats[[#This Row],[FG3M2]]/knicks_players_all_stats[[#This Row],[FG3A2]]</f>
        <v>1</v>
      </c>
      <c r="R307" s="1">
        <v>6</v>
      </c>
      <c r="S307" s="1">
        <v>13</v>
      </c>
      <c r="T307" s="3">
        <f>knicks_players_all_stats[[#This Row],[FTM]]/knicks_players_all_stats[[#This Row],[FTA]]</f>
        <v>0.46153846153846156</v>
      </c>
      <c r="U307" s="1">
        <f>knicks_players_all_stats[[#This Row],[OREB22]]/10</f>
        <v>24</v>
      </c>
      <c r="V307" s="1">
        <f>knicks_players_all_stats[[#This Row],[DREB33]]/10</f>
        <v>65</v>
      </c>
      <c r="W307" s="1">
        <f>knicks_players_all_stats[[#This Row],[REB44]]/10</f>
        <v>89</v>
      </c>
      <c r="X307">
        <v>240</v>
      </c>
      <c r="Y307">
        <v>650</v>
      </c>
      <c r="Z307">
        <v>890</v>
      </c>
      <c r="AA307" s="14">
        <f>knicks_players_all_stats[[#This Row],[REB]]/knicks_players_all_stats[[#This Row],[GP]]</f>
        <v>2.2820512820512819</v>
      </c>
      <c r="AB307" s="1">
        <v>21</v>
      </c>
      <c r="AC307" s="4">
        <f>knicks_players_all_stats[[#This Row],[AST]]/knicks_players_all_stats[[#This Row],[GP]]</f>
        <v>0.53846153846153844</v>
      </c>
      <c r="AD307" s="1">
        <f>knicks_players_all_stats[[#This Row],[STL2]]/10</f>
        <v>10</v>
      </c>
      <c r="AE307" s="1">
        <v>100</v>
      </c>
      <c r="AF307" s="4">
        <f>knicks_players_all_stats[[#This Row],[STL]]/knicks_players_all_stats[[#This Row],[GP]]</f>
        <v>0.25641025641025639</v>
      </c>
      <c r="AG307">
        <v>160</v>
      </c>
      <c r="AH307" s="1">
        <f>knicks_players_all_stats[[#This Row],[BLK2]]/10</f>
        <v>16</v>
      </c>
      <c r="AI307" s="4">
        <f>knicks_players_all_stats[[#This Row],[BLK]]/knicks_players_all_stats[[#This Row],[GP]]</f>
        <v>0.41025641025641024</v>
      </c>
      <c r="AJ307">
        <v>80</v>
      </c>
      <c r="AK307" s="4">
        <f>knicks_players_all_stats[[#This Row],[BLKPG]]+knicks_players_all_stats[[#This Row],[STLPG]]+knicks_players_all_stats[[#This Row],[REBPG]]</f>
        <v>2.9487179487179485</v>
      </c>
      <c r="AL307" s="1">
        <f>knicks_players_all_stats[[#This Row],[TOV2]]/10</f>
        <v>8</v>
      </c>
      <c r="AM307" s="4">
        <f>knicks_players_all_stats[[#This Row],[TOV]]/knicks_players_all_stats[[#This Row],[GP]]</f>
        <v>0.20512820512820512</v>
      </c>
      <c r="AN307" s="1">
        <v>52</v>
      </c>
      <c r="AO307" s="1">
        <f>knicks_players_all_stats[[#This Row],[PF]]/knicks_players_all_stats[[#This Row],[GP]]</f>
        <v>1.3333333333333333</v>
      </c>
      <c r="AP307" s="1">
        <v>97</v>
      </c>
      <c r="AQ307" s="4">
        <f>knicks_players_all_stats[[#This Row],[PTS]]/knicks_players_all_stats[[#This Row],[GP]]</f>
        <v>2.4871794871794872</v>
      </c>
    </row>
    <row r="308" spans="1:43" x14ac:dyDescent="0.3">
      <c r="A308" s="1" t="s">
        <v>1740</v>
      </c>
      <c r="B308" s="1" t="s">
        <v>1304</v>
      </c>
      <c r="C308" s="1" t="str">
        <f>knicks_players_all_stats[[#This Row],[NAME]]&amp;" ("&amp;knicks_players_all_stats[[#This Row],[SEASON]]&amp;")"</f>
        <v>Danilo Gallinari (2008-09)</v>
      </c>
      <c r="D308" s="1">
        <f>knicks_players_all_stats[[#This Row],[PLAYER_AGE]]/10</f>
        <v>20</v>
      </c>
      <c r="E308">
        <v>200</v>
      </c>
      <c r="F308" s="1">
        <v>28</v>
      </c>
      <c r="G308" s="1">
        <v>4120</v>
      </c>
      <c r="H3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125</v>
      </c>
      <c r="I308" s="4">
        <f>knicks_players_all_stats[[#This Row],[VALORATION]]/knicks_players_all_stats[[#This Row],[GP]]</f>
        <v>4.4642857142857144</v>
      </c>
      <c r="J308" s="1">
        <v>56</v>
      </c>
      <c r="K308" s="1">
        <v>125</v>
      </c>
      <c r="L308" s="1">
        <v>448</v>
      </c>
      <c r="M308" s="4">
        <f>knicks_players_all_stats[[#This Row],[FG3M2]]/10</f>
        <v>32</v>
      </c>
      <c r="N308" s="1">
        <v>320</v>
      </c>
      <c r="O308" s="1">
        <f>knicks_players_all_stats[[#This Row],[FG3A2]]/10</f>
        <v>72</v>
      </c>
      <c r="P308" s="1">
        <v>720</v>
      </c>
      <c r="Q308" s="2">
        <f>knicks_players_all_stats[[#This Row],[FG3M2]]/knicks_players_all_stats[[#This Row],[FG3A2]]</f>
        <v>0.44444444444444442</v>
      </c>
      <c r="R308" s="1">
        <v>26</v>
      </c>
      <c r="S308" s="1">
        <v>27</v>
      </c>
      <c r="T308" s="3">
        <f>knicks_players_all_stats[[#This Row],[FTM]]/knicks_players_all_stats[[#This Row],[FTA]]</f>
        <v>0.96296296296296291</v>
      </c>
      <c r="U308" s="1">
        <f>knicks_players_all_stats[[#This Row],[OREB22]]/10</f>
        <v>13</v>
      </c>
      <c r="V308" s="1">
        <f>knicks_players_all_stats[[#This Row],[DREB33]]/10</f>
        <v>42</v>
      </c>
      <c r="W308" s="1">
        <f>knicks_players_all_stats[[#This Row],[REB44]]/10</f>
        <v>55</v>
      </c>
      <c r="X308">
        <v>130</v>
      </c>
      <c r="Y308">
        <v>420</v>
      </c>
      <c r="Z308">
        <v>550</v>
      </c>
      <c r="AA308" s="14">
        <f>knicks_players_all_stats[[#This Row],[REB]]/knicks_players_all_stats[[#This Row],[GP]]</f>
        <v>1.9642857142857142</v>
      </c>
      <c r="AB308" s="1">
        <v>15</v>
      </c>
      <c r="AC308" s="4">
        <f>knicks_players_all_stats[[#This Row],[AST]]/knicks_players_all_stats[[#This Row],[GP]]</f>
        <v>0.5357142857142857</v>
      </c>
      <c r="AD308" s="1">
        <f>knicks_players_all_stats[[#This Row],[STL2]]/10</f>
        <v>14</v>
      </c>
      <c r="AE308" s="1">
        <v>140</v>
      </c>
      <c r="AF308" s="4">
        <f>knicks_players_all_stats[[#This Row],[STL]]/knicks_players_all_stats[[#This Row],[GP]]</f>
        <v>0.5</v>
      </c>
      <c r="AG308">
        <v>40</v>
      </c>
      <c r="AH308" s="1">
        <f>knicks_players_all_stats[[#This Row],[BLK2]]/10</f>
        <v>4</v>
      </c>
      <c r="AI308" s="4">
        <f>knicks_players_all_stats[[#This Row],[BLK]]/knicks_players_all_stats[[#This Row],[GP]]</f>
        <v>0.14285714285714285</v>
      </c>
      <c r="AJ308">
        <v>150</v>
      </c>
      <c r="AK308" s="4">
        <f>knicks_players_all_stats[[#This Row],[BLKPG]]+knicks_players_all_stats[[#This Row],[STLPG]]+knicks_players_all_stats[[#This Row],[REBPG]]</f>
        <v>2.6071428571428568</v>
      </c>
      <c r="AL308" s="1">
        <f>knicks_players_all_stats[[#This Row],[TOV2]]/10</f>
        <v>15</v>
      </c>
      <c r="AM308" s="4">
        <f>knicks_players_all_stats[[#This Row],[TOV]]/knicks_players_all_stats[[#This Row],[GP]]</f>
        <v>0.5357142857142857</v>
      </c>
      <c r="AN308" s="1">
        <v>48</v>
      </c>
      <c r="AO308" s="1">
        <f>knicks_players_all_stats[[#This Row],[PF]]/knicks_players_all_stats[[#This Row],[GP]]</f>
        <v>1.7142857142857142</v>
      </c>
      <c r="AP308" s="1">
        <v>170</v>
      </c>
      <c r="AQ308" s="4">
        <f>knicks_players_all_stats[[#This Row],[PTS]]/knicks_players_all_stats[[#This Row],[GP]]</f>
        <v>6.0714285714285712</v>
      </c>
    </row>
    <row r="309" spans="1:43" x14ac:dyDescent="0.3">
      <c r="A309" s="1" t="s">
        <v>1534</v>
      </c>
      <c r="B309" s="1" t="s">
        <v>1308</v>
      </c>
      <c r="C309" s="1" t="str">
        <f>knicks_players_all_stats[[#This Row],[NAME]]&amp;" ("&amp;knicks_players_all_stats[[#This Row],[SEASON]]&amp;")"</f>
        <v>Mitchell Robinson (2021-22)</v>
      </c>
      <c r="D309" s="1">
        <f>knicks_players_all_stats[[#This Row],[PLAYER_AGE]]/10</f>
        <v>24</v>
      </c>
      <c r="E309">
        <v>240</v>
      </c>
      <c r="F309" s="1">
        <v>72</v>
      </c>
      <c r="G309" s="1">
        <v>18480</v>
      </c>
      <c r="H3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1026</v>
      </c>
      <c r="I309" s="4">
        <f>knicks_players_all_stats[[#This Row],[VALORATION]]/knicks_players_all_stats[[#This Row],[GP]]</f>
        <v>14.25</v>
      </c>
      <c r="J309" s="1">
        <v>261</v>
      </c>
      <c r="K309" s="1">
        <v>343</v>
      </c>
      <c r="L309" s="2">
        <f>knicks_players_all_stats[[#This Row],[FGM]]/knicks_players_all_stats[[#This Row],[FGA]]</f>
        <v>0.76093294460641403</v>
      </c>
      <c r="M309" s="16">
        <f>knicks_players_all_stats[[#This Row],[FG3M2]]/10</f>
        <v>0</v>
      </c>
      <c r="N309" s="1">
        <v>0</v>
      </c>
      <c r="O309" s="1">
        <f>knicks_players_all_stats[[#This Row],[FG3A2]]/10</f>
        <v>0</v>
      </c>
      <c r="P309" s="1">
        <v>0</v>
      </c>
      <c r="Q309" s="2" t="e">
        <f>knicks_players_all_stats[[#This Row],[FG3M2]]/knicks_players_all_stats[[#This Row],[FG3A2]]</f>
        <v>#DIV/0!</v>
      </c>
      <c r="R309" s="1">
        <v>88</v>
      </c>
      <c r="S309" s="1">
        <v>181</v>
      </c>
      <c r="T309" s="3">
        <f>knicks_players_all_stats[[#This Row],[FTM]]/knicks_players_all_stats[[#This Row],[FTA]]</f>
        <v>0.48618784530386738</v>
      </c>
      <c r="U309" s="1">
        <f>knicks_players_all_stats[[#This Row],[OREB22]]/10</f>
        <v>295</v>
      </c>
      <c r="V309" s="1">
        <f>knicks_players_all_stats[[#This Row],[DREB33]]/10</f>
        <v>322</v>
      </c>
      <c r="W309" s="1">
        <f>knicks_players_all_stats[[#This Row],[REB44]]/10</f>
        <v>617</v>
      </c>
      <c r="X309">
        <v>2950</v>
      </c>
      <c r="Y309">
        <v>3220</v>
      </c>
      <c r="Z309">
        <v>6170</v>
      </c>
      <c r="AA309" s="14">
        <f>knicks_players_all_stats[[#This Row],[REB]]/knicks_players_all_stats[[#This Row],[GP]]</f>
        <v>8.5694444444444446</v>
      </c>
      <c r="AB309" s="1">
        <v>38</v>
      </c>
      <c r="AC309" s="4">
        <f>knicks_players_all_stats[[#This Row],[AST]]/knicks_players_all_stats[[#This Row],[GP]]</f>
        <v>0.52777777777777779</v>
      </c>
      <c r="AD309" s="1">
        <f>knicks_players_all_stats[[#This Row],[STL2]]/10</f>
        <v>58</v>
      </c>
      <c r="AE309" s="1">
        <v>580</v>
      </c>
      <c r="AF309" s="4">
        <f>knicks_players_all_stats[[#This Row],[STL]]/knicks_players_all_stats[[#This Row],[GP]]</f>
        <v>0.80555555555555558</v>
      </c>
      <c r="AG309">
        <v>1330</v>
      </c>
      <c r="AH309" s="1">
        <f>knicks_players_all_stats[[#This Row],[BLK2]]/10</f>
        <v>133</v>
      </c>
      <c r="AI309" s="4">
        <f>knicks_players_all_stats[[#This Row],[BLK]]/knicks_players_all_stats[[#This Row],[GP]]</f>
        <v>1.8472222222222223</v>
      </c>
      <c r="AJ309">
        <v>600</v>
      </c>
      <c r="AK309" s="4">
        <f>knicks_players_all_stats[[#This Row],[BLKPG]]+knicks_players_all_stats[[#This Row],[STLPG]]+knicks_players_all_stats[[#This Row],[REBPG]]</f>
        <v>11.222222222222221</v>
      </c>
      <c r="AL309" s="1">
        <f>knicks_players_all_stats[[#This Row],[TOV2]]/10</f>
        <v>60</v>
      </c>
      <c r="AM309" s="4">
        <f>knicks_players_all_stats[[#This Row],[TOV]]/knicks_players_all_stats[[#This Row],[GP]]</f>
        <v>0.83333333333333337</v>
      </c>
      <c r="AN309" s="1">
        <v>195</v>
      </c>
      <c r="AO309" s="1">
        <f>knicks_players_all_stats[[#This Row],[PF]]/knicks_players_all_stats[[#This Row],[GP]]</f>
        <v>2.7083333333333335</v>
      </c>
      <c r="AP309" s="1">
        <v>610</v>
      </c>
      <c r="AQ309" s="4">
        <f>knicks_players_all_stats[[#This Row],[PTS]]/knicks_players_all_stats[[#This Row],[GP]]</f>
        <v>8.4722222222222214</v>
      </c>
    </row>
    <row r="310" spans="1:43" x14ac:dyDescent="0.3">
      <c r="A310" s="1" t="s">
        <v>1712</v>
      </c>
      <c r="B310" s="1" t="s">
        <v>1293</v>
      </c>
      <c r="C310" s="1" t="str">
        <f>knicks_players_all_stats[[#This Row],[NAME]]&amp;" ("&amp;knicks_players_all_stats[[#This Row],[SEASON]]&amp;")"</f>
        <v>DerMarr Johnson (2003-04)</v>
      </c>
      <c r="D310" s="1">
        <f>knicks_players_all_stats[[#This Row],[PLAYER_AGE]]/10</f>
        <v>24</v>
      </c>
      <c r="E310">
        <v>240</v>
      </c>
      <c r="F310" s="1">
        <v>21</v>
      </c>
      <c r="G310" s="1">
        <v>2870</v>
      </c>
      <c r="H31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66</v>
      </c>
      <c r="I310" s="4">
        <f>knicks_players_all_stats[[#This Row],[VALORATION]]/knicks_players_all_stats[[#This Row],[GP]]</f>
        <v>3.1428571428571428</v>
      </c>
      <c r="J310" s="1">
        <v>36</v>
      </c>
      <c r="K310" s="1">
        <v>97</v>
      </c>
      <c r="L310" s="1">
        <v>371</v>
      </c>
      <c r="M310" s="4">
        <f>knicks_players_all_stats[[#This Row],[FG3M2]]/10</f>
        <v>13</v>
      </c>
      <c r="N310" s="1">
        <v>130</v>
      </c>
      <c r="O310" s="1">
        <f>knicks_players_all_stats[[#This Row],[FG3A2]]/10</f>
        <v>36</v>
      </c>
      <c r="P310" s="1">
        <v>360</v>
      </c>
      <c r="Q310" s="2">
        <f>knicks_players_all_stats[[#This Row],[FG3M2]]/knicks_players_all_stats[[#This Row],[FG3A2]]</f>
        <v>0.3611111111111111</v>
      </c>
      <c r="R310" s="1">
        <v>28</v>
      </c>
      <c r="S310" s="1">
        <v>31</v>
      </c>
      <c r="T310" s="3">
        <f>knicks_players_all_stats[[#This Row],[FTM]]/knicks_players_all_stats[[#This Row],[FTA]]</f>
        <v>0.90322580645161288</v>
      </c>
      <c r="U310" s="1">
        <f>knicks_players_all_stats[[#This Row],[OREB22]]/10</f>
        <v>5</v>
      </c>
      <c r="V310" s="1">
        <f>knicks_players_all_stats[[#This Row],[DREB33]]/10</f>
        <v>34</v>
      </c>
      <c r="W310" s="1">
        <f>knicks_players_all_stats[[#This Row],[REB44]]/10</f>
        <v>39</v>
      </c>
      <c r="X310">
        <v>50</v>
      </c>
      <c r="Y310">
        <v>340</v>
      </c>
      <c r="Z310">
        <v>390</v>
      </c>
      <c r="AA310" s="14">
        <f>knicks_players_all_stats[[#This Row],[REB]]/knicks_players_all_stats[[#This Row],[GP]]</f>
        <v>1.8571428571428572</v>
      </c>
      <c r="AB310" s="1">
        <v>11</v>
      </c>
      <c r="AC310" s="4">
        <f>knicks_players_all_stats[[#This Row],[AST]]/knicks_players_all_stats[[#This Row],[GP]]</f>
        <v>0.52380952380952384</v>
      </c>
      <c r="AD310" s="1">
        <f>knicks_players_all_stats[[#This Row],[STL2]]/10</f>
        <v>8</v>
      </c>
      <c r="AE310" s="1">
        <v>80</v>
      </c>
      <c r="AF310" s="4">
        <f>knicks_players_all_stats[[#This Row],[STL]]/knicks_players_all_stats[[#This Row],[GP]]</f>
        <v>0.38095238095238093</v>
      </c>
      <c r="AG310">
        <v>70</v>
      </c>
      <c r="AH310" s="1">
        <f>knicks_players_all_stats[[#This Row],[BLK2]]/10</f>
        <v>7</v>
      </c>
      <c r="AI310" s="4">
        <f>knicks_players_all_stats[[#This Row],[BLK]]/knicks_players_all_stats[[#This Row],[GP]]</f>
        <v>0.33333333333333331</v>
      </c>
      <c r="AJ310">
        <v>160</v>
      </c>
      <c r="AK310" s="4">
        <f>knicks_players_all_stats[[#This Row],[BLKPG]]+knicks_players_all_stats[[#This Row],[STLPG]]+knicks_players_all_stats[[#This Row],[REBPG]]</f>
        <v>2.5714285714285712</v>
      </c>
      <c r="AL310" s="1">
        <f>knicks_players_all_stats[[#This Row],[TOV2]]/10</f>
        <v>16</v>
      </c>
      <c r="AM310" s="4">
        <f>knicks_players_all_stats[[#This Row],[TOV]]/knicks_players_all_stats[[#This Row],[GP]]</f>
        <v>0.76190476190476186</v>
      </c>
      <c r="AN310" s="1">
        <v>32</v>
      </c>
      <c r="AO310" s="1">
        <f>knicks_players_all_stats[[#This Row],[PF]]/knicks_players_all_stats[[#This Row],[GP]]</f>
        <v>1.5238095238095237</v>
      </c>
      <c r="AP310" s="1">
        <v>113</v>
      </c>
      <c r="AQ310" s="4">
        <f>knicks_players_all_stats[[#This Row],[PTS]]/knicks_players_all_stats[[#This Row],[GP]]</f>
        <v>5.3809523809523814</v>
      </c>
    </row>
    <row r="311" spans="1:43" x14ac:dyDescent="0.3">
      <c r="A311" s="1" t="s">
        <v>1738</v>
      </c>
      <c r="B311" s="1" t="s">
        <v>1337</v>
      </c>
      <c r="C311" s="1" t="str">
        <f>knicks_players_all_stats[[#This Row],[NAME]]&amp;" ("&amp;knicks_players_all_stats[[#This Row],[SEASON]]&amp;")"</f>
        <v>Amar'e Stoudemire (2013-14)</v>
      </c>
      <c r="D311" s="1">
        <f>knicks_players_all_stats[[#This Row],[PLAYER_AGE]]/10</f>
        <v>31</v>
      </c>
      <c r="E311">
        <v>310</v>
      </c>
      <c r="F311" s="1">
        <v>65</v>
      </c>
      <c r="G311" s="1">
        <v>14660</v>
      </c>
      <c r="H31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636</v>
      </c>
      <c r="I311" s="4">
        <f>knicks_players_all_stats[[#This Row],[VALORATION]]/knicks_players_all_stats[[#This Row],[GP]]</f>
        <v>9.7846153846153854</v>
      </c>
      <c r="J311" s="1">
        <v>311</v>
      </c>
      <c r="K311" s="1">
        <v>558</v>
      </c>
      <c r="L311" s="1">
        <v>557</v>
      </c>
      <c r="M311" s="4">
        <f>knicks_players_all_stats[[#This Row],[FG3M2]]/10</f>
        <v>0</v>
      </c>
      <c r="N311" s="1">
        <v>0</v>
      </c>
      <c r="O311" s="1">
        <f>knicks_players_all_stats[[#This Row],[FG3A2]]/10</f>
        <v>0</v>
      </c>
      <c r="P311" s="1">
        <v>0</v>
      </c>
      <c r="Q311" s="2" t="e">
        <f>knicks_players_all_stats[[#This Row],[FG3M2]]/knicks_players_all_stats[[#This Row],[FG3A2]]</f>
        <v>#DIV/0!</v>
      </c>
      <c r="R311" s="1">
        <v>150</v>
      </c>
      <c r="S311" s="1">
        <v>203</v>
      </c>
      <c r="T311" s="3">
        <f>knicks_players_all_stats[[#This Row],[FTM]]/knicks_players_all_stats[[#This Row],[FTA]]</f>
        <v>0.73891625615763545</v>
      </c>
      <c r="U311" s="1">
        <f>knicks_players_all_stats[[#This Row],[OREB22]]/10</f>
        <v>112</v>
      </c>
      <c r="V311" s="1">
        <f>knicks_players_all_stats[[#This Row],[DREB33]]/10</f>
        <v>208</v>
      </c>
      <c r="W311" s="1">
        <f>knicks_players_all_stats[[#This Row],[REB44]]/10</f>
        <v>320</v>
      </c>
      <c r="X311">
        <v>1120</v>
      </c>
      <c r="Y311">
        <v>2080</v>
      </c>
      <c r="Z311">
        <v>3200</v>
      </c>
      <c r="AA311" s="14">
        <f>knicks_players_all_stats[[#This Row],[REB]]/knicks_players_all_stats[[#This Row],[GP]]</f>
        <v>4.9230769230769234</v>
      </c>
      <c r="AB311" s="1">
        <v>34</v>
      </c>
      <c r="AC311" s="4">
        <f>knicks_players_all_stats[[#This Row],[AST]]/knicks_players_all_stats[[#This Row],[GP]]</f>
        <v>0.52307692307692311</v>
      </c>
      <c r="AD311" s="1">
        <f>knicks_players_all_stats[[#This Row],[STL2]]/10</f>
        <v>23</v>
      </c>
      <c r="AE311" s="1">
        <v>230</v>
      </c>
      <c r="AF311" s="4">
        <f>knicks_players_all_stats[[#This Row],[STL]]/knicks_players_all_stats[[#This Row],[GP]]</f>
        <v>0.35384615384615387</v>
      </c>
      <c r="AG311">
        <v>370</v>
      </c>
      <c r="AH311" s="1">
        <f>knicks_players_all_stats[[#This Row],[BLK2]]/10</f>
        <v>37</v>
      </c>
      <c r="AI311" s="4">
        <f>knicks_players_all_stats[[#This Row],[BLK]]/knicks_players_all_stats[[#This Row],[GP]]</f>
        <v>0.56923076923076921</v>
      </c>
      <c r="AJ311">
        <v>910</v>
      </c>
      <c r="AK311" s="4">
        <f>knicks_players_all_stats[[#This Row],[BLKPG]]+knicks_players_all_stats[[#This Row],[STLPG]]+knicks_players_all_stats[[#This Row],[REBPG]]</f>
        <v>5.8461538461538467</v>
      </c>
      <c r="AL311" s="1">
        <f>knicks_players_all_stats[[#This Row],[TOV2]]/10</f>
        <v>91</v>
      </c>
      <c r="AM311" s="4">
        <f>knicks_players_all_stats[[#This Row],[TOV]]/knicks_players_all_stats[[#This Row],[GP]]</f>
        <v>1.4</v>
      </c>
      <c r="AN311" s="1">
        <v>159</v>
      </c>
      <c r="AO311" s="1">
        <f>knicks_players_all_stats[[#This Row],[PF]]/knicks_players_all_stats[[#This Row],[GP]]</f>
        <v>2.4461538461538463</v>
      </c>
      <c r="AP311" s="1">
        <v>772</v>
      </c>
      <c r="AQ311" s="4">
        <f>knicks_players_all_stats[[#This Row],[PTS]]/knicks_players_all_stats[[#This Row],[GP]]</f>
        <v>11.876923076923077</v>
      </c>
    </row>
    <row r="312" spans="1:43" customFormat="1" x14ac:dyDescent="0.3">
      <c r="A312" s="1" t="s">
        <v>1855</v>
      </c>
      <c r="B312" s="1" t="s">
        <v>1295</v>
      </c>
      <c r="C312" s="1" t="str">
        <f>knicks_players_all_stats[[#This Row],[NAME]]&amp;" ("&amp;knicks_players_all_stats[[#This Row],[SEASON]]&amp;")"</f>
        <v>Jerome Williams (2004-05)</v>
      </c>
      <c r="D312" s="1">
        <f>knicks_players_all_stats[[#This Row],[PLAYER_AGE]]/10</f>
        <v>32</v>
      </c>
      <c r="E312">
        <v>320</v>
      </c>
      <c r="F312" s="1">
        <v>79</v>
      </c>
      <c r="G312" s="1">
        <v>12110</v>
      </c>
      <c r="H31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350</v>
      </c>
      <c r="I312" s="4">
        <f>knicks_players_all_stats[[#This Row],[VALORATION]]/knicks_players_all_stats[[#This Row],[GP]]</f>
        <v>4.4303797468354427</v>
      </c>
      <c r="J312" s="1">
        <v>122</v>
      </c>
      <c r="K312" s="1">
        <v>243</v>
      </c>
      <c r="L312" s="1">
        <v>502</v>
      </c>
      <c r="M312" s="4">
        <f>knicks_players_all_stats[[#This Row],[FG3M2]]/10</f>
        <v>0</v>
      </c>
      <c r="N312" s="1">
        <v>0</v>
      </c>
      <c r="O312" s="1">
        <f>knicks_players_all_stats[[#This Row],[FG3A2]]/10</f>
        <v>5</v>
      </c>
      <c r="P312" s="1">
        <v>50</v>
      </c>
      <c r="Q312" s="2">
        <f>knicks_players_all_stats[[#This Row],[FG3M2]]/knicks_players_all_stats[[#This Row],[FG3A2]]</f>
        <v>0</v>
      </c>
      <c r="R312" s="1">
        <v>115</v>
      </c>
      <c r="S312" s="1">
        <v>172</v>
      </c>
      <c r="T312" s="3">
        <f>knicks_players_all_stats[[#This Row],[FTM]]/knicks_players_all_stats[[#This Row],[FTA]]</f>
        <v>0.66860465116279066</v>
      </c>
      <c r="U312" s="1">
        <f>knicks_players_all_stats[[#This Row],[OREB22]]/10</f>
        <v>115</v>
      </c>
      <c r="V312" s="1">
        <f>knicks_players_all_stats[[#This Row],[DREB33]]/10</f>
        <v>168</v>
      </c>
      <c r="W312" s="1">
        <f>knicks_players_all_stats[[#This Row],[REB44]]/10</f>
        <v>283</v>
      </c>
      <c r="X312">
        <v>1150</v>
      </c>
      <c r="Y312">
        <v>1680</v>
      </c>
      <c r="Z312">
        <v>2830</v>
      </c>
      <c r="AA312" s="14">
        <f>knicks_players_all_stats[[#This Row],[REB]]/knicks_players_all_stats[[#This Row],[GP]]</f>
        <v>3.5822784810126582</v>
      </c>
      <c r="AB312" s="1">
        <v>41</v>
      </c>
      <c r="AC312" s="4">
        <f>knicks_players_all_stats[[#This Row],[AST]]/knicks_players_all_stats[[#This Row],[GP]]</f>
        <v>0.51898734177215189</v>
      </c>
      <c r="AD312" s="1">
        <f>knicks_players_all_stats[[#This Row],[STL2]]/10</f>
        <v>55</v>
      </c>
      <c r="AE312" s="1">
        <v>550</v>
      </c>
      <c r="AF312" s="4">
        <f>knicks_players_all_stats[[#This Row],[STL]]/knicks_players_all_stats[[#This Row],[GP]]</f>
        <v>0.69620253164556967</v>
      </c>
      <c r="AG312">
        <v>100</v>
      </c>
      <c r="AH312" s="1">
        <f>knicks_players_all_stats[[#This Row],[BLK2]]/10</f>
        <v>10</v>
      </c>
      <c r="AI312" s="4">
        <f>knicks_players_all_stats[[#This Row],[BLK]]/knicks_players_all_stats[[#This Row],[GP]]</f>
        <v>0.12658227848101267</v>
      </c>
      <c r="AJ312">
        <v>650</v>
      </c>
      <c r="AK312" s="4">
        <f>knicks_players_all_stats[[#This Row],[BLKPG]]+knicks_players_all_stats[[#This Row],[STLPG]]+knicks_players_all_stats[[#This Row],[REBPG]]</f>
        <v>4.4050632911392409</v>
      </c>
      <c r="AL312" s="1">
        <f>knicks_players_all_stats[[#This Row],[TOV2]]/10</f>
        <v>65</v>
      </c>
      <c r="AM312" s="4">
        <f>knicks_players_all_stats[[#This Row],[TOV]]/knicks_players_all_stats[[#This Row],[GP]]</f>
        <v>0.82278481012658233</v>
      </c>
      <c r="AN312" s="1">
        <v>155</v>
      </c>
      <c r="AO312" s="1">
        <f>knicks_players_all_stats[[#This Row],[PF]]/knicks_players_all_stats[[#This Row],[GP]]</f>
        <v>1.9620253164556962</v>
      </c>
      <c r="AP312" s="1">
        <v>359</v>
      </c>
      <c r="AQ312" s="4">
        <f>knicks_players_all_stats[[#This Row],[PTS]]/knicks_players_all_stats[[#This Row],[GP]]</f>
        <v>4.5443037974683547</v>
      </c>
    </row>
    <row r="313" spans="1:43" customFormat="1" x14ac:dyDescent="0.3">
      <c r="A313" s="1" t="s">
        <v>1788</v>
      </c>
      <c r="B313" s="1" t="s">
        <v>1295</v>
      </c>
      <c r="C313" s="1" t="str">
        <f>knicks_players_all_stats[[#This Row],[NAME]]&amp;" ("&amp;knicks_players_all_stats[[#This Row],[SEASON]]&amp;")"</f>
        <v>Maurice Taylor (2004-05)</v>
      </c>
      <c r="D313" s="1">
        <f>knicks_players_all_stats[[#This Row],[PLAYER_AGE]]/10</f>
        <v>28</v>
      </c>
      <c r="E313">
        <v>280</v>
      </c>
      <c r="F313" s="1">
        <v>27</v>
      </c>
      <c r="G313" s="1">
        <v>4310</v>
      </c>
      <c r="H31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117</v>
      </c>
      <c r="I313" s="4">
        <f>knicks_players_all_stats[[#This Row],[VALORATION]]/knicks_players_all_stats[[#This Row],[GP]]</f>
        <v>4.333333333333333</v>
      </c>
      <c r="J313" s="1">
        <v>76</v>
      </c>
      <c r="K313" s="1">
        <v>154</v>
      </c>
      <c r="L313" s="1">
        <v>494</v>
      </c>
      <c r="M313" s="4">
        <f>knicks_players_all_stats[[#This Row],[FG3M2]]/10</f>
        <v>0</v>
      </c>
      <c r="N313" s="1">
        <v>0</v>
      </c>
      <c r="O313" s="1">
        <f>knicks_players_all_stats[[#This Row],[FG3A2]]/10</f>
        <v>1</v>
      </c>
      <c r="P313" s="1">
        <v>10</v>
      </c>
      <c r="Q313" s="2">
        <f>knicks_players_all_stats[[#This Row],[FG3M2]]/knicks_players_all_stats[[#This Row],[FG3A2]]</f>
        <v>0</v>
      </c>
      <c r="R313" s="1">
        <v>24</v>
      </c>
      <c r="S313" s="1">
        <v>43</v>
      </c>
      <c r="T313" s="3">
        <f>knicks_players_all_stats[[#This Row],[FTM]]/knicks_players_all_stats[[#This Row],[FTA]]</f>
        <v>0.55813953488372092</v>
      </c>
      <c r="U313" s="1">
        <f>knicks_players_all_stats[[#This Row],[OREB22]]/10</f>
        <v>26</v>
      </c>
      <c r="V313" s="1">
        <f>knicks_players_all_stats[[#This Row],[DREB33]]/10</f>
        <v>67</v>
      </c>
      <c r="W313" s="1">
        <f>knicks_players_all_stats[[#This Row],[REB44]]/10</f>
        <v>93</v>
      </c>
      <c r="X313">
        <v>260</v>
      </c>
      <c r="Y313">
        <v>670</v>
      </c>
      <c r="Z313">
        <v>930</v>
      </c>
      <c r="AA313" s="14">
        <f>knicks_players_all_stats[[#This Row],[REB]]/knicks_players_all_stats[[#This Row],[GP]]</f>
        <v>3.4444444444444446</v>
      </c>
      <c r="AB313" s="1">
        <v>14</v>
      </c>
      <c r="AC313" s="4">
        <f>knicks_players_all_stats[[#This Row],[AST]]/knicks_players_all_stats[[#This Row],[GP]]</f>
        <v>0.51851851851851849</v>
      </c>
      <c r="AD313" s="1">
        <f>knicks_players_all_stats[[#This Row],[STL2]]/10</f>
        <v>11</v>
      </c>
      <c r="AE313" s="1">
        <v>110</v>
      </c>
      <c r="AF313" s="4">
        <f>knicks_players_all_stats[[#This Row],[STL]]/knicks_players_all_stats[[#This Row],[GP]]</f>
        <v>0.40740740740740738</v>
      </c>
      <c r="AG313">
        <v>80</v>
      </c>
      <c r="AH313" s="1">
        <f>knicks_players_all_stats[[#This Row],[BLK2]]/10</f>
        <v>8</v>
      </c>
      <c r="AI313" s="4">
        <f>knicks_players_all_stats[[#This Row],[BLK]]/knicks_players_all_stats[[#This Row],[GP]]</f>
        <v>0.29629629629629628</v>
      </c>
      <c r="AJ313">
        <v>310</v>
      </c>
      <c r="AK313" s="4">
        <f>knicks_players_all_stats[[#This Row],[BLKPG]]+knicks_players_all_stats[[#This Row],[STLPG]]+knicks_players_all_stats[[#This Row],[REBPG]]</f>
        <v>4.1481481481481488</v>
      </c>
      <c r="AL313" s="1">
        <f>knicks_players_all_stats[[#This Row],[TOV2]]/10</f>
        <v>31</v>
      </c>
      <c r="AM313" s="4">
        <f>knicks_players_all_stats[[#This Row],[TOV]]/knicks_players_all_stats[[#This Row],[GP]]</f>
        <v>1.1481481481481481</v>
      </c>
      <c r="AN313" s="1">
        <v>57</v>
      </c>
      <c r="AO313" s="1">
        <f>knicks_players_all_stats[[#This Row],[PF]]/knicks_players_all_stats[[#This Row],[GP]]</f>
        <v>2.1111111111111112</v>
      </c>
      <c r="AP313" s="1">
        <v>176</v>
      </c>
      <c r="AQ313" s="4">
        <f>knicks_players_all_stats[[#This Row],[PTS]]/knicks_players_all_stats[[#This Row],[GP]]</f>
        <v>6.5185185185185182</v>
      </c>
    </row>
    <row r="314" spans="1:43" customFormat="1" x14ac:dyDescent="0.3">
      <c r="A314" s="1" t="s">
        <v>1566</v>
      </c>
      <c r="B314" s="1" t="s">
        <v>1293</v>
      </c>
      <c r="C314" s="1" t="str">
        <f>knicks_players_all_stats[[#This Row],[NAME]]&amp;" ("&amp;knicks_players_all_stats[[#This Row],[SEASON]]&amp;")"</f>
        <v>Othella Harrington (2003-04)</v>
      </c>
      <c r="D314" s="1">
        <f>knicks_players_all_stats[[#This Row],[PLAYER_AGE]]/10</f>
        <v>30</v>
      </c>
      <c r="E314">
        <v>300</v>
      </c>
      <c r="F314" s="1">
        <v>56</v>
      </c>
      <c r="G314" s="1">
        <v>8710</v>
      </c>
      <c r="H31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169</v>
      </c>
      <c r="I314" s="4">
        <f>knicks_players_all_stats[[#This Row],[VALORATION]]/knicks_players_all_stats[[#This Row],[GP]]</f>
        <v>3.0178571428571428</v>
      </c>
      <c r="J314" s="1">
        <v>100</v>
      </c>
      <c r="K314" s="1">
        <v>202</v>
      </c>
      <c r="L314" s="2">
        <f>knicks_players_all_stats[[#This Row],[FGM]]/knicks_players_all_stats[[#This Row],[FGA]]</f>
        <v>0.49504950495049505</v>
      </c>
      <c r="M314" s="16">
        <f>knicks_players_all_stats[[#This Row],[FG3M2]]/10</f>
        <v>0</v>
      </c>
      <c r="N314" s="1">
        <v>0</v>
      </c>
      <c r="O314" s="1">
        <f>knicks_players_all_stats[[#This Row],[FG3A2]]/10</f>
        <v>0</v>
      </c>
      <c r="P314" s="1">
        <v>0</v>
      </c>
      <c r="Q314" s="2" t="e">
        <f>knicks_players_all_stats[[#This Row],[FG3M2]]/knicks_players_all_stats[[#This Row],[FG3A2]]</f>
        <v>#DIV/0!</v>
      </c>
      <c r="R314" s="1">
        <v>58</v>
      </c>
      <c r="S314" s="1">
        <v>78</v>
      </c>
      <c r="T314" s="3">
        <f>knicks_players_all_stats[[#This Row],[FTM]]/knicks_players_all_stats[[#This Row],[FTA]]</f>
        <v>0.74358974358974361</v>
      </c>
      <c r="U314" s="1">
        <f>knicks_players_all_stats[[#This Row],[OREB22]]/10</f>
        <v>58</v>
      </c>
      <c r="V314" s="1">
        <f>knicks_players_all_stats[[#This Row],[DREB33]]/10</f>
        <v>119</v>
      </c>
      <c r="W314" s="1">
        <f>knicks_players_all_stats[[#This Row],[REB44]]/10</f>
        <v>177</v>
      </c>
      <c r="X314">
        <v>580</v>
      </c>
      <c r="Y314">
        <v>1190</v>
      </c>
      <c r="Z314">
        <v>1770</v>
      </c>
      <c r="AA314" s="14">
        <f>knicks_players_all_stats[[#This Row],[REB]]/knicks_players_all_stats[[#This Row],[GP]]</f>
        <v>3.1607142857142856</v>
      </c>
      <c r="AB314" s="1">
        <v>29</v>
      </c>
      <c r="AC314" s="4">
        <f>knicks_players_all_stats[[#This Row],[AST]]/knicks_players_all_stats[[#This Row],[GP]]</f>
        <v>0.5178571428571429</v>
      </c>
      <c r="AD314" s="1">
        <f>knicks_players_all_stats[[#This Row],[STL2]]/10</f>
        <v>12</v>
      </c>
      <c r="AE314" s="1">
        <v>120</v>
      </c>
      <c r="AF314" s="4">
        <f>knicks_players_all_stats[[#This Row],[STL]]/knicks_players_all_stats[[#This Row],[GP]]</f>
        <v>0.21428571428571427</v>
      </c>
      <c r="AG314">
        <v>140</v>
      </c>
      <c r="AH314" s="1">
        <f>knicks_players_all_stats[[#This Row],[BLK2]]/10</f>
        <v>14</v>
      </c>
      <c r="AI314" s="4">
        <f>knicks_players_all_stats[[#This Row],[BLK]]/knicks_players_all_stats[[#This Row],[GP]]</f>
        <v>0.25</v>
      </c>
      <c r="AJ314">
        <v>650</v>
      </c>
      <c r="AK314" s="4">
        <f>knicks_players_all_stats[[#This Row],[BLKPG]]+knicks_players_all_stats[[#This Row],[STLPG]]+knicks_players_all_stats[[#This Row],[REBPG]]</f>
        <v>3.625</v>
      </c>
      <c r="AL314" s="1">
        <f>knicks_players_all_stats[[#This Row],[TOV2]]/10</f>
        <v>65</v>
      </c>
      <c r="AM314" s="4">
        <f>knicks_players_all_stats[[#This Row],[TOV]]/knicks_players_all_stats[[#This Row],[GP]]</f>
        <v>1.1607142857142858</v>
      </c>
      <c r="AN314" s="1">
        <v>134</v>
      </c>
      <c r="AO314" s="1">
        <f>knicks_players_all_stats[[#This Row],[PF]]/knicks_players_all_stats[[#This Row],[GP]]</f>
        <v>2.3928571428571428</v>
      </c>
      <c r="AP314" s="1">
        <v>258</v>
      </c>
      <c r="AQ314" s="4">
        <f>knicks_players_all_stats[[#This Row],[PTS]]/knicks_players_all_stats[[#This Row],[GP]]</f>
        <v>4.6071428571428568</v>
      </c>
    </row>
    <row r="315" spans="1:43" customFormat="1" x14ac:dyDescent="0.3">
      <c r="A315" s="1" t="s">
        <v>1552</v>
      </c>
      <c r="B315" s="1" t="s">
        <v>1308</v>
      </c>
      <c r="C315" s="1" t="str">
        <f>knicks_players_all_stats[[#This Row],[NAME]]&amp;" ("&amp;knicks_players_all_stats[[#This Row],[SEASON]]&amp;")"</f>
        <v>Jericho Sims (2021-22)</v>
      </c>
      <c r="D315" s="1">
        <f>knicks_players_all_stats[[#This Row],[PLAYER_AGE]]/10</f>
        <v>23</v>
      </c>
      <c r="E315">
        <v>230</v>
      </c>
      <c r="F315" s="1">
        <v>41</v>
      </c>
      <c r="G315" s="1">
        <v>5550</v>
      </c>
      <c r="H31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195</v>
      </c>
      <c r="I315" s="4">
        <f>knicks_players_all_stats[[#This Row],[VALORATION]]/knicks_players_all_stats[[#This Row],[GP]]</f>
        <v>4.7560975609756095</v>
      </c>
      <c r="J315" s="1">
        <v>39</v>
      </c>
      <c r="K315" s="1">
        <v>54</v>
      </c>
      <c r="L315" s="2">
        <f>knicks_players_all_stats[[#This Row],[FGM]]/knicks_players_all_stats[[#This Row],[FGA]]</f>
        <v>0.72222222222222221</v>
      </c>
      <c r="M315" s="16">
        <f>knicks_players_all_stats[[#This Row],[FG3M2]]/10</f>
        <v>0</v>
      </c>
      <c r="N315" s="1">
        <v>0</v>
      </c>
      <c r="O315" s="1">
        <f>knicks_players_all_stats[[#This Row],[FG3A2]]/10</f>
        <v>0</v>
      </c>
      <c r="P315" s="1">
        <v>0</v>
      </c>
      <c r="Q315" s="2" t="e">
        <f>knicks_players_all_stats[[#This Row],[FG3M2]]/knicks_players_all_stats[[#This Row],[FG3A2]]</f>
        <v>#DIV/0!</v>
      </c>
      <c r="R315" s="1">
        <v>12</v>
      </c>
      <c r="S315" s="1">
        <v>29</v>
      </c>
      <c r="T315" s="3">
        <f>knicks_players_all_stats[[#This Row],[FTM]]/knicks_players_all_stats[[#This Row],[FTA]]</f>
        <v>0.41379310344827586</v>
      </c>
      <c r="U315" s="1">
        <f>knicks_players_all_stats[[#This Row],[OREB22]]/10</f>
        <v>61</v>
      </c>
      <c r="V315" s="1">
        <f>knicks_players_all_stats[[#This Row],[DREB33]]/10</f>
        <v>108</v>
      </c>
      <c r="W315" s="1">
        <f>knicks_players_all_stats[[#This Row],[REB44]]/10</f>
        <v>169</v>
      </c>
      <c r="X315">
        <v>610</v>
      </c>
      <c r="Y315">
        <v>1080</v>
      </c>
      <c r="Z315">
        <v>1690</v>
      </c>
      <c r="AA315" s="14">
        <f>knicks_players_all_stats[[#This Row],[REB]]/knicks_players_all_stats[[#This Row],[GP]]</f>
        <v>4.1219512195121952</v>
      </c>
      <c r="AB315" s="1">
        <v>21</v>
      </c>
      <c r="AC315" s="4">
        <f>knicks_players_all_stats[[#This Row],[AST]]/knicks_players_all_stats[[#This Row],[GP]]</f>
        <v>0.51219512195121952</v>
      </c>
      <c r="AD315" s="1">
        <f>knicks_players_all_stats[[#This Row],[STL2]]/10</f>
        <v>11</v>
      </c>
      <c r="AE315" s="1">
        <v>110</v>
      </c>
      <c r="AF315" s="4">
        <f>knicks_players_all_stats[[#This Row],[STL]]/knicks_players_all_stats[[#This Row],[GP]]</f>
        <v>0.26829268292682928</v>
      </c>
      <c r="AG315">
        <v>220</v>
      </c>
      <c r="AH315" s="1">
        <f>knicks_players_all_stats[[#This Row],[BLK2]]/10</f>
        <v>22</v>
      </c>
      <c r="AI315" s="4">
        <f>knicks_players_all_stats[[#This Row],[BLK]]/knicks_players_all_stats[[#This Row],[GP]]</f>
        <v>0.53658536585365857</v>
      </c>
      <c r="AJ315">
        <v>200</v>
      </c>
      <c r="AK315" s="4">
        <f>knicks_players_all_stats[[#This Row],[BLKPG]]+knicks_players_all_stats[[#This Row],[STLPG]]+knicks_players_all_stats[[#This Row],[REBPG]]</f>
        <v>4.9268292682926829</v>
      </c>
      <c r="AL315" s="1">
        <f>knicks_players_all_stats[[#This Row],[TOV2]]/10</f>
        <v>20</v>
      </c>
      <c r="AM315" s="4">
        <f>knicks_players_all_stats[[#This Row],[TOV]]/knicks_players_all_stats[[#This Row],[GP]]</f>
        <v>0.48780487804878048</v>
      </c>
      <c r="AN315" s="1">
        <v>66</v>
      </c>
      <c r="AO315" s="1">
        <f>knicks_players_all_stats[[#This Row],[PF]]/knicks_players_all_stats[[#This Row],[GP]]</f>
        <v>1.6097560975609757</v>
      </c>
      <c r="AP315" s="1">
        <v>90</v>
      </c>
      <c r="AQ315" s="4">
        <f>knicks_players_all_stats[[#This Row],[PTS]]/knicks_players_all_stats[[#This Row],[GP]]</f>
        <v>2.1951219512195124</v>
      </c>
    </row>
    <row r="316" spans="1:43" customFormat="1" x14ac:dyDescent="0.3">
      <c r="A316" s="1" t="s">
        <v>1829</v>
      </c>
      <c r="B316" s="1" t="s">
        <v>1292</v>
      </c>
      <c r="C316" s="1" t="str">
        <f>knicks_players_all_stats[[#This Row],[NAME]]&amp;" ("&amp;knicks_players_all_stats[[#This Row],[SEASON]]&amp;")"</f>
        <v>James White (2012-13)</v>
      </c>
      <c r="D316" s="1">
        <f>knicks_players_all_stats[[#This Row],[PLAYER_AGE]]/10</f>
        <v>30</v>
      </c>
      <c r="E316">
        <v>300</v>
      </c>
      <c r="F316" s="1">
        <v>57</v>
      </c>
      <c r="G316" s="1">
        <v>4350</v>
      </c>
      <c r="H31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84</v>
      </c>
      <c r="I316" s="4">
        <f>knicks_players_all_stats[[#This Row],[VALORATION]]/knicks_players_all_stats[[#This Row],[GP]]</f>
        <v>1.4736842105263157</v>
      </c>
      <c r="J316" s="1">
        <v>50</v>
      </c>
      <c r="K316" s="1">
        <v>116</v>
      </c>
      <c r="L316" s="1">
        <v>431</v>
      </c>
      <c r="M316" s="4">
        <f>knicks_players_all_stats[[#This Row],[FG3M2]]/10</f>
        <v>14</v>
      </c>
      <c r="N316" s="1">
        <v>140</v>
      </c>
      <c r="O316" s="1">
        <f>knicks_players_all_stats[[#This Row],[FG3A2]]/10</f>
        <v>41</v>
      </c>
      <c r="P316" s="1">
        <v>410</v>
      </c>
      <c r="Q316" s="2">
        <f>knicks_players_all_stats[[#This Row],[FG3M2]]/knicks_players_all_stats[[#This Row],[FG3A2]]</f>
        <v>0.34146341463414637</v>
      </c>
      <c r="R316" s="1">
        <v>11</v>
      </c>
      <c r="S316" s="1">
        <v>19</v>
      </c>
      <c r="T316" s="3">
        <f>knicks_players_all_stats[[#This Row],[FTM]]/knicks_players_all_stats[[#This Row],[FTA]]</f>
        <v>0.57894736842105265</v>
      </c>
      <c r="U316" s="1">
        <f>knicks_players_all_stats[[#This Row],[OREB22]]/10</f>
        <v>5</v>
      </c>
      <c r="V316" s="1">
        <f>knicks_players_all_stats[[#This Row],[DREB33]]/10</f>
        <v>43</v>
      </c>
      <c r="W316" s="1">
        <f>knicks_players_all_stats[[#This Row],[REB44]]/10</f>
        <v>48</v>
      </c>
      <c r="X316">
        <v>50</v>
      </c>
      <c r="Y316">
        <v>430</v>
      </c>
      <c r="Z316">
        <v>480</v>
      </c>
      <c r="AA316" s="14">
        <f>knicks_players_all_stats[[#This Row],[REB]]/knicks_players_all_stats[[#This Row],[GP]]</f>
        <v>0.84210526315789469</v>
      </c>
      <c r="AB316" s="1">
        <v>29</v>
      </c>
      <c r="AC316" s="4">
        <f>knicks_players_all_stats[[#This Row],[AST]]/knicks_players_all_stats[[#This Row],[GP]]</f>
        <v>0.50877192982456143</v>
      </c>
      <c r="AD316" s="1">
        <f>knicks_players_all_stats[[#This Row],[STL2]]/10</f>
        <v>13</v>
      </c>
      <c r="AE316" s="1">
        <v>130</v>
      </c>
      <c r="AF316" s="4">
        <f>knicks_players_all_stats[[#This Row],[STL]]/knicks_players_all_stats[[#This Row],[GP]]</f>
        <v>0.22807017543859648</v>
      </c>
      <c r="AG316">
        <v>40</v>
      </c>
      <c r="AH316" s="1">
        <f>knicks_players_all_stats[[#This Row],[BLK2]]/10</f>
        <v>4</v>
      </c>
      <c r="AI316" s="4">
        <f>knicks_players_all_stats[[#This Row],[BLK]]/knicks_players_all_stats[[#This Row],[GP]]</f>
        <v>7.0175438596491224E-2</v>
      </c>
      <c r="AJ316">
        <v>170</v>
      </c>
      <c r="AK316" s="4">
        <f>knicks_players_all_stats[[#This Row],[BLKPG]]+knicks_players_all_stats[[#This Row],[STLPG]]+knicks_players_all_stats[[#This Row],[REBPG]]</f>
        <v>1.1403508771929824</v>
      </c>
      <c r="AL316" s="1">
        <f>knicks_players_all_stats[[#This Row],[TOV2]]/10</f>
        <v>17</v>
      </c>
      <c r="AM316" s="4">
        <f>knicks_players_all_stats[[#This Row],[TOV]]/knicks_players_all_stats[[#This Row],[GP]]</f>
        <v>0.2982456140350877</v>
      </c>
      <c r="AN316" s="1">
        <v>44</v>
      </c>
      <c r="AO316" s="1">
        <f>knicks_players_all_stats[[#This Row],[PF]]/knicks_players_all_stats[[#This Row],[GP]]</f>
        <v>0.77192982456140347</v>
      </c>
      <c r="AP316" s="1">
        <v>125</v>
      </c>
      <c r="AQ316" s="4">
        <f>knicks_players_all_stats[[#This Row],[PTS]]/knicks_players_all_stats[[#This Row],[GP]]</f>
        <v>2.192982456140351</v>
      </c>
    </row>
    <row r="317" spans="1:43" customFormat="1" x14ac:dyDescent="0.3">
      <c r="A317" s="1" t="s">
        <v>1691</v>
      </c>
      <c r="B317" s="1" t="s">
        <v>1304</v>
      </c>
      <c r="C317" s="1" t="str">
        <f>knicks_players_all_stats[[#This Row],[NAME]]&amp;" ("&amp;knicks_players_all_stats[[#This Row],[SEASON]]&amp;")"</f>
        <v>Joe Crawford (2008-09)</v>
      </c>
      <c r="D317" s="1">
        <f>knicks_players_all_stats[[#This Row],[PLAYER_AGE]]/10</f>
        <v>23</v>
      </c>
      <c r="E317">
        <v>230</v>
      </c>
      <c r="F317" s="1">
        <v>2</v>
      </c>
      <c r="G317" s="1">
        <v>230</v>
      </c>
      <c r="H31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</v>
      </c>
      <c r="I317" s="4">
        <f>knicks_players_all_stats[[#This Row],[VALORATION]]/knicks_players_all_stats[[#This Row],[GP]]</f>
        <v>3</v>
      </c>
      <c r="J317" s="1">
        <v>3</v>
      </c>
      <c r="K317" s="1">
        <v>10</v>
      </c>
      <c r="L317" s="1">
        <v>3</v>
      </c>
      <c r="M317" s="4">
        <f>knicks_players_all_stats[[#This Row],[FG3M2]]/10</f>
        <v>1</v>
      </c>
      <c r="N317" s="1">
        <v>10</v>
      </c>
      <c r="O317" s="1">
        <f>knicks_players_all_stats[[#This Row],[FG3A2]]/10</f>
        <v>4</v>
      </c>
      <c r="P317" s="1">
        <v>40</v>
      </c>
      <c r="Q317" s="2">
        <f>knicks_players_all_stats[[#This Row],[FG3M2]]/knicks_players_all_stats[[#This Row],[FG3A2]]</f>
        <v>0.25</v>
      </c>
      <c r="R317" s="1">
        <v>2</v>
      </c>
      <c r="S317" s="1">
        <v>2</v>
      </c>
      <c r="T317" s="3">
        <f>knicks_players_all_stats[[#This Row],[FTM]]/knicks_players_all_stats[[#This Row],[FTA]]</f>
        <v>1</v>
      </c>
      <c r="U317" s="1">
        <f>knicks_players_all_stats[[#This Row],[OREB22]]/10</f>
        <v>1</v>
      </c>
      <c r="V317" s="1">
        <f>knicks_players_all_stats[[#This Row],[DREB33]]/10</f>
        <v>3</v>
      </c>
      <c r="W317" s="1">
        <f>knicks_players_all_stats[[#This Row],[REB44]]/10</f>
        <v>4</v>
      </c>
      <c r="X317">
        <v>10</v>
      </c>
      <c r="Y317">
        <v>30</v>
      </c>
      <c r="Z317">
        <v>40</v>
      </c>
      <c r="AA317" s="14">
        <f>knicks_players_all_stats[[#This Row],[REB]]/knicks_players_all_stats[[#This Row],[GP]]</f>
        <v>2</v>
      </c>
      <c r="AB317" s="1">
        <v>1</v>
      </c>
      <c r="AC317" s="4">
        <f>knicks_players_all_stats[[#This Row],[AST]]/knicks_players_all_stats[[#This Row],[GP]]</f>
        <v>0.5</v>
      </c>
      <c r="AD317" s="1">
        <f>knicks_players_all_stats[[#This Row],[STL2]]/10</f>
        <v>1</v>
      </c>
      <c r="AE317" s="1">
        <v>10</v>
      </c>
      <c r="AF317" s="4">
        <f>knicks_players_all_stats[[#This Row],[STL]]/knicks_players_all_stats[[#This Row],[GP]]</f>
        <v>0.5</v>
      </c>
      <c r="AG317">
        <v>0</v>
      </c>
      <c r="AH317" s="1">
        <f>knicks_players_all_stats[[#This Row],[BLK2]]/10</f>
        <v>0</v>
      </c>
      <c r="AI317" s="4">
        <f>knicks_players_all_stats[[#This Row],[BLK]]/knicks_players_all_stats[[#This Row],[GP]]</f>
        <v>0</v>
      </c>
      <c r="AJ317">
        <v>0</v>
      </c>
      <c r="AK317" s="4">
        <f>knicks_players_all_stats[[#This Row],[BLKPG]]+knicks_players_all_stats[[#This Row],[STLPG]]+knicks_players_all_stats[[#This Row],[REBPG]]</f>
        <v>2.5</v>
      </c>
      <c r="AL317" s="1">
        <f>knicks_players_all_stats[[#This Row],[TOV2]]/10</f>
        <v>0</v>
      </c>
      <c r="AM317" s="4">
        <f>knicks_players_all_stats[[#This Row],[TOV]]/knicks_players_all_stats[[#This Row],[GP]]</f>
        <v>0</v>
      </c>
      <c r="AN317" s="1">
        <v>2</v>
      </c>
      <c r="AO317" s="1">
        <f>knicks_players_all_stats[[#This Row],[PF]]/knicks_players_all_stats[[#This Row],[GP]]</f>
        <v>1</v>
      </c>
      <c r="AP317" s="1">
        <v>9</v>
      </c>
      <c r="AQ317" s="4">
        <f>knicks_players_all_stats[[#This Row],[PTS]]/knicks_players_all_stats[[#This Row],[GP]]</f>
        <v>4.5</v>
      </c>
    </row>
    <row r="318" spans="1:43" customFormat="1" x14ac:dyDescent="0.3">
      <c r="A318" s="1" t="s">
        <v>1605</v>
      </c>
      <c r="B318" s="1" t="s">
        <v>1312</v>
      </c>
      <c r="C318" s="1" t="str">
        <f>knicks_players_all_stats[[#This Row],[NAME]]&amp;" ("&amp;knicks_players_all_stats[[#This Row],[SEASON]]&amp;")"</f>
        <v>Derrick Brown (2010-11)</v>
      </c>
      <c r="D318" s="1">
        <f>knicks_players_all_stats[[#This Row],[PLAYER_AGE]]/10</f>
        <v>23</v>
      </c>
      <c r="E318">
        <v>230</v>
      </c>
      <c r="F318" s="1">
        <v>8</v>
      </c>
      <c r="G318" s="1">
        <v>880</v>
      </c>
      <c r="H31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29</v>
      </c>
      <c r="I318" s="4">
        <f>knicks_players_all_stats[[#This Row],[VALORATION]]/knicks_players_all_stats[[#This Row],[GP]]</f>
        <v>3.625</v>
      </c>
      <c r="J318" s="1">
        <v>12</v>
      </c>
      <c r="K318" s="1">
        <v>18</v>
      </c>
      <c r="L318" s="2">
        <f>knicks_players_all_stats[[#This Row],[FGM]]/knicks_players_all_stats[[#This Row],[FGA]]</f>
        <v>0.66666666666666663</v>
      </c>
      <c r="M318" s="16">
        <f>knicks_players_all_stats[[#This Row],[FG3M2]]/10</f>
        <v>3</v>
      </c>
      <c r="N318" s="1">
        <v>30</v>
      </c>
      <c r="O318" s="1">
        <f>knicks_players_all_stats[[#This Row],[FG3A2]]/10</f>
        <v>4</v>
      </c>
      <c r="P318" s="1">
        <v>40</v>
      </c>
      <c r="Q318" s="2">
        <f>knicks_players_all_stats[[#This Row],[FG3M2]]/knicks_players_all_stats[[#This Row],[FG3A2]]</f>
        <v>0.75</v>
      </c>
      <c r="R318" s="1">
        <v>7</v>
      </c>
      <c r="S318" s="1">
        <v>13</v>
      </c>
      <c r="T318" s="3">
        <f>knicks_players_all_stats[[#This Row],[FTM]]/knicks_players_all_stats[[#This Row],[FTA]]</f>
        <v>0.53846153846153844</v>
      </c>
      <c r="U318" s="1">
        <f>knicks_players_all_stats[[#This Row],[OREB22]]/10</f>
        <v>9</v>
      </c>
      <c r="V318" s="1">
        <f>knicks_players_all_stats[[#This Row],[DREB33]]/10</f>
        <v>6</v>
      </c>
      <c r="W318" s="1">
        <f>knicks_players_all_stats[[#This Row],[REB44]]/10</f>
        <v>15</v>
      </c>
      <c r="X318">
        <v>90</v>
      </c>
      <c r="Y318">
        <v>60</v>
      </c>
      <c r="Z318">
        <v>150</v>
      </c>
      <c r="AA318" s="14">
        <f>knicks_players_all_stats[[#This Row],[REB]]/knicks_players_all_stats[[#This Row],[GP]]</f>
        <v>1.875</v>
      </c>
      <c r="AB318" s="1">
        <v>4</v>
      </c>
      <c r="AC318" s="4">
        <f>knicks_players_all_stats[[#This Row],[AST]]/knicks_players_all_stats[[#This Row],[GP]]</f>
        <v>0.5</v>
      </c>
      <c r="AD318" s="1">
        <f>knicks_players_all_stats[[#This Row],[STL2]]/10</f>
        <v>4</v>
      </c>
      <c r="AE318" s="1">
        <v>40</v>
      </c>
      <c r="AF318" s="4">
        <f>knicks_players_all_stats[[#This Row],[STL]]/knicks_players_all_stats[[#This Row],[GP]]</f>
        <v>0.5</v>
      </c>
      <c r="AG318">
        <v>20</v>
      </c>
      <c r="AH318" s="1">
        <f>knicks_players_all_stats[[#This Row],[BLK2]]/10</f>
        <v>2</v>
      </c>
      <c r="AI318" s="4">
        <f>knicks_players_all_stats[[#This Row],[BLK]]/knicks_players_all_stats[[#This Row],[GP]]</f>
        <v>0.25</v>
      </c>
      <c r="AJ318">
        <v>70</v>
      </c>
      <c r="AK318" s="4">
        <f>knicks_players_all_stats[[#This Row],[BLKPG]]+knicks_players_all_stats[[#This Row],[STLPG]]+knicks_players_all_stats[[#This Row],[REBPG]]</f>
        <v>2.625</v>
      </c>
      <c r="AL318" s="1">
        <f>knicks_players_all_stats[[#This Row],[TOV2]]/10</f>
        <v>7</v>
      </c>
      <c r="AM318" s="4">
        <f>knicks_players_all_stats[[#This Row],[TOV]]/knicks_players_all_stats[[#This Row],[GP]]</f>
        <v>0.875</v>
      </c>
      <c r="AN318" s="1">
        <v>11</v>
      </c>
      <c r="AO318" s="1">
        <f>knicks_players_all_stats[[#This Row],[PF]]/knicks_players_all_stats[[#This Row],[GP]]</f>
        <v>1.375</v>
      </c>
      <c r="AP318" s="1">
        <v>34</v>
      </c>
      <c r="AQ318" s="4">
        <f>knicks_players_all_stats[[#This Row],[PTS]]/knicks_players_all_stats[[#This Row],[GP]]</f>
        <v>4.25</v>
      </c>
    </row>
    <row r="319" spans="1:43" customFormat="1" x14ac:dyDescent="0.3">
      <c r="A319" s="1" t="s">
        <v>1379</v>
      </c>
      <c r="B319" s="1" t="s">
        <v>1305</v>
      </c>
      <c r="C319" s="1" t="str">
        <f>knicks_players_all_stats[[#This Row],[NAME]]&amp;" ("&amp;knicks_players_all_stats[[#This Row],[SEASON]]&amp;")"</f>
        <v>Darko Milicic (2009-10)</v>
      </c>
      <c r="D319" s="1">
        <f>knicks_players_all_stats[[#This Row],[PLAYER_AGE]]/10</f>
        <v>25</v>
      </c>
      <c r="E319">
        <v>250</v>
      </c>
      <c r="F319" s="1">
        <v>8</v>
      </c>
      <c r="G319" s="1">
        <v>710</v>
      </c>
      <c r="H31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25</v>
      </c>
      <c r="I319" s="4">
        <f>knicks_players_all_stats[[#This Row],[VALORATION]]/knicks_players_all_stats[[#This Row],[GP]]</f>
        <v>3.125</v>
      </c>
      <c r="J319" s="1">
        <v>8</v>
      </c>
      <c r="K319" s="1">
        <v>17</v>
      </c>
      <c r="L319" s="2">
        <f>knicks_players_all_stats[[#This Row],[FGM]]/knicks_players_all_stats[[#This Row],[FGA]]</f>
        <v>0.47058823529411764</v>
      </c>
      <c r="M319" s="16">
        <f>knicks_players_all_stats[[#This Row],[FG3M2]]/10</f>
        <v>0</v>
      </c>
      <c r="N319" s="1">
        <v>0</v>
      </c>
      <c r="O319" s="1">
        <f>knicks_players_all_stats[[#This Row],[FG3A2]]/10</f>
        <v>0</v>
      </c>
      <c r="P319" s="1">
        <v>0</v>
      </c>
      <c r="Q319" s="2" t="e">
        <f>knicks_players_all_stats[[#This Row],[FG3M2]]/knicks_players_all_stats[[#This Row],[FG3A2]]</f>
        <v>#DIV/0!</v>
      </c>
      <c r="R319" s="1">
        <v>0</v>
      </c>
      <c r="S319" s="1">
        <v>0</v>
      </c>
      <c r="T319" s="3" t="e">
        <f>knicks_players_all_stats[[#This Row],[FTM]]/knicks_players_all_stats[[#This Row],[FTA]]</f>
        <v>#DIV/0!</v>
      </c>
      <c r="U319" s="1">
        <f>knicks_players_all_stats[[#This Row],[OREB22]]/10</f>
        <v>5</v>
      </c>
      <c r="V319" s="1">
        <f>knicks_players_all_stats[[#This Row],[DREB33]]/10</f>
        <v>13</v>
      </c>
      <c r="W319" s="1">
        <f>knicks_players_all_stats[[#This Row],[REB44]]/10</f>
        <v>18</v>
      </c>
      <c r="X319">
        <v>50</v>
      </c>
      <c r="Y319">
        <v>130</v>
      </c>
      <c r="Z319">
        <v>180</v>
      </c>
      <c r="AA319" s="14">
        <f>knicks_players_all_stats[[#This Row],[REB]]/knicks_players_all_stats[[#This Row],[GP]]</f>
        <v>2.25</v>
      </c>
      <c r="AB319" s="1">
        <v>4</v>
      </c>
      <c r="AC319" s="4">
        <f>knicks_players_all_stats[[#This Row],[AST]]/knicks_players_all_stats[[#This Row],[GP]]</f>
        <v>0.5</v>
      </c>
      <c r="AD319" s="1">
        <f>knicks_players_all_stats[[#This Row],[STL2]]/10</f>
        <v>4</v>
      </c>
      <c r="AE319" s="1">
        <v>40</v>
      </c>
      <c r="AF319" s="4">
        <f>knicks_players_all_stats[[#This Row],[STL]]/knicks_players_all_stats[[#This Row],[GP]]</f>
        <v>0.5</v>
      </c>
      <c r="AG319">
        <v>10</v>
      </c>
      <c r="AH319" s="1">
        <f>knicks_players_all_stats[[#This Row],[BLK2]]/10</f>
        <v>1</v>
      </c>
      <c r="AI319" s="4">
        <f>knicks_players_all_stats[[#This Row],[BLK]]/knicks_players_all_stats[[#This Row],[GP]]</f>
        <v>0.125</v>
      </c>
      <c r="AJ319">
        <v>20</v>
      </c>
      <c r="AK319" s="4">
        <f>knicks_players_all_stats[[#This Row],[BLKPG]]+knicks_players_all_stats[[#This Row],[STLPG]]+knicks_players_all_stats[[#This Row],[REBPG]]</f>
        <v>2.875</v>
      </c>
      <c r="AL319" s="1">
        <f>knicks_players_all_stats[[#This Row],[TOV2]]/10</f>
        <v>2</v>
      </c>
      <c r="AM319" s="4">
        <f>knicks_players_all_stats[[#This Row],[TOV]]/knicks_players_all_stats[[#This Row],[GP]]</f>
        <v>0.25</v>
      </c>
      <c r="AN319" s="1">
        <v>7</v>
      </c>
      <c r="AO319" s="1">
        <f>knicks_players_all_stats[[#This Row],[PF]]/knicks_players_all_stats[[#This Row],[GP]]</f>
        <v>0.875</v>
      </c>
      <c r="AP319" s="1">
        <v>16</v>
      </c>
      <c r="AQ319" s="4">
        <f>knicks_players_all_stats[[#This Row],[PTS]]/knicks_players_all_stats[[#This Row],[GP]]</f>
        <v>2</v>
      </c>
    </row>
    <row r="320" spans="1:43" customFormat="1" x14ac:dyDescent="0.3">
      <c r="A320" s="1" t="s">
        <v>1583</v>
      </c>
      <c r="B320" s="1" t="s">
        <v>1308</v>
      </c>
      <c r="C320" s="1" t="str">
        <f>knicks_players_all_stats[[#This Row],[NAME]]&amp;" ("&amp;knicks_players_all_stats[[#This Row],[SEASON]]&amp;")"</f>
        <v>Damyean Dotson (2021-22)</v>
      </c>
      <c r="D320" s="1">
        <f>knicks_players_all_stats[[#This Row],[PLAYER_AGE]]/10</f>
        <v>28</v>
      </c>
      <c r="E320">
        <v>280</v>
      </c>
      <c r="F320" s="1">
        <v>2</v>
      </c>
      <c r="G320" s="1">
        <v>210</v>
      </c>
      <c r="H32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</v>
      </c>
      <c r="I320" s="4">
        <f>knicks_players_all_stats[[#This Row],[VALORATION]]/knicks_players_all_stats[[#This Row],[GP]]</f>
        <v>2.5</v>
      </c>
      <c r="J320" s="1">
        <v>2</v>
      </c>
      <c r="K320" s="1">
        <v>4</v>
      </c>
      <c r="L320" s="2">
        <f>knicks_players_all_stats[[#This Row],[FGM]]/knicks_players_all_stats[[#This Row],[FGA]]</f>
        <v>0.5</v>
      </c>
      <c r="M320" s="16">
        <f>knicks_players_all_stats[[#This Row],[FG3M2]]/10</f>
        <v>0</v>
      </c>
      <c r="N320" s="1">
        <v>0</v>
      </c>
      <c r="O320" s="1">
        <f>knicks_players_all_stats[[#This Row],[FG3A2]]/10</f>
        <v>1</v>
      </c>
      <c r="P320" s="1">
        <v>10</v>
      </c>
      <c r="Q320" s="2">
        <f>knicks_players_all_stats[[#This Row],[FG3M2]]/knicks_players_all_stats[[#This Row],[FG3A2]]</f>
        <v>0</v>
      </c>
      <c r="R320" s="1">
        <v>0</v>
      </c>
      <c r="S320" s="1">
        <v>0</v>
      </c>
      <c r="T320" s="3" t="e">
        <f>knicks_players_all_stats[[#This Row],[FTM]]/knicks_players_all_stats[[#This Row],[FTA]]</f>
        <v>#DIV/0!</v>
      </c>
      <c r="U320" s="1">
        <f>knicks_players_all_stats[[#This Row],[OREB22]]/10</f>
        <v>0</v>
      </c>
      <c r="V320" s="1">
        <f>knicks_players_all_stats[[#This Row],[DREB33]]/10</f>
        <v>2</v>
      </c>
      <c r="W320" s="1">
        <f>knicks_players_all_stats[[#This Row],[REB44]]/10</f>
        <v>2</v>
      </c>
      <c r="X320">
        <v>0</v>
      </c>
      <c r="Y320">
        <v>20</v>
      </c>
      <c r="Z320">
        <v>20</v>
      </c>
      <c r="AA320" s="14">
        <f>knicks_players_all_stats[[#This Row],[REB]]/knicks_players_all_stats[[#This Row],[GP]]</f>
        <v>1</v>
      </c>
      <c r="AB320" s="1">
        <v>1</v>
      </c>
      <c r="AC320" s="4">
        <f>knicks_players_all_stats[[#This Row],[AST]]/knicks_players_all_stats[[#This Row],[GP]]</f>
        <v>0.5</v>
      </c>
      <c r="AD320" s="1">
        <f>knicks_players_all_stats[[#This Row],[STL2]]/10</f>
        <v>0</v>
      </c>
      <c r="AE320" s="1">
        <v>0</v>
      </c>
      <c r="AF320" s="4">
        <f>knicks_players_all_stats[[#This Row],[STL]]/knicks_players_all_stats[[#This Row],[GP]]</f>
        <v>0</v>
      </c>
      <c r="AG320">
        <v>0</v>
      </c>
      <c r="AH320" s="1">
        <f>knicks_players_all_stats[[#This Row],[BLK2]]/10</f>
        <v>0</v>
      </c>
      <c r="AI320" s="4">
        <f>knicks_players_all_stats[[#This Row],[BLK]]/knicks_players_all_stats[[#This Row],[GP]]</f>
        <v>0</v>
      </c>
      <c r="AJ320">
        <v>0</v>
      </c>
      <c r="AK320" s="4">
        <f>knicks_players_all_stats[[#This Row],[BLKPG]]+knicks_players_all_stats[[#This Row],[STLPG]]+knicks_players_all_stats[[#This Row],[REBPG]]</f>
        <v>1</v>
      </c>
      <c r="AL320" s="1">
        <f>knicks_players_all_stats[[#This Row],[TOV2]]/10</f>
        <v>0</v>
      </c>
      <c r="AM320" s="4">
        <f>knicks_players_all_stats[[#This Row],[TOV]]/knicks_players_all_stats[[#This Row],[GP]]</f>
        <v>0</v>
      </c>
      <c r="AN320" s="1">
        <v>0</v>
      </c>
      <c r="AO320" s="1">
        <f>knicks_players_all_stats[[#This Row],[PF]]/knicks_players_all_stats[[#This Row],[GP]]</f>
        <v>0</v>
      </c>
      <c r="AP320" s="1">
        <v>4</v>
      </c>
      <c r="AQ320" s="4">
        <f>knicks_players_all_stats[[#This Row],[PTS]]/knicks_players_all_stats[[#This Row],[GP]]</f>
        <v>2</v>
      </c>
    </row>
    <row r="321" spans="1:43" x14ac:dyDescent="0.3">
      <c r="A321" s="1" t="s">
        <v>1454</v>
      </c>
      <c r="B321" s="1" t="s">
        <v>1308</v>
      </c>
      <c r="C321" s="1" t="str">
        <f>knicks_players_all_stats[[#This Row],[NAME]]&amp;" ("&amp;knicks_players_all_stats[[#This Row],[SEASON]]&amp;")"</f>
        <v>Feron Hunt (2021-22)</v>
      </c>
      <c r="D321" s="1">
        <f>knicks_players_all_stats[[#This Row],[PLAYER_AGE]]/10</f>
        <v>22</v>
      </c>
      <c r="E321">
        <v>220</v>
      </c>
      <c r="F321" s="1">
        <v>2</v>
      </c>
      <c r="G321" s="1">
        <v>80</v>
      </c>
      <c r="H32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321" s="4">
        <f>knicks_players_all_stats[[#This Row],[VALORATION]]/knicks_players_all_stats[[#This Row],[GP]]</f>
        <v>-0.5</v>
      </c>
      <c r="J321" s="1">
        <v>0</v>
      </c>
      <c r="K321" s="1">
        <v>2</v>
      </c>
      <c r="L321" s="2">
        <f>knicks_players_all_stats[[#This Row],[FGM]]/knicks_players_all_stats[[#This Row],[FGA]]</f>
        <v>0</v>
      </c>
      <c r="M321" s="16">
        <f>knicks_players_all_stats[[#This Row],[FG3M2]]/10</f>
        <v>0</v>
      </c>
      <c r="N321" s="1">
        <v>0</v>
      </c>
      <c r="O321" s="1">
        <f>knicks_players_all_stats[[#This Row],[FG3A2]]/10</f>
        <v>0</v>
      </c>
      <c r="P321" s="1">
        <v>0</v>
      </c>
      <c r="Q321" s="2" t="e">
        <f>knicks_players_all_stats[[#This Row],[FG3M2]]/knicks_players_all_stats[[#This Row],[FG3A2]]</f>
        <v>#DIV/0!</v>
      </c>
      <c r="R321" s="1">
        <v>0</v>
      </c>
      <c r="S321" s="1">
        <v>0</v>
      </c>
      <c r="T321" s="3" t="e">
        <f>knicks_players_all_stats[[#This Row],[FTM]]/knicks_players_all_stats[[#This Row],[FTA]]</f>
        <v>#DIV/0!</v>
      </c>
      <c r="U321" s="1">
        <f>knicks_players_all_stats[[#This Row],[OREB22]]/10</f>
        <v>1</v>
      </c>
      <c r="V321" s="1">
        <f>knicks_players_all_stats[[#This Row],[DREB33]]/10</f>
        <v>0</v>
      </c>
      <c r="W321" s="1">
        <f>knicks_players_all_stats[[#This Row],[REB44]]/10</f>
        <v>1</v>
      </c>
      <c r="X321">
        <v>10</v>
      </c>
      <c r="Y321">
        <v>0</v>
      </c>
      <c r="Z321">
        <v>10</v>
      </c>
      <c r="AA321" s="14">
        <f>knicks_players_all_stats[[#This Row],[REB]]/knicks_players_all_stats[[#This Row],[GP]]</f>
        <v>0.5</v>
      </c>
      <c r="AB321" s="1">
        <v>1</v>
      </c>
      <c r="AC321" s="4">
        <f>knicks_players_all_stats[[#This Row],[AST]]/knicks_players_all_stats[[#This Row],[GP]]</f>
        <v>0.5</v>
      </c>
      <c r="AD321" s="1">
        <f>knicks_players_all_stats[[#This Row],[STL2]]/10</f>
        <v>1</v>
      </c>
      <c r="AE321" s="1">
        <v>10</v>
      </c>
      <c r="AF321" s="4">
        <f>knicks_players_all_stats[[#This Row],[STL]]/knicks_players_all_stats[[#This Row],[GP]]</f>
        <v>0.5</v>
      </c>
      <c r="AG321">
        <v>0</v>
      </c>
      <c r="AH321" s="1">
        <f>knicks_players_all_stats[[#This Row],[BLK2]]/10</f>
        <v>0</v>
      </c>
      <c r="AI321" s="4">
        <f>knicks_players_all_stats[[#This Row],[BLK]]/knicks_players_all_stats[[#This Row],[GP]]</f>
        <v>0</v>
      </c>
      <c r="AJ321">
        <v>10</v>
      </c>
      <c r="AK321" s="4">
        <f>knicks_players_all_stats[[#This Row],[BLKPG]]+knicks_players_all_stats[[#This Row],[STLPG]]+knicks_players_all_stats[[#This Row],[REBPG]]</f>
        <v>1</v>
      </c>
      <c r="AL321" s="1">
        <f>knicks_players_all_stats[[#This Row],[TOV2]]/10</f>
        <v>1</v>
      </c>
      <c r="AM321" s="4">
        <f>knicks_players_all_stats[[#This Row],[TOV]]/knicks_players_all_stats[[#This Row],[GP]]</f>
        <v>0.5</v>
      </c>
      <c r="AN321" s="1">
        <v>1</v>
      </c>
      <c r="AO321" s="1">
        <f>knicks_players_all_stats[[#This Row],[PF]]/knicks_players_all_stats[[#This Row],[GP]]</f>
        <v>0.5</v>
      </c>
      <c r="AP321" s="1">
        <v>0</v>
      </c>
      <c r="AQ321" s="4">
        <f>knicks_players_all_stats[[#This Row],[PTS]]/knicks_players_all_stats[[#This Row],[GP]]</f>
        <v>0</v>
      </c>
    </row>
    <row r="322" spans="1:43" x14ac:dyDescent="0.3">
      <c r="A322" s="1" t="s">
        <v>1711</v>
      </c>
      <c r="B322" s="1" t="s">
        <v>1292</v>
      </c>
      <c r="C322" s="1" t="str">
        <f>knicks_players_all_stats[[#This Row],[NAME]]&amp;" ("&amp;knicks_players_all_stats[[#This Row],[SEASON]]&amp;")"</f>
        <v>Chris Copeland (2012-13)</v>
      </c>
      <c r="D322" s="1">
        <f>knicks_players_all_stats[[#This Row],[PLAYER_AGE]]/10</f>
        <v>29</v>
      </c>
      <c r="E322">
        <v>290</v>
      </c>
      <c r="F322" s="1">
        <v>56</v>
      </c>
      <c r="G322" s="1">
        <v>8620</v>
      </c>
      <c r="H32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288</v>
      </c>
      <c r="I322" s="4">
        <f>knicks_players_all_stats[[#This Row],[VALORATION]]/knicks_players_all_stats[[#This Row],[GP]]</f>
        <v>5.1428571428571432</v>
      </c>
      <c r="J322" s="1">
        <v>182</v>
      </c>
      <c r="K322" s="1">
        <v>380</v>
      </c>
      <c r="L322" s="1">
        <v>479</v>
      </c>
      <c r="M322" s="4">
        <f>knicks_players_all_stats[[#This Row],[FG3M2]]/10</f>
        <v>59</v>
      </c>
      <c r="N322" s="1">
        <v>590</v>
      </c>
      <c r="O322" s="1">
        <f>knicks_players_all_stats[[#This Row],[FG3A2]]/10</f>
        <v>140</v>
      </c>
      <c r="P322" s="1">
        <v>1400</v>
      </c>
      <c r="Q322" s="2">
        <f>knicks_players_all_stats[[#This Row],[FG3M2]]/knicks_players_all_stats[[#This Row],[FG3A2]]</f>
        <v>0.42142857142857143</v>
      </c>
      <c r="R322" s="1">
        <v>63</v>
      </c>
      <c r="S322" s="1">
        <v>83</v>
      </c>
      <c r="T322" s="3">
        <f>knicks_players_all_stats[[#This Row],[FTM]]/knicks_players_all_stats[[#This Row],[FTA]]</f>
        <v>0.75903614457831325</v>
      </c>
      <c r="U322" s="1">
        <f>knicks_players_all_stats[[#This Row],[OREB22]]/10</f>
        <v>34</v>
      </c>
      <c r="V322" s="1">
        <f>knicks_players_all_stats[[#This Row],[DREB33]]/10</f>
        <v>85</v>
      </c>
      <c r="W322" s="1">
        <f>knicks_players_all_stats[[#This Row],[REB44]]/10</f>
        <v>119</v>
      </c>
      <c r="X322">
        <v>340</v>
      </c>
      <c r="Y322">
        <v>850</v>
      </c>
      <c r="Z322">
        <v>1190</v>
      </c>
      <c r="AA322" s="14">
        <f>knicks_players_all_stats[[#This Row],[REB]]/knicks_players_all_stats[[#This Row],[GP]]</f>
        <v>2.125</v>
      </c>
      <c r="AB322" s="1">
        <v>27</v>
      </c>
      <c r="AC322" s="4">
        <f>knicks_players_all_stats[[#This Row],[AST]]/knicks_players_all_stats[[#This Row],[GP]]</f>
        <v>0.48214285714285715</v>
      </c>
      <c r="AD322" s="1">
        <f>knicks_players_all_stats[[#This Row],[STL2]]/10</f>
        <v>16</v>
      </c>
      <c r="AE322" s="1">
        <v>160</v>
      </c>
      <c r="AF322" s="4">
        <f>knicks_players_all_stats[[#This Row],[STL]]/knicks_players_all_stats[[#This Row],[GP]]</f>
        <v>0.2857142857142857</v>
      </c>
      <c r="AG322">
        <v>120</v>
      </c>
      <c r="AH322" s="1">
        <f>knicks_players_all_stats[[#This Row],[BLK2]]/10</f>
        <v>12</v>
      </c>
      <c r="AI322" s="4">
        <f>knicks_players_all_stats[[#This Row],[BLK]]/knicks_players_all_stats[[#This Row],[GP]]</f>
        <v>0.21428571428571427</v>
      </c>
      <c r="AJ322">
        <v>500</v>
      </c>
      <c r="AK322" s="4">
        <f>knicks_players_all_stats[[#This Row],[BLKPG]]+knicks_players_all_stats[[#This Row],[STLPG]]+knicks_players_all_stats[[#This Row],[REBPG]]</f>
        <v>2.625</v>
      </c>
      <c r="AL322" s="1">
        <f>knicks_players_all_stats[[#This Row],[TOV2]]/10</f>
        <v>50</v>
      </c>
      <c r="AM322" s="4">
        <f>knicks_players_all_stats[[#This Row],[TOV]]/knicks_players_all_stats[[#This Row],[GP]]</f>
        <v>0.8928571428571429</v>
      </c>
      <c r="AN322" s="1">
        <v>104</v>
      </c>
      <c r="AO322" s="1">
        <f>knicks_players_all_stats[[#This Row],[PF]]/knicks_players_all_stats[[#This Row],[GP]]</f>
        <v>1.8571428571428572</v>
      </c>
      <c r="AP322" s="1">
        <v>486</v>
      </c>
      <c r="AQ322" s="4">
        <f>knicks_players_all_stats[[#This Row],[PTS]]/knicks_players_all_stats[[#This Row],[GP]]</f>
        <v>8.6785714285714288</v>
      </c>
    </row>
    <row r="323" spans="1:43" x14ac:dyDescent="0.3">
      <c r="A323" s="1" t="s">
        <v>1364</v>
      </c>
      <c r="B323" s="1" t="s">
        <v>1295</v>
      </c>
      <c r="C323" s="1" t="str">
        <f>knicks_players_all_stats[[#This Row],[NAME]]&amp;" ("&amp;knicks_players_all_stats[[#This Row],[SEASON]]&amp;")"</f>
        <v>Nazr Mohammed (2004-05)</v>
      </c>
      <c r="D323" s="1">
        <f>knicks_players_all_stats[[#This Row],[PLAYER_AGE]]/10</f>
        <v>27</v>
      </c>
      <c r="E323">
        <v>270</v>
      </c>
      <c r="F323" s="1">
        <v>54</v>
      </c>
      <c r="G323" s="1">
        <v>15190</v>
      </c>
      <c r="H32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631</v>
      </c>
      <c r="I323" s="4">
        <f>knicks_players_all_stats[[#This Row],[VALORATION]]/knicks_players_all_stats[[#This Row],[GP]]</f>
        <v>11.685185185185185</v>
      </c>
      <c r="J323" s="1">
        <v>234</v>
      </c>
      <c r="K323" s="1">
        <v>460</v>
      </c>
      <c r="L323" s="2">
        <f>knicks_players_all_stats[[#This Row],[FGM]]/knicks_players_all_stats[[#This Row],[FGA]]</f>
        <v>0.50869565217391299</v>
      </c>
      <c r="M323" s="16">
        <f>knicks_players_all_stats[[#This Row],[FG3M2]]/10</f>
        <v>0</v>
      </c>
      <c r="N323" s="1">
        <v>0</v>
      </c>
      <c r="O323" s="1">
        <f>knicks_players_all_stats[[#This Row],[FG3A2]]/10</f>
        <v>1</v>
      </c>
      <c r="P323" s="1">
        <v>10</v>
      </c>
      <c r="Q323" s="2">
        <f>knicks_players_all_stats[[#This Row],[FG3M2]]/knicks_players_all_stats[[#This Row],[FG3A2]]</f>
        <v>0</v>
      </c>
      <c r="R323" s="1">
        <v>121</v>
      </c>
      <c r="S323" s="1">
        <v>171</v>
      </c>
      <c r="T323" s="3">
        <f>knicks_players_all_stats[[#This Row],[FTM]]/knicks_players_all_stats[[#This Row],[FTA]]</f>
        <v>0.70760233918128657</v>
      </c>
      <c r="U323" s="1">
        <f>knicks_players_all_stats[[#This Row],[OREB22]]/10</f>
        <v>169</v>
      </c>
      <c r="V323" s="1">
        <f>knicks_players_all_stats[[#This Row],[DREB33]]/10</f>
        <v>270</v>
      </c>
      <c r="W323" s="1">
        <f>knicks_players_all_stats[[#This Row],[REB44]]/10</f>
        <v>439</v>
      </c>
      <c r="X323">
        <v>1690</v>
      </c>
      <c r="Y323">
        <v>2700</v>
      </c>
      <c r="Z323">
        <v>4390</v>
      </c>
      <c r="AA323" s="14">
        <f>knicks_players_all_stats[[#This Row],[REB]]/knicks_players_all_stats[[#This Row],[GP]]</f>
        <v>8.1296296296296298</v>
      </c>
      <c r="AB323" s="1">
        <v>26</v>
      </c>
      <c r="AC323" s="4">
        <f>knicks_players_all_stats[[#This Row],[AST]]/knicks_players_all_stats[[#This Row],[GP]]</f>
        <v>0.48148148148148145</v>
      </c>
      <c r="AD323" s="1">
        <f>knicks_players_all_stats[[#This Row],[STL2]]/10</f>
        <v>53</v>
      </c>
      <c r="AE323" s="1">
        <v>530</v>
      </c>
      <c r="AF323" s="4">
        <f>knicks_players_all_stats[[#This Row],[STL]]/knicks_players_all_stats[[#This Row],[GP]]</f>
        <v>0.98148148148148151</v>
      </c>
      <c r="AG323">
        <v>530</v>
      </c>
      <c r="AH323" s="1">
        <f>knicks_players_all_stats[[#This Row],[BLK2]]/10</f>
        <v>53</v>
      </c>
      <c r="AI323" s="4">
        <f>knicks_players_all_stats[[#This Row],[BLK]]/knicks_players_all_stats[[#This Row],[GP]]</f>
        <v>0.98148148148148151</v>
      </c>
      <c r="AJ323">
        <v>810</v>
      </c>
      <c r="AK323" s="4">
        <f>knicks_players_all_stats[[#This Row],[BLKPG]]+knicks_players_all_stats[[#This Row],[STLPG]]+knicks_players_all_stats[[#This Row],[REBPG]]</f>
        <v>10.092592592592593</v>
      </c>
      <c r="AL323" s="1">
        <f>knicks_players_all_stats[[#This Row],[TOV2]]/10</f>
        <v>81</v>
      </c>
      <c r="AM323" s="4">
        <f>knicks_players_all_stats[[#This Row],[TOV]]/knicks_players_all_stats[[#This Row],[GP]]</f>
        <v>1.5</v>
      </c>
      <c r="AN323" s="1">
        <v>172</v>
      </c>
      <c r="AO323" s="1">
        <f>knicks_players_all_stats[[#This Row],[PF]]/knicks_players_all_stats[[#This Row],[GP]]</f>
        <v>3.1851851851851851</v>
      </c>
      <c r="AP323" s="1">
        <v>589</v>
      </c>
      <c r="AQ323" s="4">
        <f>knicks_players_all_stats[[#This Row],[PTS]]/knicks_players_all_stats[[#This Row],[GP]]</f>
        <v>10.907407407407407</v>
      </c>
    </row>
    <row r="324" spans="1:43" x14ac:dyDescent="0.3">
      <c r="A324" s="1" t="s">
        <v>1552</v>
      </c>
      <c r="B324" s="1" t="s">
        <v>1327</v>
      </c>
      <c r="C324" s="1" t="str">
        <f>knicks_players_all_stats[[#This Row],[NAME]]&amp;" ("&amp;knicks_players_all_stats[[#This Row],[SEASON]]&amp;")"</f>
        <v>Jericho Sims (2022-23)</v>
      </c>
      <c r="D324" s="1">
        <f>knicks_players_all_stats[[#This Row],[PLAYER_AGE]]/10</f>
        <v>24</v>
      </c>
      <c r="E324">
        <v>240</v>
      </c>
      <c r="F324" s="1">
        <v>52</v>
      </c>
      <c r="G324" s="1">
        <v>8120</v>
      </c>
      <c r="H32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337</v>
      </c>
      <c r="I324" s="4">
        <f>knicks_players_all_stats[[#This Row],[VALORATION]]/knicks_players_all_stats[[#This Row],[GP]]</f>
        <v>6.4807692307692308</v>
      </c>
      <c r="J324" s="1">
        <v>83</v>
      </c>
      <c r="K324" s="1">
        <v>107</v>
      </c>
      <c r="L324" s="2">
        <f>knicks_players_all_stats[[#This Row],[FGM]]/knicks_players_all_stats[[#This Row],[FGA]]</f>
        <v>0.77570093457943923</v>
      </c>
      <c r="M324" s="16">
        <f>knicks_players_all_stats[[#This Row],[FG3M2]]/10</f>
        <v>0</v>
      </c>
      <c r="N324" s="1">
        <v>0</v>
      </c>
      <c r="O324" s="1">
        <f>knicks_players_all_stats[[#This Row],[FG3A2]]/10</f>
        <v>1</v>
      </c>
      <c r="P324" s="1">
        <v>10</v>
      </c>
      <c r="Q324" s="2">
        <f>knicks_players_all_stats[[#This Row],[FG3M2]]/knicks_players_all_stats[[#This Row],[FG3A2]]</f>
        <v>0</v>
      </c>
      <c r="R324" s="1">
        <v>12</v>
      </c>
      <c r="S324" s="1">
        <v>16</v>
      </c>
      <c r="T324" s="3">
        <f>knicks_players_all_stats[[#This Row],[FTM]]/knicks_players_all_stats[[#This Row],[FTA]]</f>
        <v>0.75</v>
      </c>
      <c r="U324" s="1">
        <f>knicks_players_all_stats[[#This Row],[OREB22]]/10</f>
        <v>99</v>
      </c>
      <c r="V324" s="1">
        <f>knicks_players_all_stats[[#This Row],[DREB33]]/10</f>
        <v>143</v>
      </c>
      <c r="W324" s="1">
        <f>knicks_players_all_stats[[#This Row],[REB44]]/10</f>
        <v>242</v>
      </c>
      <c r="X324">
        <v>990</v>
      </c>
      <c r="Y324">
        <v>1430</v>
      </c>
      <c r="Z324">
        <v>2420</v>
      </c>
      <c r="AA324" s="14">
        <f>knicks_players_all_stats[[#This Row],[REB]]/knicks_players_all_stats[[#This Row],[GP]]</f>
        <v>4.6538461538461542</v>
      </c>
      <c r="AB324" s="1">
        <v>25</v>
      </c>
      <c r="AC324" s="4">
        <f>knicks_players_all_stats[[#This Row],[AST]]/knicks_players_all_stats[[#This Row],[GP]]</f>
        <v>0.48076923076923078</v>
      </c>
      <c r="AD324" s="1">
        <f>knicks_players_all_stats[[#This Row],[STL2]]/10</f>
        <v>15</v>
      </c>
      <c r="AE324" s="1">
        <v>150</v>
      </c>
      <c r="AF324" s="4">
        <f>knicks_players_all_stats[[#This Row],[STL]]/knicks_players_all_stats[[#This Row],[GP]]</f>
        <v>0.28846153846153844</v>
      </c>
      <c r="AG324">
        <v>280</v>
      </c>
      <c r="AH324" s="1">
        <f>knicks_players_all_stats[[#This Row],[BLK2]]/10</f>
        <v>28</v>
      </c>
      <c r="AI324" s="4">
        <f>knicks_players_all_stats[[#This Row],[BLK]]/knicks_players_all_stats[[#This Row],[GP]]</f>
        <v>0.53846153846153844</v>
      </c>
      <c r="AJ324">
        <v>270</v>
      </c>
      <c r="AK324" s="4">
        <f>knicks_players_all_stats[[#This Row],[BLKPG]]+knicks_players_all_stats[[#This Row],[STLPG]]+knicks_players_all_stats[[#This Row],[REBPG]]</f>
        <v>5.4807692307692308</v>
      </c>
      <c r="AL324" s="1">
        <f>knicks_players_all_stats[[#This Row],[TOV2]]/10</f>
        <v>27</v>
      </c>
      <c r="AM324" s="4">
        <f>knicks_players_all_stats[[#This Row],[TOV]]/knicks_players_all_stats[[#This Row],[GP]]</f>
        <v>0.51923076923076927</v>
      </c>
      <c r="AN324" s="1">
        <v>96</v>
      </c>
      <c r="AO324" s="1">
        <f>knicks_players_all_stats[[#This Row],[PF]]/knicks_players_all_stats[[#This Row],[GP]]</f>
        <v>1.8461538461538463</v>
      </c>
      <c r="AP324" s="1">
        <v>178</v>
      </c>
      <c r="AQ324" s="4">
        <f>knicks_players_all_stats[[#This Row],[PTS]]/knicks_players_all_stats[[#This Row],[GP]]</f>
        <v>3.4230769230769229</v>
      </c>
    </row>
    <row r="325" spans="1:43" customFormat="1" x14ac:dyDescent="0.3">
      <c r="A325" s="1" t="s">
        <v>1566</v>
      </c>
      <c r="B325" s="1" t="s">
        <v>1330</v>
      </c>
      <c r="C325" s="1" t="str">
        <f>knicks_players_all_stats[[#This Row],[NAME]]&amp;" ("&amp;knicks_players_all_stats[[#This Row],[SEASON]]&amp;")"</f>
        <v>Othella Harrington (2001-02)</v>
      </c>
      <c r="D325" s="1">
        <f>knicks_players_all_stats[[#This Row],[PLAYER_AGE]]/10</f>
        <v>28</v>
      </c>
      <c r="E325">
        <v>280</v>
      </c>
      <c r="F325" s="1">
        <v>77</v>
      </c>
      <c r="G325" s="1">
        <v>15640</v>
      </c>
      <c r="H32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440</v>
      </c>
      <c r="I325" s="4">
        <f>knicks_players_all_stats[[#This Row],[VALORATION]]/knicks_players_all_stats[[#This Row],[GP]]</f>
        <v>5.7142857142857144</v>
      </c>
      <c r="J325" s="1">
        <v>237</v>
      </c>
      <c r="K325" s="1">
        <v>450</v>
      </c>
      <c r="L325" s="2">
        <f>knicks_players_all_stats[[#This Row],[FGM]]/knicks_players_all_stats[[#This Row],[FGA]]</f>
        <v>0.52666666666666662</v>
      </c>
      <c r="M325" s="16">
        <f>knicks_players_all_stats[[#This Row],[FG3M2]]/10</f>
        <v>0</v>
      </c>
      <c r="N325" s="1">
        <v>0</v>
      </c>
      <c r="O325" s="1">
        <f>knicks_players_all_stats[[#This Row],[FG3A2]]/10</f>
        <v>2</v>
      </c>
      <c r="P325" s="1">
        <v>20</v>
      </c>
      <c r="Q325" s="2">
        <f>knicks_players_all_stats[[#This Row],[FG3M2]]/knicks_players_all_stats[[#This Row],[FG3A2]]</f>
        <v>0</v>
      </c>
      <c r="R325" s="1">
        <v>122</v>
      </c>
      <c r="S325" s="1">
        <v>172</v>
      </c>
      <c r="T325" s="3">
        <f>knicks_players_all_stats[[#This Row],[FTM]]/knicks_players_all_stats[[#This Row],[FTA]]</f>
        <v>0.70930232558139539</v>
      </c>
      <c r="U325" s="1">
        <f>knicks_players_all_stats[[#This Row],[OREB22]]/10</f>
        <v>125</v>
      </c>
      <c r="V325" s="1">
        <f>knicks_players_all_stats[[#This Row],[DREB33]]/10</f>
        <v>224</v>
      </c>
      <c r="W325" s="1">
        <f>knicks_players_all_stats[[#This Row],[REB44]]/10</f>
        <v>349</v>
      </c>
      <c r="X325">
        <v>1250</v>
      </c>
      <c r="Y325">
        <v>2240</v>
      </c>
      <c r="Z325">
        <v>3490</v>
      </c>
      <c r="AA325" s="14">
        <f>knicks_players_all_stats[[#This Row],[REB]]/knicks_players_all_stats[[#This Row],[GP]]</f>
        <v>4.5324675324675328</v>
      </c>
      <c r="AB325" s="1">
        <v>37</v>
      </c>
      <c r="AC325" s="4">
        <f>knicks_players_all_stats[[#This Row],[AST]]/knicks_players_all_stats[[#This Row],[GP]]</f>
        <v>0.48051948051948051</v>
      </c>
      <c r="AD325" s="1">
        <f>knicks_players_all_stats[[#This Row],[STL2]]/10</f>
        <v>30</v>
      </c>
      <c r="AE325" s="1">
        <v>300</v>
      </c>
      <c r="AF325" s="4">
        <f>knicks_players_all_stats[[#This Row],[STL]]/knicks_players_all_stats[[#This Row],[GP]]</f>
        <v>0.38961038961038963</v>
      </c>
      <c r="AG325">
        <v>360</v>
      </c>
      <c r="AH325" s="1">
        <f>knicks_players_all_stats[[#This Row],[BLK2]]/10</f>
        <v>36</v>
      </c>
      <c r="AI325" s="4">
        <f>knicks_players_all_stats[[#This Row],[BLK]]/knicks_players_all_stats[[#This Row],[GP]]</f>
        <v>0.46753246753246752</v>
      </c>
      <c r="AJ325">
        <v>950</v>
      </c>
      <c r="AK325" s="4">
        <f>knicks_players_all_stats[[#This Row],[BLKPG]]+knicks_players_all_stats[[#This Row],[STLPG]]+knicks_players_all_stats[[#This Row],[REBPG]]</f>
        <v>5.3896103896103895</v>
      </c>
      <c r="AL325" s="1">
        <f>knicks_players_all_stats[[#This Row],[TOV2]]/10</f>
        <v>95</v>
      </c>
      <c r="AM325" s="4">
        <f>knicks_players_all_stats[[#This Row],[TOV]]/knicks_players_all_stats[[#This Row],[GP]]</f>
        <v>1.2337662337662338</v>
      </c>
      <c r="AN325" s="1">
        <v>250</v>
      </c>
      <c r="AO325" s="1">
        <f>knicks_players_all_stats[[#This Row],[PF]]/knicks_players_all_stats[[#This Row],[GP]]</f>
        <v>3.2467532467532467</v>
      </c>
      <c r="AP325" s="1">
        <v>596</v>
      </c>
      <c r="AQ325" s="4">
        <f>knicks_players_all_stats[[#This Row],[PTS]]/knicks_players_all_stats[[#This Row],[GP]]</f>
        <v>7.7402597402597406</v>
      </c>
    </row>
    <row r="326" spans="1:43" customFormat="1" x14ac:dyDescent="0.3">
      <c r="A326" s="1" t="s">
        <v>1648</v>
      </c>
      <c r="B326" s="1" t="s">
        <v>1281</v>
      </c>
      <c r="C326" s="1" t="str">
        <f>knicks_players_all_stats[[#This Row],[NAME]]&amp;" ("&amp;knicks_players_all_stats[[#This Row],[SEASON]]&amp;")"</f>
        <v>Marshall Plumlee (2016-17)</v>
      </c>
      <c r="D326" s="1">
        <f>knicks_players_all_stats[[#This Row],[PLAYER_AGE]]/10</f>
        <v>24</v>
      </c>
      <c r="E326">
        <v>240</v>
      </c>
      <c r="F326" s="1">
        <v>21</v>
      </c>
      <c r="G326" s="1">
        <v>1700</v>
      </c>
      <c r="H32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49</v>
      </c>
      <c r="I326" s="4">
        <f>knicks_players_all_stats[[#This Row],[VALORATION]]/knicks_players_all_stats[[#This Row],[GP]]</f>
        <v>2.3333333333333335</v>
      </c>
      <c r="J326" s="1">
        <v>16</v>
      </c>
      <c r="K326" s="1">
        <v>30</v>
      </c>
      <c r="L326" s="1">
        <v>533</v>
      </c>
      <c r="M326" s="4">
        <f>knicks_players_all_stats[[#This Row],[FG3M2]]/10</f>
        <v>0</v>
      </c>
      <c r="N326" s="1">
        <v>0</v>
      </c>
      <c r="O326" s="1">
        <f>knicks_players_all_stats[[#This Row],[FG3A2]]/10</f>
        <v>0</v>
      </c>
      <c r="P326" s="1">
        <v>0</v>
      </c>
      <c r="Q326" s="2" t="e">
        <f>knicks_players_all_stats[[#This Row],[FG3M2]]/knicks_players_all_stats[[#This Row],[FG3A2]]</f>
        <v>#DIV/0!</v>
      </c>
      <c r="R326" s="1">
        <v>8</v>
      </c>
      <c r="S326" s="1">
        <v>19</v>
      </c>
      <c r="T326" s="3">
        <f>knicks_players_all_stats[[#This Row],[FTM]]/knicks_players_all_stats[[#This Row],[FTA]]</f>
        <v>0.42105263157894735</v>
      </c>
      <c r="U326" s="1">
        <f>knicks_players_all_stats[[#This Row],[OREB22]]/10</f>
        <v>23</v>
      </c>
      <c r="V326" s="1">
        <f>knicks_players_all_stats[[#This Row],[DREB33]]/10</f>
        <v>28</v>
      </c>
      <c r="W326" s="1">
        <f>knicks_players_all_stats[[#This Row],[REB44]]/10</f>
        <v>51</v>
      </c>
      <c r="X326">
        <v>230</v>
      </c>
      <c r="Y326">
        <v>280</v>
      </c>
      <c r="Z326">
        <v>510</v>
      </c>
      <c r="AA326" s="14">
        <f>knicks_players_all_stats[[#This Row],[REB]]/knicks_players_all_stats[[#This Row],[GP]]</f>
        <v>2.4285714285714284</v>
      </c>
      <c r="AB326" s="1">
        <v>10</v>
      </c>
      <c r="AC326" s="4">
        <f>knicks_players_all_stats[[#This Row],[AST]]/knicks_players_all_stats[[#This Row],[GP]]</f>
        <v>0.47619047619047616</v>
      </c>
      <c r="AD326" s="1">
        <f>knicks_players_all_stats[[#This Row],[STL2]]/10</f>
        <v>4</v>
      </c>
      <c r="AE326" s="1">
        <v>40</v>
      </c>
      <c r="AF326" s="4">
        <f>knicks_players_all_stats[[#This Row],[STL]]/knicks_players_all_stats[[#This Row],[GP]]</f>
        <v>0.19047619047619047</v>
      </c>
      <c r="AG326">
        <v>40</v>
      </c>
      <c r="AH326" s="1">
        <f>knicks_players_all_stats[[#This Row],[BLK2]]/10</f>
        <v>4</v>
      </c>
      <c r="AI326" s="4">
        <f>knicks_players_all_stats[[#This Row],[BLK]]/knicks_players_all_stats[[#This Row],[GP]]</f>
        <v>0.19047619047619047</v>
      </c>
      <c r="AJ326">
        <v>120</v>
      </c>
      <c r="AK326" s="4">
        <f>knicks_players_all_stats[[#This Row],[BLKPG]]+knicks_players_all_stats[[#This Row],[STLPG]]+knicks_players_all_stats[[#This Row],[REBPG]]</f>
        <v>2.8095238095238093</v>
      </c>
      <c r="AL326" s="1">
        <f>knicks_players_all_stats[[#This Row],[TOV2]]/10</f>
        <v>12</v>
      </c>
      <c r="AM326" s="4">
        <f>knicks_players_all_stats[[#This Row],[TOV]]/knicks_players_all_stats[[#This Row],[GP]]</f>
        <v>0.5714285714285714</v>
      </c>
      <c r="AN326" s="1">
        <v>23</v>
      </c>
      <c r="AO326" s="1">
        <f>knicks_players_all_stats[[#This Row],[PF]]/knicks_players_all_stats[[#This Row],[GP]]</f>
        <v>1.0952380952380953</v>
      </c>
      <c r="AP326" s="1">
        <v>40</v>
      </c>
      <c r="AQ326" s="4">
        <f>knicks_players_all_stats[[#This Row],[PTS]]/knicks_players_all_stats[[#This Row],[GP]]</f>
        <v>1.9047619047619047</v>
      </c>
    </row>
    <row r="327" spans="1:43" customFormat="1" x14ac:dyDescent="0.3">
      <c r="A327" s="1" t="s">
        <v>1798</v>
      </c>
      <c r="B327" s="1" t="s">
        <v>1289</v>
      </c>
      <c r="C327" s="1" t="str">
        <f>knicks_players_all_stats[[#This Row],[NAME]]&amp;" ("&amp;knicks_players_all_stats[[#This Row],[SEASON]]&amp;")"</f>
        <v>Obi Toppin (2020-21)</v>
      </c>
      <c r="D327" s="1">
        <f>knicks_players_all_stats[[#This Row],[PLAYER_AGE]]/10</f>
        <v>23</v>
      </c>
      <c r="E327">
        <v>230</v>
      </c>
      <c r="F327" s="1">
        <v>62</v>
      </c>
      <c r="G327" s="1">
        <v>6830</v>
      </c>
      <c r="H32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262</v>
      </c>
      <c r="I327" s="4">
        <f>knicks_players_all_stats[[#This Row],[VALORATION]]/knicks_players_all_stats[[#This Row],[GP]]</f>
        <v>4.225806451612903</v>
      </c>
      <c r="J327" s="1">
        <v>104</v>
      </c>
      <c r="K327" s="1">
        <v>209</v>
      </c>
      <c r="L327" s="1">
        <v>498</v>
      </c>
      <c r="M327" s="4">
        <f>knicks_players_all_stats[[#This Row],[FG3M2]]/10</f>
        <v>26</v>
      </c>
      <c r="N327" s="1">
        <v>260</v>
      </c>
      <c r="O327" s="1">
        <f>knicks_players_all_stats[[#This Row],[FG3A2]]/10</f>
        <v>85</v>
      </c>
      <c r="P327" s="1">
        <v>850</v>
      </c>
      <c r="Q327" s="2">
        <f>knicks_players_all_stats[[#This Row],[FG3M2]]/knicks_players_all_stats[[#This Row],[FG3A2]]</f>
        <v>0.30588235294117649</v>
      </c>
      <c r="R327" s="1">
        <v>19</v>
      </c>
      <c r="S327" s="1">
        <v>26</v>
      </c>
      <c r="T327" s="3">
        <f>knicks_players_all_stats[[#This Row],[FTM]]/knicks_players_all_stats[[#This Row],[FTA]]</f>
        <v>0.73076923076923073</v>
      </c>
      <c r="U327" s="1">
        <f>knicks_players_all_stats[[#This Row],[OREB22]]/10</f>
        <v>26</v>
      </c>
      <c r="V327" s="1">
        <f>knicks_players_all_stats[[#This Row],[DREB33]]/10</f>
        <v>112</v>
      </c>
      <c r="W327" s="1">
        <f>knicks_players_all_stats[[#This Row],[REB44]]/10</f>
        <v>138</v>
      </c>
      <c r="X327">
        <v>260</v>
      </c>
      <c r="Y327">
        <v>1120</v>
      </c>
      <c r="Z327">
        <v>1380</v>
      </c>
      <c r="AA327" s="14">
        <f>knicks_players_all_stats[[#This Row],[REB]]/knicks_players_all_stats[[#This Row],[GP]]</f>
        <v>2.225806451612903</v>
      </c>
      <c r="AB327" s="1">
        <v>29</v>
      </c>
      <c r="AC327" s="4">
        <f>knicks_players_all_stats[[#This Row],[AST]]/knicks_players_all_stats[[#This Row],[GP]]</f>
        <v>0.46774193548387094</v>
      </c>
      <c r="AD327" s="1">
        <f>knicks_players_all_stats[[#This Row],[STL2]]/10</f>
        <v>17</v>
      </c>
      <c r="AE327" s="1">
        <v>170</v>
      </c>
      <c r="AF327" s="4">
        <f>knicks_players_all_stats[[#This Row],[STL]]/knicks_players_all_stats[[#This Row],[GP]]</f>
        <v>0.27419354838709675</v>
      </c>
      <c r="AG327">
        <v>150</v>
      </c>
      <c r="AH327" s="1">
        <f>knicks_players_all_stats[[#This Row],[BLK2]]/10</f>
        <v>15</v>
      </c>
      <c r="AI327" s="4">
        <f>knicks_players_all_stats[[#This Row],[BLK]]/knicks_players_all_stats[[#This Row],[GP]]</f>
        <v>0.24193548387096775</v>
      </c>
      <c r="AJ327">
        <v>230</v>
      </c>
      <c r="AK327" s="4">
        <f>knicks_players_all_stats[[#This Row],[BLKPG]]+knicks_players_all_stats[[#This Row],[STLPG]]+knicks_players_all_stats[[#This Row],[REBPG]]</f>
        <v>2.7419354838709675</v>
      </c>
      <c r="AL327" s="1">
        <f>knicks_players_all_stats[[#This Row],[TOV2]]/10</f>
        <v>23</v>
      </c>
      <c r="AM327" s="4">
        <f>knicks_players_all_stats[[#This Row],[TOV]]/knicks_players_all_stats[[#This Row],[GP]]</f>
        <v>0.37096774193548387</v>
      </c>
      <c r="AN327" s="1">
        <v>55</v>
      </c>
      <c r="AO327" s="1">
        <f>knicks_players_all_stats[[#This Row],[PF]]/knicks_players_all_stats[[#This Row],[GP]]</f>
        <v>0.88709677419354838</v>
      </c>
      <c r="AP327" s="1">
        <v>253</v>
      </c>
      <c r="AQ327" s="4">
        <f>knicks_players_all_stats[[#This Row],[PTS]]/knicks_players_all_stats[[#This Row],[GP]]</f>
        <v>4.080645161290323</v>
      </c>
    </row>
    <row r="328" spans="1:43" customFormat="1" x14ac:dyDescent="0.3">
      <c r="A328" s="1" t="s">
        <v>1584</v>
      </c>
      <c r="B328" s="1" t="s">
        <v>1465</v>
      </c>
      <c r="C328" s="1" t="str">
        <f>knicks_players_all_stats[[#This Row],[NAME]]&amp;" ("&amp;knicks_players_all_stats[[#This Row],[SEASON]]&amp;")"</f>
        <v>Rick Brunson (2000-01)</v>
      </c>
      <c r="D328" s="1">
        <f>knicks_players_all_stats[[#This Row],[PLAYER_AGE]]/10</f>
        <v>29</v>
      </c>
      <c r="E328">
        <v>290</v>
      </c>
      <c r="F328" s="1">
        <v>15</v>
      </c>
      <c r="G328" s="1">
        <v>660</v>
      </c>
      <c r="H32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</v>
      </c>
      <c r="I328" s="4">
        <f>knicks_players_all_stats[[#This Row],[VALORATION]]/knicks_players_all_stats[[#This Row],[GP]]</f>
        <v>0.93333333333333335</v>
      </c>
      <c r="J328" s="1">
        <v>8</v>
      </c>
      <c r="K328" s="1">
        <v>19</v>
      </c>
      <c r="L328" s="2">
        <f>knicks_players_all_stats[[#This Row],[FGM]]/knicks_players_all_stats[[#This Row],[FGA]]</f>
        <v>0.42105263157894735</v>
      </c>
      <c r="M328" s="16">
        <f>knicks_players_all_stats[[#This Row],[FG3M2]]/10</f>
        <v>0</v>
      </c>
      <c r="N328" s="1">
        <v>0</v>
      </c>
      <c r="O328" s="1">
        <f>knicks_players_all_stats[[#This Row],[FG3A2]]/10</f>
        <v>3</v>
      </c>
      <c r="P328" s="1">
        <v>30</v>
      </c>
      <c r="Q328" s="2">
        <f>knicks_players_all_stats[[#This Row],[FG3M2]]/knicks_players_all_stats[[#This Row],[FG3A2]]</f>
        <v>0</v>
      </c>
      <c r="R328" s="1">
        <v>4</v>
      </c>
      <c r="S328" s="1">
        <v>6</v>
      </c>
      <c r="T328" s="3">
        <f>knicks_players_all_stats[[#This Row],[FTM]]/knicks_players_all_stats[[#This Row],[FTA]]</f>
        <v>0.66666666666666663</v>
      </c>
      <c r="U328" s="1">
        <f>knicks_players_all_stats[[#This Row],[OREB22]]/10</f>
        <v>3</v>
      </c>
      <c r="V328" s="1">
        <f>knicks_players_all_stats[[#This Row],[DREB33]]/10</f>
        <v>9</v>
      </c>
      <c r="W328" s="1">
        <f>knicks_players_all_stats[[#This Row],[REB44]]/10</f>
        <v>12</v>
      </c>
      <c r="X328">
        <v>30</v>
      </c>
      <c r="Y328">
        <v>90</v>
      </c>
      <c r="Z328">
        <v>120</v>
      </c>
      <c r="AA328" s="14">
        <f>knicks_players_all_stats[[#This Row],[REB]]/knicks_players_all_stats[[#This Row],[GP]]</f>
        <v>0.8</v>
      </c>
      <c r="AB328" s="1">
        <v>7</v>
      </c>
      <c r="AC328" s="4">
        <f>knicks_players_all_stats[[#This Row],[AST]]/knicks_players_all_stats[[#This Row],[GP]]</f>
        <v>0.46666666666666667</v>
      </c>
      <c r="AD328" s="1">
        <f>knicks_players_all_stats[[#This Row],[STL2]]/10</f>
        <v>1</v>
      </c>
      <c r="AE328" s="1">
        <v>10</v>
      </c>
      <c r="AF328" s="4">
        <f>knicks_players_all_stats[[#This Row],[STL]]/knicks_players_all_stats[[#This Row],[GP]]</f>
        <v>6.6666666666666666E-2</v>
      </c>
      <c r="AG328">
        <v>0</v>
      </c>
      <c r="AH328" s="1">
        <f>knicks_players_all_stats[[#This Row],[BLK2]]/10</f>
        <v>0</v>
      </c>
      <c r="AI328" s="4">
        <f>knicks_players_all_stats[[#This Row],[BLK]]/knicks_players_all_stats[[#This Row],[GP]]</f>
        <v>0</v>
      </c>
      <c r="AJ328">
        <v>80</v>
      </c>
      <c r="AK328" s="4">
        <f>knicks_players_all_stats[[#This Row],[BLKPG]]+knicks_players_all_stats[[#This Row],[STLPG]]+knicks_players_all_stats[[#This Row],[REBPG]]</f>
        <v>0.8666666666666667</v>
      </c>
      <c r="AL328" s="1">
        <f>knicks_players_all_stats[[#This Row],[TOV2]]/10</f>
        <v>8</v>
      </c>
      <c r="AM328" s="4">
        <f>knicks_players_all_stats[[#This Row],[TOV]]/knicks_players_all_stats[[#This Row],[GP]]</f>
        <v>0.53333333333333333</v>
      </c>
      <c r="AN328" s="1">
        <v>5</v>
      </c>
      <c r="AO328" s="1">
        <f>knicks_players_all_stats[[#This Row],[PF]]/knicks_players_all_stats[[#This Row],[GP]]</f>
        <v>0.33333333333333331</v>
      </c>
      <c r="AP328" s="1">
        <v>20</v>
      </c>
      <c r="AQ328" s="4">
        <f>knicks_players_all_stats[[#This Row],[PTS]]/knicks_players_all_stats[[#This Row],[GP]]</f>
        <v>1.3333333333333333</v>
      </c>
    </row>
    <row r="329" spans="1:43" customFormat="1" x14ac:dyDescent="0.3">
      <c r="A329" s="1" t="s">
        <v>1519</v>
      </c>
      <c r="B329" s="1" t="s">
        <v>1300</v>
      </c>
      <c r="C329" s="1" t="str">
        <f>knicks_players_all_stats[[#This Row],[NAME]]&amp;" ("&amp;knicks_players_all_stats[[#This Row],[SEASON]]&amp;")"</f>
        <v>Jackie Butler (2005-06)</v>
      </c>
      <c r="D329" s="1">
        <f>knicks_players_all_stats[[#This Row],[PLAYER_AGE]]/10</f>
        <v>21</v>
      </c>
      <c r="E329">
        <v>210</v>
      </c>
      <c r="F329" s="1">
        <v>55</v>
      </c>
      <c r="G329" s="1">
        <v>7400</v>
      </c>
      <c r="H32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242</v>
      </c>
      <c r="I329" s="4">
        <f>knicks_players_all_stats[[#This Row],[VALORATION]]/knicks_players_all_stats[[#This Row],[GP]]</f>
        <v>4.4000000000000004</v>
      </c>
      <c r="J329" s="1">
        <v>117</v>
      </c>
      <c r="K329" s="1">
        <v>215</v>
      </c>
      <c r="L329" s="2">
        <f>knicks_players_all_stats[[#This Row],[FGM]]/knicks_players_all_stats[[#This Row],[FGA]]</f>
        <v>0.54418604651162794</v>
      </c>
      <c r="M329" s="16">
        <f>knicks_players_all_stats[[#This Row],[FG3M2]]/10</f>
        <v>0</v>
      </c>
      <c r="N329" s="1">
        <v>0</v>
      </c>
      <c r="O329" s="1">
        <f>knicks_players_all_stats[[#This Row],[FG3A2]]/10</f>
        <v>0</v>
      </c>
      <c r="P329" s="1">
        <v>0</v>
      </c>
      <c r="Q329" s="2" t="e">
        <f>knicks_players_all_stats[[#This Row],[FG3M2]]/knicks_players_all_stats[[#This Row],[FG3A2]]</f>
        <v>#DIV/0!</v>
      </c>
      <c r="R329" s="1">
        <v>58</v>
      </c>
      <c r="S329" s="1">
        <v>77</v>
      </c>
      <c r="T329" s="3">
        <f>knicks_players_all_stats[[#This Row],[FTM]]/knicks_players_all_stats[[#This Row],[FTA]]</f>
        <v>0.75324675324675328</v>
      </c>
      <c r="U329" s="1">
        <f>knicks_players_all_stats[[#This Row],[OREB22]]/10</f>
        <v>67</v>
      </c>
      <c r="V329" s="1">
        <f>knicks_players_all_stats[[#This Row],[DREB33]]/10</f>
        <v>116</v>
      </c>
      <c r="W329" s="1">
        <f>knicks_players_all_stats[[#This Row],[REB44]]/10</f>
        <v>183</v>
      </c>
      <c r="X329">
        <v>670</v>
      </c>
      <c r="Y329">
        <v>1160</v>
      </c>
      <c r="Z329">
        <v>1830</v>
      </c>
      <c r="AA329" s="14">
        <f>knicks_players_all_stats[[#This Row],[REB]]/knicks_players_all_stats[[#This Row],[GP]]</f>
        <v>3.3272727272727272</v>
      </c>
      <c r="AB329" s="1">
        <v>25</v>
      </c>
      <c r="AC329" s="4">
        <f>knicks_players_all_stats[[#This Row],[AST]]/knicks_players_all_stats[[#This Row],[GP]]</f>
        <v>0.45454545454545453</v>
      </c>
      <c r="AD329" s="1">
        <f>knicks_players_all_stats[[#This Row],[STL2]]/10</f>
        <v>17</v>
      </c>
      <c r="AE329" s="1">
        <v>170</v>
      </c>
      <c r="AF329" s="4">
        <f>knicks_players_all_stats[[#This Row],[STL]]/knicks_players_all_stats[[#This Row],[GP]]</f>
        <v>0.30909090909090908</v>
      </c>
      <c r="AG329">
        <v>310</v>
      </c>
      <c r="AH329" s="1">
        <f>knicks_players_all_stats[[#This Row],[BLK2]]/10</f>
        <v>31</v>
      </c>
      <c r="AI329" s="4">
        <f>knicks_players_all_stats[[#This Row],[BLK]]/knicks_players_all_stats[[#This Row],[GP]]</f>
        <v>0.5636363636363636</v>
      </c>
      <c r="AJ329">
        <v>620</v>
      </c>
      <c r="AK329" s="4">
        <f>knicks_players_all_stats[[#This Row],[BLKPG]]+knicks_players_all_stats[[#This Row],[STLPG]]+knicks_players_all_stats[[#This Row],[REBPG]]</f>
        <v>4.2</v>
      </c>
      <c r="AL329" s="1">
        <f>knicks_players_all_stats[[#This Row],[TOV2]]/10</f>
        <v>62</v>
      </c>
      <c r="AM329" s="4">
        <f>knicks_players_all_stats[[#This Row],[TOV]]/knicks_players_all_stats[[#This Row],[GP]]</f>
        <v>1.1272727272727272</v>
      </c>
      <c r="AN329" s="1">
        <v>127</v>
      </c>
      <c r="AO329" s="1">
        <f>knicks_players_all_stats[[#This Row],[PF]]/knicks_players_all_stats[[#This Row],[GP]]</f>
        <v>2.3090909090909091</v>
      </c>
      <c r="AP329" s="1">
        <v>292</v>
      </c>
      <c r="AQ329" s="4">
        <f>knicks_players_all_stats[[#This Row],[PTS]]/knicks_players_all_stats[[#This Row],[GP]]</f>
        <v>5.3090909090909095</v>
      </c>
    </row>
    <row r="330" spans="1:43" customFormat="1" x14ac:dyDescent="0.3">
      <c r="A330" s="1" t="s">
        <v>1616</v>
      </c>
      <c r="B330" s="1" t="s">
        <v>1289</v>
      </c>
      <c r="C330" s="1" t="str">
        <f>knicks_players_all_stats[[#This Row],[NAME]]&amp;" ("&amp;knicks_players_all_stats[[#This Row],[SEASON]]&amp;")"</f>
        <v>Kevin Knox II (2020-21)</v>
      </c>
      <c r="D330" s="1">
        <f>knicks_players_all_stats[[#This Row],[PLAYER_AGE]]/10</f>
        <v>21</v>
      </c>
      <c r="E330">
        <v>210</v>
      </c>
      <c r="F330" s="1">
        <v>42</v>
      </c>
      <c r="G330" s="1">
        <v>4640</v>
      </c>
      <c r="H33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116</v>
      </c>
      <c r="I330" s="4">
        <f>knicks_players_all_stats[[#This Row],[VALORATION]]/knicks_players_all_stats[[#This Row],[GP]]</f>
        <v>2.7619047619047619</v>
      </c>
      <c r="J330" s="1">
        <v>56</v>
      </c>
      <c r="K330" s="1">
        <v>143</v>
      </c>
      <c r="L330" s="2">
        <f>knicks_players_all_stats[[#This Row],[FGM]]/knicks_players_all_stats[[#This Row],[FGA]]</f>
        <v>0.39160839160839161</v>
      </c>
      <c r="M330" s="16">
        <f>knicks_players_all_stats[[#This Row],[FG3M2]]/10</f>
        <v>35</v>
      </c>
      <c r="N330" s="1">
        <v>350</v>
      </c>
      <c r="O330" s="1">
        <f>knicks_players_all_stats[[#This Row],[FG3A2]]/10</f>
        <v>89</v>
      </c>
      <c r="P330" s="1">
        <v>890</v>
      </c>
      <c r="Q330" s="2">
        <f>knicks_players_all_stats[[#This Row],[FG3M2]]/knicks_players_all_stats[[#This Row],[FG3A2]]</f>
        <v>0.39325842696629215</v>
      </c>
      <c r="R330" s="1">
        <v>16</v>
      </c>
      <c r="S330" s="1">
        <v>20</v>
      </c>
      <c r="T330" s="3">
        <f>knicks_players_all_stats[[#This Row],[FTM]]/knicks_players_all_stats[[#This Row],[FTA]]</f>
        <v>0.8</v>
      </c>
      <c r="U330" s="1">
        <f>knicks_players_all_stats[[#This Row],[OREB22]]/10</f>
        <v>10</v>
      </c>
      <c r="V330" s="1">
        <f>knicks_players_all_stats[[#This Row],[DREB33]]/10</f>
        <v>51</v>
      </c>
      <c r="W330" s="1">
        <f>knicks_players_all_stats[[#This Row],[REB44]]/10</f>
        <v>61</v>
      </c>
      <c r="X330">
        <v>100</v>
      </c>
      <c r="Y330">
        <v>510</v>
      </c>
      <c r="Z330">
        <v>610</v>
      </c>
      <c r="AA330" s="14">
        <f>knicks_players_all_stats[[#This Row],[REB]]/knicks_players_all_stats[[#This Row],[GP]]</f>
        <v>1.4523809523809523</v>
      </c>
      <c r="AB330" s="1">
        <v>19</v>
      </c>
      <c r="AC330" s="4">
        <f>knicks_players_all_stats[[#This Row],[AST]]/knicks_players_all_stats[[#This Row],[GP]]</f>
        <v>0.45238095238095238</v>
      </c>
      <c r="AD330" s="1">
        <f>knicks_players_all_stats[[#This Row],[STL2]]/10</f>
        <v>12</v>
      </c>
      <c r="AE330" s="1">
        <v>120</v>
      </c>
      <c r="AF330" s="4">
        <f>knicks_players_all_stats[[#This Row],[STL]]/knicks_players_all_stats[[#This Row],[GP]]</f>
        <v>0.2857142857142857</v>
      </c>
      <c r="AG330">
        <v>60</v>
      </c>
      <c r="AH330" s="1">
        <f>knicks_players_all_stats[[#This Row],[BLK2]]/10</f>
        <v>6</v>
      </c>
      <c r="AI330" s="4">
        <f>knicks_players_all_stats[[#This Row],[BLK]]/knicks_players_all_stats[[#This Row],[GP]]</f>
        <v>0.14285714285714285</v>
      </c>
      <c r="AJ330">
        <v>170</v>
      </c>
      <c r="AK330" s="4">
        <f>knicks_players_all_stats[[#This Row],[BLKPG]]+knicks_players_all_stats[[#This Row],[STLPG]]+knicks_players_all_stats[[#This Row],[REBPG]]</f>
        <v>1.8809523809523809</v>
      </c>
      <c r="AL330" s="1">
        <f>knicks_players_all_stats[[#This Row],[TOV2]]/10</f>
        <v>17</v>
      </c>
      <c r="AM330" s="4">
        <f>knicks_players_all_stats[[#This Row],[TOV]]/knicks_players_all_stats[[#This Row],[GP]]</f>
        <v>0.40476190476190477</v>
      </c>
      <c r="AN330" s="1">
        <v>37</v>
      </c>
      <c r="AO330" s="1">
        <f>knicks_players_all_stats[[#This Row],[PF]]/knicks_players_all_stats[[#This Row],[GP]]</f>
        <v>0.88095238095238093</v>
      </c>
      <c r="AP330" s="1">
        <v>163</v>
      </c>
      <c r="AQ330" s="4">
        <f>knicks_players_all_stats[[#This Row],[PTS]]/knicks_players_all_stats[[#This Row],[GP]]</f>
        <v>3.8809523809523809</v>
      </c>
    </row>
    <row r="331" spans="1:43" customFormat="1" x14ac:dyDescent="0.3">
      <c r="A331" s="1" t="s">
        <v>1738</v>
      </c>
      <c r="B331" s="1" t="s">
        <v>1292</v>
      </c>
      <c r="C331" s="1" t="str">
        <f>knicks_players_all_stats[[#This Row],[NAME]]&amp;" ("&amp;knicks_players_all_stats[[#This Row],[SEASON]]&amp;")"</f>
        <v>Amar'e Stoudemire (2012-13)</v>
      </c>
      <c r="D331" s="1">
        <f>knicks_players_all_stats[[#This Row],[PLAYER_AGE]]/10</f>
        <v>30</v>
      </c>
      <c r="E331">
        <v>300</v>
      </c>
      <c r="F331" s="1">
        <v>29</v>
      </c>
      <c r="G331" s="1">
        <v>6820</v>
      </c>
      <c r="H33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325</v>
      </c>
      <c r="I331" s="4">
        <f>knicks_players_all_stats[[#This Row],[VALORATION]]/knicks_players_all_stats[[#This Row],[GP]]</f>
        <v>11.206896551724139</v>
      </c>
      <c r="J331" s="1">
        <v>154</v>
      </c>
      <c r="K331" s="1">
        <v>267</v>
      </c>
      <c r="L331" s="1">
        <v>577</v>
      </c>
      <c r="M331" s="4">
        <f>knicks_players_all_stats[[#This Row],[FG3M2]]/10</f>
        <v>0</v>
      </c>
      <c r="N331" s="1">
        <v>0</v>
      </c>
      <c r="O331" s="1">
        <f>knicks_players_all_stats[[#This Row],[FG3A2]]/10</f>
        <v>0</v>
      </c>
      <c r="P331" s="1">
        <v>0</v>
      </c>
      <c r="Q331" s="2" t="e">
        <f>knicks_players_all_stats[[#This Row],[FG3M2]]/knicks_players_all_stats[[#This Row],[FG3A2]]</f>
        <v>#DIV/0!</v>
      </c>
      <c r="R331" s="1">
        <v>105</v>
      </c>
      <c r="S331" s="1">
        <v>130</v>
      </c>
      <c r="T331" s="3">
        <f>knicks_players_all_stats[[#This Row],[FTM]]/knicks_players_all_stats[[#This Row],[FTA]]</f>
        <v>0.80769230769230771</v>
      </c>
      <c r="U331" s="1">
        <f>knicks_players_all_stats[[#This Row],[OREB22]]/10</f>
        <v>60</v>
      </c>
      <c r="V331" s="1">
        <f>knicks_players_all_stats[[#This Row],[DREB33]]/10</f>
        <v>85</v>
      </c>
      <c r="W331" s="1">
        <f>knicks_players_all_stats[[#This Row],[REB44]]/10</f>
        <v>145</v>
      </c>
      <c r="X331">
        <v>600</v>
      </c>
      <c r="Y331">
        <v>850</v>
      </c>
      <c r="Z331">
        <v>1450</v>
      </c>
      <c r="AA331" s="14">
        <f>knicks_players_all_stats[[#This Row],[REB]]/knicks_players_all_stats[[#This Row],[GP]]</f>
        <v>5</v>
      </c>
      <c r="AB331" s="1">
        <v>13</v>
      </c>
      <c r="AC331" s="4">
        <f>knicks_players_all_stats[[#This Row],[AST]]/knicks_players_all_stats[[#This Row],[GP]]</f>
        <v>0.44827586206896552</v>
      </c>
      <c r="AD331" s="1">
        <f>knicks_players_all_stats[[#This Row],[STL2]]/10</f>
        <v>10</v>
      </c>
      <c r="AE331" s="1">
        <v>100</v>
      </c>
      <c r="AF331" s="4">
        <f>knicks_players_all_stats[[#This Row],[STL]]/knicks_players_all_stats[[#This Row],[GP]]</f>
        <v>0.34482758620689657</v>
      </c>
      <c r="AG331">
        <v>210</v>
      </c>
      <c r="AH331" s="1">
        <f>knicks_players_all_stats[[#This Row],[BLK2]]/10</f>
        <v>21</v>
      </c>
      <c r="AI331" s="4">
        <f>knicks_players_all_stats[[#This Row],[BLK]]/knicks_players_all_stats[[#This Row],[GP]]</f>
        <v>0.72413793103448276</v>
      </c>
      <c r="AJ331">
        <v>500</v>
      </c>
      <c r="AK331" s="4">
        <f>knicks_players_all_stats[[#This Row],[BLKPG]]+knicks_players_all_stats[[#This Row],[STLPG]]+knicks_players_all_stats[[#This Row],[REBPG]]</f>
        <v>6.068965517241379</v>
      </c>
      <c r="AL331" s="1">
        <f>knicks_players_all_stats[[#This Row],[TOV2]]/10</f>
        <v>50</v>
      </c>
      <c r="AM331" s="4">
        <f>knicks_players_all_stats[[#This Row],[TOV]]/knicks_players_all_stats[[#This Row],[GP]]</f>
        <v>1.7241379310344827</v>
      </c>
      <c r="AN331" s="1">
        <v>89</v>
      </c>
      <c r="AO331" s="1">
        <f>knicks_players_all_stats[[#This Row],[PF]]/knicks_players_all_stats[[#This Row],[GP]]</f>
        <v>3.0689655172413794</v>
      </c>
      <c r="AP331" s="1">
        <v>413</v>
      </c>
      <c r="AQ331" s="4">
        <f>knicks_players_all_stats[[#This Row],[PTS]]/knicks_players_all_stats[[#This Row],[GP]]</f>
        <v>14.241379310344827</v>
      </c>
    </row>
    <row r="332" spans="1:43" customFormat="1" x14ac:dyDescent="0.3">
      <c r="A332" s="1" t="s">
        <v>1486</v>
      </c>
      <c r="B332" s="1" t="s">
        <v>1292</v>
      </c>
      <c r="C332" s="1" t="str">
        <f>knicks_players_all_stats[[#This Row],[NAME]]&amp;" ("&amp;knicks_players_all_stats[[#This Row],[SEASON]]&amp;")"</f>
        <v>Kenyon Martin (2012-13)</v>
      </c>
      <c r="D332" s="1">
        <f>knicks_players_all_stats[[#This Row],[PLAYER_AGE]]/10</f>
        <v>35</v>
      </c>
      <c r="E332">
        <v>350</v>
      </c>
      <c r="F332" s="1">
        <v>18</v>
      </c>
      <c r="G332" s="1">
        <v>4310</v>
      </c>
      <c r="H33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125</v>
      </c>
      <c r="I332" s="4">
        <f>knicks_players_all_stats[[#This Row],[VALORATION]]/knicks_players_all_stats[[#This Row],[GP]]</f>
        <v>6.9444444444444446</v>
      </c>
      <c r="J332" s="1">
        <v>56</v>
      </c>
      <c r="K332" s="1">
        <v>93</v>
      </c>
      <c r="L332" s="2">
        <f>knicks_players_all_stats[[#This Row],[FGM]]/knicks_players_all_stats[[#This Row],[FGA]]</f>
        <v>0.60215053763440862</v>
      </c>
      <c r="M332" s="16">
        <f>knicks_players_all_stats[[#This Row],[FG3M2]]/10</f>
        <v>0</v>
      </c>
      <c r="N332" s="1">
        <v>0</v>
      </c>
      <c r="O332" s="1">
        <f>knicks_players_all_stats[[#This Row],[FG3A2]]/10</f>
        <v>0</v>
      </c>
      <c r="P332" s="1">
        <v>0</v>
      </c>
      <c r="Q332" s="2" t="e">
        <f>knicks_players_all_stats[[#This Row],[FG3M2]]/knicks_players_all_stats[[#This Row],[FG3A2]]</f>
        <v>#DIV/0!</v>
      </c>
      <c r="R332" s="1">
        <v>17</v>
      </c>
      <c r="S332" s="1">
        <v>40</v>
      </c>
      <c r="T332" s="3">
        <f>knicks_players_all_stats[[#This Row],[FTM]]/knicks_players_all_stats[[#This Row],[FTA]]</f>
        <v>0.42499999999999999</v>
      </c>
      <c r="U332" s="1">
        <f>knicks_players_all_stats[[#This Row],[OREB22]]/10</f>
        <v>34</v>
      </c>
      <c r="V332" s="1">
        <f>knicks_players_all_stats[[#This Row],[DREB33]]/10</f>
        <v>61</v>
      </c>
      <c r="W332" s="1">
        <f>knicks_players_all_stats[[#This Row],[REB44]]/10</f>
        <v>95</v>
      </c>
      <c r="X332">
        <v>340</v>
      </c>
      <c r="Y332">
        <v>610</v>
      </c>
      <c r="Z332">
        <v>950</v>
      </c>
      <c r="AA332" s="14">
        <f>knicks_players_all_stats[[#This Row],[REB]]/knicks_players_all_stats[[#This Row],[GP]]</f>
        <v>5.2777777777777777</v>
      </c>
      <c r="AB332" s="1">
        <v>8</v>
      </c>
      <c r="AC332" s="4">
        <f>knicks_players_all_stats[[#This Row],[AST]]/knicks_players_all_stats[[#This Row],[GP]]</f>
        <v>0.44444444444444442</v>
      </c>
      <c r="AD332" s="1">
        <f>knicks_players_all_stats[[#This Row],[STL2]]/10</f>
        <v>16</v>
      </c>
      <c r="AE332" s="1">
        <v>160</v>
      </c>
      <c r="AF332" s="4">
        <f>knicks_players_all_stats[[#This Row],[STL]]/knicks_players_all_stats[[#This Row],[GP]]</f>
        <v>0.88888888888888884</v>
      </c>
      <c r="AG332">
        <v>170</v>
      </c>
      <c r="AH332" s="1">
        <f>knicks_players_all_stats[[#This Row],[BLK2]]/10</f>
        <v>17</v>
      </c>
      <c r="AI332" s="4">
        <f>knicks_players_all_stats[[#This Row],[BLK]]/knicks_players_all_stats[[#This Row],[GP]]</f>
        <v>0.94444444444444442</v>
      </c>
      <c r="AJ332">
        <v>160</v>
      </c>
      <c r="AK332" s="4">
        <f>knicks_players_all_stats[[#This Row],[BLKPG]]+knicks_players_all_stats[[#This Row],[STLPG]]+knicks_players_all_stats[[#This Row],[REBPG]]</f>
        <v>7.1111111111111107</v>
      </c>
      <c r="AL332" s="1">
        <f>knicks_players_all_stats[[#This Row],[TOV2]]/10</f>
        <v>16</v>
      </c>
      <c r="AM332" s="4">
        <f>knicks_players_all_stats[[#This Row],[TOV]]/knicks_players_all_stats[[#This Row],[GP]]</f>
        <v>0.88888888888888884</v>
      </c>
      <c r="AN332" s="1">
        <v>64</v>
      </c>
      <c r="AO332" s="1">
        <f>knicks_players_all_stats[[#This Row],[PF]]/knicks_players_all_stats[[#This Row],[GP]]</f>
        <v>3.5555555555555554</v>
      </c>
      <c r="AP332" s="1">
        <v>129</v>
      </c>
      <c r="AQ332" s="4">
        <f>knicks_players_all_stats[[#This Row],[PTS]]/knicks_players_all_stats[[#This Row],[GP]]</f>
        <v>7.166666666666667</v>
      </c>
    </row>
    <row r="333" spans="1:43" customFormat="1" x14ac:dyDescent="0.3">
      <c r="A333" s="1" t="s">
        <v>1346</v>
      </c>
      <c r="B333" s="1" t="s">
        <v>1312</v>
      </c>
      <c r="C333" s="1" t="str">
        <f>knicks_players_all_stats[[#This Row],[NAME]]&amp;" ("&amp;knicks_players_all_stats[[#This Row],[SEASON]]&amp;")"</f>
        <v>Timofey Mozgov (2010-11)</v>
      </c>
      <c r="D333" s="1">
        <f>knicks_players_all_stats[[#This Row],[PLAYER_AGE]]/10</f>
        <v>24</v>
      </c>
      <c r="E333">
        <v>240</v>
      </c>
      <c r="F333" s="1">
        <v>34</v>
      </c>
      <c r="G333" s="1">
        <v>4580</v>
      </c>
      <c r="H33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110</v>
      </c>
      <c r="I333" s="4">
        <f>knicks_players_all_stats[[#This Row],[VALORATION]]/knicks_players_all_stats[[#This Row],[GP]]</f>
        <v>3.2352941176470589</v>
      </c>
      <c r="J333" s="1">
        <v>52</v>
      </c>
      <c r="K333" s="1">
        <v>112</v>
      </c>
      <c r="L333" s="2">
        <f>knicks_players_all_stats[[#This Row],[FGM]]/knicks_players_all_stats[[#This Row],[FGA]]</f>
        <v>0.4642857142857143</v>
      </c>
      <c r="M333" s="16">
        <f>knicks_players_all_stats[[#This Row],[FG3M2]]/10</f>
        <v>0</v>
      </c>
      <c r="N333" s="1">
        <v>0</v>
      </c>
      <c r="O333" s="1">
        <f>knicks_players_all_stats[[#This Row],[FG3A2]]/10</f>
        <v>0</v>
      </c>
      <c r="P333" s="1">
        <v>0</v>
      </c>
      <c r="Q333" s="2" t="e">
        <f>knicks_players_all_stats[[#This Row],[FG3M2]]/knicks_players_all_stats[[#This Row],[FG3A2]]</f>
        <v>#DIV/0!</v>
      </c>
      <c r="R333" s="1">
        <v>31</v>
      </c>
      <c r="S333" s="1">
        <v>44</v>
      </c>
      <c r="T333" s="3">
        <f>knicks_players_all_stats[[#This Row],[FTM]]/knicks_players_all_stats[[#This Row],[FTA]]</f>
        <v>0.70454545454545459</v>
      </c>
      <c r="U333" s="1">
        <f>knicks_players_all_stats[[#This Row],[OREB22]]/10</f>
        <v>41</v>
      </c>
      <c r="V333" s="1">
        <f>knicks_players_all_stats[[#This Row],[DREB33]]/10</f>
        <v>63</v>
      </c>
      <c r="W333" s="1">
        <f>knicks_players_all_stats[[#This Row],[REB44]]/10</f>
        <v>104</v>
      </c>
      <c r="X333">
        <v>410</v>
      </c>
      <c r="Y333">
        <v>630</v>
      </c>
      <c r="Z333">
        <v>1040</v>
      </c>
      <c r="AA333" s="14">
        <f>knicks_players_all_stats[[#This Row],[REB]]/knicks_players_all_stats[[#This Row],[GP]]</f>
        <v>3.0588235294117645</v>
      </c>
      <c r="AB333" s="1">
        <v>15</v>
      </c>
      <c r="AC333" s="4">
        <f>knicks_players_all_stats[[#This Row],[AST]]/knicks_players_all_stats[[#This Row],[GP]]</f>
        <v>0.44117647058823528</v>
      </c>
      <c r="AD333" s="1">
        <f>knicks_players_all_stats[[#This Row],[STL2]]/10</f>
        <v>14</v>
      </c>
      <c r="AE333" s="1">
        <v>140</v>
      </c>
      <c r="AF333" s="4">
        <f>knicks_players_all_stats[[#This Row],[STL]]/knicks_players_all_stats[[#This Row],[GP]]</f>
        <v>0.41176470588235292</v>
      </c>
      <c r="AG333">
        <v>230</v>
      </c>
      <c r="AH333" s="1">
        <f>knicks_players_all_stats[[#This Row],[BLK2]]/10</f>
        <v>23</v>
      </c>
      <c r="AI333" s="4">
        <f>knicks_players_all_stats[[#This Row],[BLK]]/knicks_players_all_stats[[#This Row],[GP]]</f>
        <v>0.67647058823529416</v>
      </c>
      <c r="AJ333">
        <v>320</v>
      </c>
      <c r="AK333" s="4">
        <f>knicks_players_all_stats[[#This Row],[BLKPG]]+knicks_players_all_stats[[#This Row],[STLPG]]+knicks_players_all_stats[[#This Row],[REBPG]]</f>
        <v>4.1470588235294112</v>
      </c>
      <c r="AL333" s="1">
        <f>knicks_players_all_stats[[#This Row],[TOV2]]/10</f>
        <v>32</v>
      </c>
      <c r="AM333" s="4">
        <f>knicks_players_all_stats[[#This Row],[TOV]]/knicks_players_all_stats[[#This Row],[GP]]</f>
        <v>0.94117647058823528</v>
      </c>
      <c r="AN333" s="1">
        <v>76</v>
      </c>
      <c r="AO333" s="1">
        <f>knicks_players_all_stats[[#This Row],[PF]]/knicks_players_all_stats[[#This Row],[GP]]</f>
        <v>2.2352941176470589</v>
      </c>
      <c r="AP333" s="1">
        <v>135</v>
      </c>
      <c r="AQ333" s="4">
        <f>knicks_players_all_stats[[#This Row],[PTS]]/knicks_players_all_stats[[#This Row],[GP]]</f>
        <v>3.9705882352941178</v>
      </c>
    </row>
    <row r="334" spans="1:43" customFormat="1" x14ac:dyDescent="0.3">
      <c r="A334" s="1" t="s">
        <v>1625</v>
      </c>
      <c r="B334" s="1" t="s">
        <v>1325</v>
      </c>
      <c r="C334" s="1" t="str">
        <f>knicks_players_all_stats[[#This Row],[NAME]]&amp;" ("&amp;knicks_players_all_stats[[#This Row],[SEASON]]&amp;")"</f>
        <v>Travis Knight (2002-03)</v>
      </c>
      <c r="D334" s="1">
        <f>knicks_players_all_stats[[#This Row],[PLAYER_AGE]]/10</f>
        <v>28</v>
      </c>
      <c r="E334">
        <v>280</v>
      </c>
      <c r="F334" s="1">
        <v>32</v>
      </c>
      <c r="G334" s="1">
        <v>2870</v>
      </c>
      <c r="H33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56</v>
      </c>
      <c r="I334" s="4">
        <f>knicks_players_all_stats[[#This Row],[VALORATION]]/knicks_players_all_stats[[#This Row],[GP]]</f>
        <v>1.75</v>
      </c>
      <c r="J334" s="1">
        <v>25</v>
      </c>
      <c r="K334" s="1">
        <v>65</v>
      </c>
      <c r="L334" s="2">
        <f>knicks_players_all_stats[[#This Row],[FGM]]/knicks_players_all_stats[[#This Row],[FGA]]</f>
        <v>0.38461538461538464</v>
      </c>
      <c r="M334" s="16">
        <f>knicks_players_all_stats[[#This Row],[FG3M2]]/10</f>
        <v>0</v>
      </c>
      <c r="N334" s="1">
        <v>0</v>
      </c>
      <c r="O334" s="1">
        <f>knicks_players_all_stats[[#This Row],[FG3A2]]/10</f>
        <v>1</v>
      </c>
      <c r="P334" s="1">
        <v>10</v>
      </c>
      <c r="Q334" s="2">
        <f>knicks_players_all_stats[[#This Row],[FG3M2]]/knicks_players_all_stats[[#This Row],[FG3A2]]</f>
        <v>0</v>
      </c>
      <c r="R334" s="1">
        <v>10</v>
      </c>
      <c r="S334" s="1">
        <v>13</v>
      </c>
      <c r="T334" s="3">
        <f>knicks_players_all_stats[[#This Row],[FTM]]/knicks_players_all_stats[[#This Row],[FTA]]</f>
        <v>0.76923076923076927</v>
      </c>
      <c r="U334" s="1">
        <f>knicks_players_all_stats[[#This Row],[OREB22]]/10</f>
        <v>18</v>
      </c>
      <c r="V334" s="1">
        <f>knicks_players_all_stats[[#This Row],[DREB33]]/10</f>
        <v>44</v>
      </c>
      <c r="W334" s="1">
        <f>knicks_players_all_stats[[#This Row],[REB44]]/10</f>
        <v>62</v>
      </c>
      <c r="X334">
        <v>180</v>
      </c>
      <c r="Y334">
        <v>440</v>
      </c>
      <c r="Z334">
        <v>620</v>
      </c>
      <c r="AA334" s="14">
        <f>knicks_players_all_stats[[#This Row],[REB]]/knicks_players_all_stats[[#This Row],[GP]]</f>
        <v>1.9375</v>
      </c>
      <c r="AB334" s="1">
        <v>14</v>
      </c>
      <c r="AC334" s="4">
        <f>knicks_players_all_stats[[#This Row],[AST]]/knicks_players_all_stats[[#This Row],[GP]]</f>
        <v>0.4375</v>
      </c>
      <c r="AD334" s="1">
        <f>knicks_players_all_stats[[#This Row],[STL2]]/10</f>
        <v>8</v>
      </c>
      <c r="AE334" s="1">
        <v>80</v>
      </c>
      <c r="AF334" s="4">
        <f>knicks_players_all_stats[[#This Row],[STL]]/knicks_players_all_stats[[#This Row],[GP]]</f>
        <v>0.25</v>
      </c>
      <c r="AG334">
        <v>90</v>
      </c>
      <c r="AH334" s="1">
        <f>knicks_players_all_stats[[#This Row],[BLK2]]/10</f>
        <v>9</v>
      </c>
      <c r="AI334" s="4">
        <f>knicks_players_all_stats[[#This Row],[BLK]]/knicks_players_all_stats[[#This Row],[GP]]</f>
        <v>0.28125</v>
      </c>
      <c r="AJ334">
        <v>100</v>
      </c>
      <c r="AK334" s="4">
        <f>knicks_players_all_stats[[#This Row],[BLKPG]]+knicks_players_all_stats[[#This Row],[STLPG]]+knicks_players_all_stats[[#This Row],[REBPG]]</f>
        <v>2.46875</v>
      </c>
      <c r="AL334" s="1">
        <f>knicks_players_all_stats[[#This Row],[TOV2]]/10</f>
        <v>10</v>
      </c>
      <c r="AM334" s="4">
        <f>knicks_players_all_stats[[#This Row],[TOV]]/knicks_players_all_stats[[#This Row],[GP]]</f>
        <v>0.3125</v>
      </c>
      <c r="AN334" s="1">
        <v>44</v>
      </c>
      <c r="AO334" s="1">
        <f>knicks_players_all_stats[[#This Row],[PF]]/knicks_players_all_stats[[#This Row],[GP]]</f>
        <v>1.375</v>
      </c>
      <c r="AP334" s="1">
        <v>60</v>
      </c>
      <c r="AQ334" s="4">
        <f>knicks_players_all_stats[[#This Row],[PTS]]/knicks_players_all_stats[[#This Row],[GP]]</f>
        <v>1.875</v>
      </c>
    </row>
    <row r="335" spans="1:43" customFormat="1" x14ac:dyDescent="0.3">
      <c r="A335" s="1" t="s">
        <v>1291</v>
      </c>
      <c r="B335" s="1" t="s">
        <v>1292</v>
      </c>
      <c r="C335" s="1" t="str">
        <f>knicks_players_all_stats[[#This Row],[NAME]]&amp;" ("&amp;knicks_players_all_stats[[#This Row],[SEASON]]&amp;")"</f>
        <v>Steve Novak (2012-13)</v>
      </c>
      <c r="D335" s="1">
        <f>knicks_players_all_stats[[#This Row],[PLAYER_AGE]]/10</f>
        <v>30</v>
      </c>
      <c r="E335">
        <v>300</v>
      </c>
      <c r="F335" s="1">
        <v>81</v>
      </c>
      <c r="G335" s="1">
        <v>16410</v>
      </c>
      <c r="H33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394</v>
      </c>
      <c r="I335" s="4">
        <f>knicks_players_all_stats[[#This Row],[VALORATION]]/knicks_players_all_stats[[#This Row],[GP]]</f>
        <v>4.8641975308641978</v>
      </c>
      <c r="J335" s="1">
        <v>178</v>
      </c>
      <c r="K335" s="1">
        <v>430</v>
      </c>
      <c r="L335" s="2">
        <f>knicks_players_all_stats[[#This Row],[FGM]]/knicks_players_all_stats[[#This Row],[FGA]]</f>
        <v>0.413953488372093</v>
      </c>
      <c r="M335" s="16">
        <f>knicks_players_all_stats[[#This Row],[FG3M2]]/10</f>
        <v>149</v>
      </c>
      <c r="N335" s="1">
        <v>1490</v>
      </c>
      <c r="O335" s="1">
        <f>knicks_players_all_stats[[#This Row],[FG3A2]]/10</f>
        <v>351</v>
      </c>
      <c r="P335" s="1">
        <v>3510</v>
      </c>
      <c r="Q335" s="2">
        <f>knicks_players_all_stats[[#This Row],[FG3M2]]/knicks_players_all_stats[[#This Row],[FG3A2]]</f>
        <v>0.42450142450142453</v>
      </c>
      <c r="R335" s="1">
        <v>30</v>
      </c>
      <c r="S335" s="1">
        <v>33</v>
      </c>
      <c r="T335" s="3">
        <f>knicks_players_all_stats[[#This Row],[FTM]]/knicks_players_all_stats[[#This Row],[FTA]]</f>
        <v>0.90909090909090906</v>
      </c>
      <c r="U335" s="1">
        <f>knicks_players_all_stats[[#This Row],[OREB22]]/10</f>
        <v>17</v>
      </c>
      <c r="V335" s="1">
        <f>knicks_players_all_stats[[#This Row],[DREB33]]/10</f>
        <v>135</v>
      </c>
      <c r="W335" s="1">
        <f>knicks_players_all_stats[[#This Row],[REB44]]/10</f>
        <v>152</v>
      </c>
      <c r="X335">
        <v>170</v>
      </c>
      <c r="Y335">
        <v>1350</v>
      </c>
      <c r="Z335">
        <v>1520</v>
      </c>
      <c r="AA335" s="14">
        <f>knicks_players_all_stats[[#This Row],[REB]]/knicks_players_all_stats[[#This Row],[GP]]</f>
        <v>1.8765432098765431</v>
      </c>
      <c r="AB335" s="1">
        <v>35</v>
      </c>
      <c r="AC335" s="4">
        <f>knicks_players_all_stats[[#This Row],[AST]]/knicks_players_all_stats[[#This Row],[GP]]</f>
        <v>0.43209876543209874</v>
      </c>
      <c r="AD335" s="1">
        <f>knicks_players_all_stats[[#This Row],[STL2]]/10</f>
        <v>28</v>
      </c>
      <c r="AE335" s="1">
        <v>280</v>
      </c>
      <c r="AF335" s="4">
        <f>knicks_players_all_stats[[#This Row],[STL]]/knicks_players_all_stats[[#This Row],[GP]]</f>
        <v>0.34567901234567899</v>
      </c>
      <c r="AG335">
        <v>80</v>
      </c>
      <c r="AH335" s="1">
        <f>knicks_players_all_stats[[#This Row],[BLK2]]/10</f>
        <v>8</v>
      </c>
      <c r="AI335" s="4">
        <f>knicks_players_all_stats[[#This Row],[BLK]]/knicks_players_all_stats[[#This Row],[GP]]</f>
        <v>9.8765432098765427E-2</v>
      </c>
      <c r="AJ335">
        <v>120</v>
      </c>
      <c r="AK335" s="4">
        <f>knicks_players_all_stats[[#This Row],[BLKPG]]+knicks_players_all_stats[[#This Row],[STLPG]]+knicks_players_all_stats[[#This Row],[REBPG]]</f>
        <v>2.3209876543209873</v>
      </c>
      <c r="AL335" s="1">
        <f>knicks_players_all_stats[[#This Row],[TOV2]]/10</f>
        <v>12</v>
      </c>
      <c r="AM335" s="4">
        <f>knicks_players_all_stats[[#This Row],[TOV]]/knicks_players_all_stats[[#This Row],[GP]]</f>
        <v>0.14814814814814814</v>
      </c>
      <c r="AN335" s="1">
        <v>97</v>
      </c>
      <c r="AO335" s="1">
        <f>knicks_players_all_stats[[#This Row],[PF]]/knicks_players_all_stats[[#This Row],[GP]]</f>
        <v>1.1975308641975309</v>
      </c>
      <c r="AP335" s="1">
        <v>535</v>
      </c>
      <c r="AQ335" s="4">
        <f>knicks_players_all_stats[[#This Row],[PTS]]/knicks_players_all_stats[[#This Row],[GP]]</f>
        <v>6.6049382716049383</v>
      </c>
    </row>
    <row r="336" spans="1:43" x14ac:dyDescent="0.3">
      <c r="A336" s="1" t="s">
        <v>1473</v>
      </c>
      <c r="B336" s="1" t="s">
        <v>1369</v>
      </c>
      <c r="C336" s="1" t="str">
        <f>knicks_players_all_stats[[#This Row],[NAME]]&amp;" ("&amp;knicks_players_all_stats[[#This Row],[SEASON]]&amp;")"</f>
        <v>Malachi Flynn (2023-24)</v>
      </c>
      <c r="D336" s="1">
        <f>knicks_players_all_stats[[#This Row],[PLAYER_AGE]]/10</f>
        <v>26</v>
      </c>
      <c r="E336">
        <v>260</v>
      </c>
      <c r="F336" s="1">
        <v>14</v>
      </c>
      <c r="G336" s="1">
        <v>610</v>
      </c>
      <c r="H33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22</v>
      </c>
      <c r="I336" s="4">
        <f>knicks_players_all_stats[[#This Row],[VALORATION]]/knicks_players_all_stats[[#This Row],[GP]]</f>
        <v>1.5714285714285714</v>
      </c>
      <c r="J336" s="1">
        <v>9</v>
      </c>
      <c r="K336" s="1">
        <v>23</v>
      </c>
      <c r="L336" s="2">
        <f>knicks_players_all_stats[[#This Row],[FGM]]/knicks_players_all_stats[[#This Row],[FGA]]</f>
        <v>0.39130434782608697</v>
      </c>
      <c r="M336" s="16">
        <f>knicks_players_all_stats[[#This Row],[FG3M2]]/10</f>
        <v>4</v>
      </c>
      <c r="N336" s="1">
        <v>40</v>
      </c>
      <c r="O336" s="1">
        <f>knicks_players_all_stats[[#This Row],[FG3A2]]/10</f>
        <v>13</v>
      </c>
      <c r="P336" s="1">
        <v>130</v>
      </c>
      <c r="Q336" s="2">
        <f>knicks_players_all_stats[[#This Row],[FG3M2]]/knicks_players_all_stats[[#This Row],[FG3A2]]</f>
        <v>0.30769230769230771</v>
      </c>
      <c r="R336" s="1">
        <v>9</v>
      </c>
      <c r="S336" s="1">
        <v>11</v>
      </c>
      <c r="T336" s="3">
        <f>knicks_players_all_stats[[#This Row],[FTM]]/knicks_players_all_stats[[#This Row],[FTA]]</f>
        <v>0.81818181818181823</v>
      </c>
      <c r="U336" s="1">
        <f>knicks_players_all_stats[[#This Row],[OREB22]]/10</f>
        <v>0</v>
      </c>
      <c r="V336" s="1">
        <f>knicks_players_all_stats[[#This Row],[DREB33]]/10</f>
        <v>6</v>
      </c>
      <c r="W336" s="1">
        <f>knicks_players_all_stats[[#This Row],[REB44]]/10</f>
        <v>6</v>
      </c>
      <c r="X336">
        <v>0</v>
      </c>
      <c r="Y336">
        <v>60</v>
      </c>
      <c r="Z336">
        <v>60</v>
      </c>
      <c r="AA336" s="14">
        <f>knicks_players_all_stats[[#This Row],[REB]]/knicks_players_all_stats[[#This Row],[GP]]</f>
        <v>0.42857142857142855</v>
      </c>
      <c r="AB336" s="1">
        <v>6</v>
      </c>
      <c r="AC336" s="4">
        <f>knicks_players_all_stats[[#This Row],[AST]]/knicks_players_all_stats[[#This Row],[GP]]</f>
        <v>0.42857142857142855</v>
      </c>
      <c r="AD336" s="1">
        <f>knicks_players_all_stats[[#This Row],[STL2]]/10</f>
        <v>1</v>
      </c>
      <c r="AE336" s="1">
        <v>10</v>
      </c>
      <c r="AF336" s="4">
        <f>knicks_players_all_stats[[#This Row],[STL]]/knicks_players_all_stats[[#This Row],[GP]]</f>
        <v>7.1428571428571425E-2</v>
      </c>
      <c r="AG336">
        <v>0</v>
      </c>
      <c r="AH336" s="1">
        <f>knicks_players_all_stats[[#This Row],[BLK2]]/10</f>
        <v>0</v>
      </c>
      <c r="AI336" s="4">
        <f>knicks_players_all_stats[[#This Row],[BLK]]/knicks_players_all_stats[[#This Row],[GP]]</f>
        <v>0</v>
      </c>
      <c r="AJ336">
        <v>30</v>
      </c>
      <c r="AK336" s="4">
        <f>knicks_players_all_stats[[#This Row],[BLKPG]]+knicks_players_all_stats[[#This Row],[STLPG]]+knicks_players_all_stats[[#This Row],[REBPG]]</f>
        <v>0.5</v>
      </c>
      <c r="AL336" s="1">
        <f>knicks_players_all_stats[[#This Row],[TOV2]]/10</f>
        <v>3</v>
      </c>
      <c r="AM336" s="4">
        <f>knicks_players_all_stats[[#This Row],[TOV]]/knicks_players_all_stats[[#This Row],[GP]]</f>
        <v>0.21428571428571427</v>
      </c>
      <c r="AN336" s="1">
        <v>3</v>
      </c>
      <c r="AO336" s="1">
        <f>knicks_players_all_stats[[#This Row],[PF]]/knicks_players_all_stats[[#This Row],[GP]]</f>
        <v>0.21428571428571427</v>
      </c>
      <c r="AP336" s="1">
        <v>31</v>
      </c>
      <c r="AQ336" s="4">
        <f>knicks_players_all_stats[[#This Row],[PTS]]/knicks_players_all_stats[[#This Row],[GP]]</f>
        <v>2.2142857142857144</v>
      </c>
    </row>
    <row r="337" spans="1:43" customFormat="1" x14ac:dyDescent="0.3">
      <c r="A337" s="1" t="s">
        <v>1772</v>
      </c>
      <c r="B337" s="1" t="s">
        <v>1279</v>
      </c>
      <c r="C337" s="1" t="str">
        <f>knicks_players_all_stats[[#This Row],[NAME]]&amp;" ("&amp;knicks_players_all_stats[[#This Row],[SEASON]]&amp;")"</f>
        <v>Lou Amundson (2015-16)</v>
      </c>
      <c r="D337" s="1">
        <f>knicks_players_all_stats[[#This Row],[PLAYER_AGE]]/10</f>
        <v>33</v>
      </c>
      <c r="E337">
        <v>330</v>
      </c>
      <c r="F337" s="1">
        <v>29</v>
      </c>
      <c r="G337" s="1">
        <v>2040</v>
      </c>
      <c r="H33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</v>
      </c>
      <c r="I337" s="4">
        <f>knicks_players_all_stats[[#This Row],[VALORATION]]/knicks_players_all_stats[[#This Row],[GP]]</f>
        <v>0.68965517241379315</v>
      </c>
      <c r="J337" s="1">
        <v>19</v>
      </c>
      <c r="K337" s="1">
        <v>53</v>
      </c>
      <c r="L337" s="1">
        <v>358</v>
      </c>
      <c r="M337" s="4">
        <f>knicks_players_all_stats[[#This Row],[FG3M2]]/10</f>
        <v>0</v>
      </c>
      <c r="N337" s="1">
        <v>0</v>
      </c>
      <c r="O337" s="1">
        <f>knicks_players_all_stats[[#This Row],[FG3A2]]/10</f>
        <v>0</v>
      </c>
      <c r="P337" s="1">
        <v>0</v>
      </c>
      <c r="Q337" s="2" t="e">
        <f>knicks_players_all_stats[[#This Row],[FG3M2]]/knicks_players_all_stats[[#This Row],[FG3A2]]</f>
        <v>#DIV/0!</v>
      </c>
      <c r="R337" s="1">
        <v>14</v>
      </c>
      <c r="S337" s="1">
        <v>27</v>
      </c>
      <c r="T337" s="3">
        <f>knicks_players_all_stats[[#This Row],[FTM]]/knicks_players_all_stats[[#This Row],[FTA]]</f>
        <v>0.51851851851851849</v>
      </c>
      <c r="U337" s="1">
        <f>knicks_players_all_stats[[#This Row],[OREB22]]/10</f>
        <v>23</v>
      </c>
      <c r="V337" s="1">
        <f>knicks_players_all_stats[[#This Row],[DREB33]]/10</f>
        <v>26</v>
      </c>
      <c r="W337" s="1">
        <f>knicks_players_all_stats[[#This Row],[REB44]]/10</f>
        <v>49</v>
      </c>
      <c r="X337">
        <v>230</v>
      </c>
      <c r="Y337">
        <v>260</v>
      </c>
      <c r="Z337">
        <v>490</v>
      </c>
      <c r="AA337" s="14">
        <f>knicks_players_all_stats[[#This Row],[REB]]/knicks_players_all_stats[[#This Row],[GP]]</f>
        <v>1.6896551724137931</v>
      </c>
      <c r="AB337" s="1">
        <v>12</v>
      </c>
      <c r="AC337" s="4">
        <f>knicks_players_all_stats[[#This Row],[AST]]/knicks_players_all_stats[[#This Row],[GP]]</f>
        <v>0.41379310344827586</v>
      </c>
      <c r="AD337" s="1">
        <f>knicks_players_all_stats[[#This Row],[STL2]]/10</f>
        <v>6</v>
      </c>
      <c r="AE337" s="1">
        <v>60</v>
      </c>
      <c r="AF337" s="4">
        <f>knicks_players_all_stats[[#This Row],[STL]]/knicks_players_all_stats[[#This Row],[GP]]</f>
        <v>0.20689655172413793</v>
      </c>
      <c r="AG337">
        <v>70</v>
      </c>
      <c r="AH337" s="1">
        <f>knicks_players_all_stats[[#This Row],[BLK2]]/10</f>
        <v>7</v>
      </c>
      <c r="AI337" s="4">
        <f>knicks_players_all_stats[[#This Row],[BLK]]/knicks_players_all_stats[[#This Row],[GP]]</f>
        <v>0.2413793103448276</v>
      </c>
      <c r="AJ337">
        <v>150</v>
      </c>
      <c r="AK337" s="4">
        <f>knicks_players_all_stats[[#This Row],[BLKPG]]+knicks_players_all_stats[[#This Row],[STLPG]]+knicks_players_all_stats[[#This Row],[REBPG]]</f>
        <v>2.1379310344827589</v>
      </c>
      <c r="AL337" s="1">
        <f>knicks_players_all_stats[[#This Row],[TOV2]]/10</f>
        <v>15</v>
      </c>
      <c r="AM337" s="4">
        <f>knicks_players_all_stats[[#This Row],[TOV]]/knicks_players_all_stats[[#This Row],[GP]]</f>
        <v>0.51724137931034486</v>
      </c>
      <c r="AN337" s="1">
        <v>44</v>
      </c>
      <c r="AO337" s="1">
        <f>knicks_players_all_stats[[#This Row],[PF]]/knicks_players_all_stats[[#This Row],[GP]]</f>
        <v>1.5172413793103448</v>
      </c>
      <c r="AP337" s="1">
        <v>52</v>
      </c>
      <c r="AQ337" s="4">
        <f>knicks_players_all_stats[[#This Row],[PTS]]/knicks_players_all_stats[[#This Row],[GP]]</f>
        <v>1.7931034482758621</v>
      </c>
    </row>
    <row r="338" spans="1:43" customFormat="1" x14ac:dyDescent="0.3">
      <c r="A338" s="1" t="s">
        <v>1484</v>
      </c>
      <c r="B338" s="1" t="s">
        <v>1312</v>
      </c>
      <c r="C338" s="1" t="str">
        <f>knicks_players_all_stats[[#This Row],[NAME]]&amp;" ("&amp;knicks_players_all_stats[[#This Row],[SEASON]]&amp;")"</f>
        <v>Anthony Randolph (2010-11)</v>
      </c>
      <c r="D338" s="1">
        <f>knicks_players_all_stats[[#This Row],[PLAYER_AGE]]/10</f>
        <v>21</v>
      </c>
      <c r="E338">
        <v>210</v>
      </c>
      <c r="F338" s="1">
        <v>17</v>
      </c>
      <c r="G338" s="1">
        <v>1270</v>
      </c>
      <c r="H33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</v>
      </c>
      <c r="I338" s="4">
        <f>knicks_players_all_stats[[#This Row],[VALORATION]]/knicks_players_all_stats[[#This Row],[GP]]</f>
        <v>1.8823529411764706</v>
      </c>
      <c r="J338" s="1">
        <v>14</v>
      </c>
      <c r="K338" s="1">
        <v>45</v>
      </c>
      <c r="L338" s="2">
        <f>knicks_players_all_stats[[#This Row],[FGM]]/knicks_players_all_stats[[#This Row],[FGA]]</f>
        <v>0.31111111111111112</v>
      </c>
      <c r="M338" s="16">
        <f>knicks_players_all_stats[[#This Row],[FG3M2]]/10</f>
        <v>1</v>
      </c>
      <c r="N338" s="1">
        <v>10</v>
      </c>
      <c r="O338" s="1">
        <f>knicks_players_all_stats[[#This Row],[FG3A2]]/10</f>
        <v>4</v>
      </c>
      <c r="P338" s="1">
        <v>40</v>
      </c>
      <c r="Q338" s="2">
        <f>knicks_players_all_stats[[#This Row],[FG3M2]]/knicks_players_all_stats[[#This Row],[FG3A2]]</f>
        <v>0.25</v>
      </c>
      <c r="R338" s="1">
        <v>6</v>
      </c>
      <c r="S338" s="1">
        <v>12</v>
      </c>
      <c r="T338" s="3">
        <f>knicks_players_all_stats[[#This Row],[FTM]]/knicks_players_all_stats[[#This Row],[FTA]]</f>
        <v>0.5</v>
      </c>
      <c r="U338" s="1">
        <f>knicks_players_all_stats[[#This Row],[OREB22]]/10</f>
        <v>11</v>
      </c>
      <c r="V338" s="1">
        <f>knicks_players_all_stats[[#This Row],[DREB33]]/10</f>
        <v>29</v>
      </c>
      <c r="W338" s="1">
        <f>knicks_players_all_stats[[#This Row],[REB44]]/10</f>
        <v>40</v>
      </c>
      <c r="X338">
        <v>110</v>
      </c>
      <c r="Y338">
        <v>290</v>
      </c>
      <c r="Z338">
        <v>400</v>
      </c>
      <c r="AA338" s="14">
        <f>knicks_players_all_stats[[#This Row],[REB]]/knicks_players_all_stats[[#This Row],[GP]]</f>
        <v>2.3529411764705883</v>
      </c>
      <c r="AB338" s="1">
        <v>7</v>
      </c>
      <c r="AC338" s="4">
        <f>knicks_players_all_stats[[#This Row],[AST]]/knicks_players_all_stats[[#This Row],[GP]]</f>
        <v>0.41176470588235292</v>
      </c>
      <c r="AD338" s="1">
        <f>knicks_players_all_stats[[#This Row],[STL2]]/10</f>
        <v>4</v>
      </c>
      <c r="AE338" s="1">
        <v>40</v>
      </c>
      <c r="AF338" s="4">
        <f>knicks_players_all_stats[[#This Row],[STL]]/knicks_players_all_stats[[#This Row],[GP]]</f>
        <v>0.23529411764705882</v>
      </c>
      <c r="AG338">
        <v>80</v>
      </c>
      <c r="AH338" s="1">
        <f>knicks_players_all_stats[[#This Row],[BLK2]]/10</f>
        <v>8</v>
      </c>
      <c r="AI338" s="4">
        <f>knicks_players_all_stats[[#This Row],[BLK]]/knicks_players_all_stats[[#This Row],[GP]]</f>
        <v>0.47058823529411764</v>
      </c>
      <c r="AJ338">
        <v>100</v>
      </c>
      <c r="AK338" s="4">
        <f>knicks_players_all_stats[[#This Row],[BLKPG]]+knicks_players_all_stats[[#This Row],[STLPG]]+knicks_players_all_stats[[#This Row],[REBPG]]</f>
        <v>3.0588235294117645</v>
      </c>
      <c r="AL338" s="1">
        <f>knicks_players_all_stats[[#This Row],[TOV2]]/10</f>
        <v>10</v>
      </c>
      <c r="AM338" s="4">
        <f>knicks_players_all_stats[[#This Row],[TOV]]/knicks_players_all_stats[[#This Row],[GP]]</f>
        <v>0.58823529411764708</v>
      </c>
      <c r="AN338" s="1">
        <v>15</v>
      </c>
      <c r="AO338" s="1">
        <f>knicks_players_all_stats[[#This Row],[PF]]/knicks_players_all_stats[[#This Row],[GP]]</f>
        <v>0.88235294117647056</v>
      </c>
      <c r="AP338" s="1">
        <v>35</v>
      </c>
      <c r="AQ338" s="4">
        <f>knicks_players_all_stats[[#This Row],[PTS]]/knicks_players_all_stats[[#This Row],[GP]]</f>
        <v>2.0588235294117645</v>
      </c>
    </row>
    <row r="339" spans="1:43" customFormat="1" x14ac:dyDescent="0.3">
      <c r="A339" s="1" t="s">
        <v>1424</v>
      </c>
      <c r="B339" s="1" t="s">
        <v>1308</v>
      </c>
      <c r="C339" s="1" t="str">
        <f>knicks_players_all_stats[[#This Row],[NAME]]&amp;" ("&amp;knicks_players_all_stats[[#This Row],[SEASON]]&amp;")"</f>
        <v>Ryan Arcidiacono (2021-22)</v>
      </c>
      <c r="D339" s="1">
        <f>knicks_players_all_stats[[#This Row],[PLAYER_AGE]]/10</f>
        <v>28</v>
      </c>
      <c r="E339">
        <v>280</v>
      </c>
      <c r="F339" s="1">
        <v>10</v>
      </c>
      <c r="G339" s="1">
        <v>760</v>
      </c>
      <c r="H33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15</v>
      </c>
      <c r="I339" s="4">
        <f>knicks_players_all_stats[[#This Row],[VALORATION]]/knicks_players_all_stats[[#This Row],[GP]]</f>
        <v>1.5</v>
      </c>
      <c r="J339" s="1">
        <v>6</v>
      </c>
      <c r="K339" s="1">
        <v>12</v>
      </c>
      <c r="L339" s="2">
        <f>knicks_players_all_stats[[#This Row],[FGM]]/knicks_players_all_stats[[#This Row],[FGA]]</f>
        <v>0.5</v>
      </c>
      <c r="M339" s="16">
        <f>knicks_players_all_stats[[#This Row],[FG3M2]]/10</f>
        <v>4</v>
      </c>
      <c r="N339" s="1">
        <v>40</v>
      </c>
      <c r="O339" s="1">
        <f>knicks_players_all_stats[[#This Row],[FG3A2]]/10</f>
        <v>9</v>
      </c>
      <c r="P339" s="1">
        <v>90</v>
      </c>
      <c r="Q339" s="2">
        <f>knicks_players_all_stats[[#This Row],[FG3M2]]/knicks_players_all_stats[[#This Row],[FG3A2]]</f>
        <v>0.44444444444444442</v>
      </c>
      <c r="R339" s="1">
        <v>0</v>
      </c>
      <c r="S339" s="1">
        <v>0</v>
      </c>
      <c r="T339" s="3" t="e">
        <f>knicks_players_all_stats[[#This Row],[FTM]]/knicks_players_all_stats[[#This Row],[FTA]]</f>
        <v>#DIV/0!</v>
      </c>
      <c r="U339" s="1">
        <f>knicks_players_all_stats[[#This Row],[OREB22]]/10</f>
        <v>0</v>
      </c>
      <c r="V339" s="1">
        <f>knicks_players_all_stats[[#This Row],[DREB33]]/10</f>
        <v>8</v>
      </c>
      <c r="W339" s="1">
        <f>knicks_players_all_stats[[#This Row],[REB44]]/10</f>
        <v>8</v>
      </c>
      <c r="X339">
        <v>0</v>
      </c>
      <c r="Y339">
        <v>80</v>
      </c>
      <c r="Z339">
        <v>80</v>
      </c>
      <c r="AA339" s="14">
        <f>knicks_players_all_stats[[#This Row],[REB]]/knicks_players_all_stats[[#This Row],[GP]]</f>
        <v>0.8</v>
      </c>
      <c r="AB339" s="1">
        <v>4</v>
      </c>
      <c r="AC339" s="4">
        <f>knicks_players_all_stats[[#This Row],[AST]]/knicks_players_all_stats[[#This Row],[GP]]</f>
        <v>0.4</v>
      </c>
      <c r="AD339" s="1">
        <f>knicks_players_all_stats[[#This Row],[STL2]]/10</f>
        <v>1</v>
      </c>
      <c r="AE339" s="1">
        <v>10</v>
      </c>
      <c r="AF339" s="4">
        <f>knicks_players_all_stats[[#This Row],[STL]]/knicks_players_all_stats[[#This Row],[GP]]</f>
        <v>0.1</v>
      </c>
      <c r="AG339">
        <v>0</v>
      </c>
      <c r="AH339" s="1">
        <f>knicks_players_all_stats[[#This Row],[BLK2]]/10</f>
        <v>0</v>
      </c>
      <c r="AI339" s="4">
        <f>knicks_players_all_stats[[#This Row],[BLK]]/knicks_players_all_stats[[#This Row],[GP]]</f>
        <v>0</v>
      </c>
      <c r="AJ339">
        <v>30</v>
      </c>
      <c r="AK339" s="4">
        <f>knicks_players_all_stats[[#This Row],[BLKPG]]+knicks_players_all_stats[[#This Row],[STLPG]]+knicks_players_all_stats[[#This Row],[REBPG]]</f>
        <v>0.9</v>
      </c>
      <c r="AL339" s="1">
        <f>knicks_players_all_stats[[#This Row],[TOV2]]/10</f>
        <v>3</v>
      </c>
      <c r="AM339" s="4">
        <f>knicks_players_all_stats[[#This Row],[TOV]]/knicks_players_all_stats[[#This Row],[GP]]</f>
        <v>0.3</v>
      </c>
      <c r="AN339" s="1">
        <v>5</v>
      </c>
      <c r="AO339" s="1">
        <f>knicks_players_all_stats[[#This Row],[PF]]/knicks_players_all_stats[[#This Row],[GP]]</f>
        <v>0.5</v>
      </c>
      <c r="AP339" s="1">
        <v>16</v>
      </c>
      <c r="AQ339" s="4">
        <f>knicks_players_all_stats[[#This Row],[PTS]]/knicks_players_all_stats[[#This Row],[GP]]</f>
        <v>1.6</v>
      </c>
    </row>
    <row r="340" spans="1:43" customFormat="1" x14ac:dyDescent="0.3">
      <c r="A340" s="1" t="s">
        <v>1662</v>
      </c>
      <c r="B340" s="1" t="s">
        <v>1300</v>
      </c>
      <c r="C340" s="1" t="str">
        <f>knicks_players_all_stats[[#This Row],[NAME]]&amp;" ("&amp;knicks_players_all_stats[[#This Row],[SEASON]]&amp;")"</f>
        <v>Antonio Davis (2005-06)</v>
      </c>
      <c r="D340" s="1">
        <f>knicks_players_all_stats[[#This Row],[PLAYER_AGE]]/10</f>
        <v>37</v>
      </c>
      <c r="E340">
        <v>370</v>
      </c>
      <c r="F340" s="1">
        <v>36</v>
      </c>
      <c r="G340" s="1">
        <v>7490</v>
      </c>
      <c r="H34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147</v>
      </c>
      <c r="I340" s="4">
        <f>knicks_players_all_stats[[#This Row],[VALORATION]]/knicks_players_all_stats[[#This Row],[GP]]</f>
        <v>4.083333333333333</v>
      </c>
      <c r="J340" s="1">
        <v>68</v>
      </c>
      <c r="K340" s="1">
        <v>159</v>
      </c>
      <c r="L340" s="1">
        <v>428</v>
      </c>
      <c r="M340" s="4">
        <f>knicks_players_all_stats[[#This Row],[FG3M2]]/10</f>
        <v>0</v>
      </c>
      <c r="N340" s="1">
        <v>0</v>
      </c>
      <c r="O340" s="1">
        <f>knicks_players_all_stats[[#This Row],[FG3A2]]/10</f>
        <v>1</v>
      </c>
      <c r="P340" s="1">
        <v>10</v>
      </c>
      <c r="Q340" s="2">
        <f>knicks_players_all_stats[[#This Row],[FG3M2]]/knicks_players_all_stats[[#This Row],[FG3A2]]</f>
        <v>0</v>
      </c>
      <c r="R340" s="1">
        <v>45</v>
      </c>
      <c r="S340" s="1">
        <v>61</v>
      </c>
      <c r="T340" s="3">
        <f>knicks_players_all_stats[[#This Row],[FTM]]/knicks_players_all_stats[[#This Row],[FTA]]</f>
        <v>0.73770491803278693</v>
      </c>
      <c r="U340" s="1">
        <f>knicks_players_all_stats[[#This Row],[OREB22]]/10</f>
        <v>75</v>
      </c>
      <c r="V340" s="1">
        <f>knicks_players_all_stats[[#This Row],[DREB33]]/10</f>
        <v>97</v>
      </c>
      <c r="W340" s="1">
        <f>knicks_players_all_stats[[#This Row],[REB44]]/10</f>
        <v>172</v>
      </c>
      <c r="X340">
        <v>750</v>
      </c>
      <c r="Y340">
        <v>970</v>
      </c>
      <c r="Z340">
        <v>1720</v>
      </c>
      <c r="AA340" s="14">
        <f>knicks_players_all_stats[[#This Row],[REB]]/knicks_players_all_stats[[#This Row],[GP]]</f>
        <v>4.7777777777777777</v>
      </c>
      <c r="AB340" s="1">
        <v>14</v>
      </c>
      <c r="AC340" s="4">
        <f>knicks_players_all_stats[[#This Row],[AST]]/knicks_players_all_stats[[#This Row],[GP]]</f>
        <v>0.3888888888888889</v>
      </c>
      <c r="AD340" s="1">
        <f>knicks_players_all_stats[[#This Row],[STL2]]/10</f>
        <v>20</v>
      </c>
      <c r="AE340" s="1">
        <v>200</v>
      </c>
      <c r="AF340" s="4">
        <f>knicks_players_all_stats[[#This Row],[STL]]/knicks_players_all_stats[[#This Row],[GP]]</f>
        <v>0.55555555555555558</v>
      </c>
      <c r="AG340">
        <v>90</v>
      </c>
      <c r="AH340" s="1">
        <f>knicks_players_all_stats[[#This Row],[BLK2]]/10</f>
        <v>9</v>
      </c>
      <c r="AI340" s="4">
        <f>knicks_players_all_stats[[#This Row],[BLK]]/knicks_players_all_stats[[#This Row],[GP]]</f>
        <v>0.25</v>
      </c>
      <c r="AJ340">
        <v>430</v>
      </c>
      <c r="AK340" s="4">
        <f>knicks_players_all_stats[[#This Row],[BLKPG]]+knicks_players_all_stats[[#This Row],[STLPG]]+knicks_players_all_stats[[#This Row],[REBPG]]</f>
        <v>5.583333333333333</v>
      </c>
      <c r="AL340" s="1">
        <f>knicks_players_all_stats[[#This Row],[TOV2]]/10</f>
        <v>43</v>
      </c>
      <c r="AM340" s="4">
        <f>knicks_players_all_stats[[#This Row],[TOV]]/knicks_players_all_stats[[#This Row],[GP]]</f>
        <v>1.1944444444444444</v>
      </c>
      <c r="AN340" s="1">
        <v>99</v>
      </c>
      <c r="AO340" s="1">
        <f>knicks_players_all_stats[[#This Row],[PF]]/knicks_players_all_stats[[#This Row],[GP]]</f>
        <v>2.75</v>
      </c>
      <c r="AP340" s="1">
        <v>181</v>
      </c>
      <c r="AQ340" s="4">
        <f>knicks_players_all_stats[[#This Row],[PTS]]/knicks_players_all_stats[[#This Row],[GP]]</f>
        <v>5.0277777777777777</v>
      </c>
    </row>
    <row r="341" spans="1:43" customFormat="1" x14ac:dyDescent="0.3">
      <c r="A341" s="1" t="s">
        <v>1334</v>
      </c>
      <c r="B341" s="1" t="s">
        <v>1293</v>
      </c>
      <c r="C341" s="1" t="str">
        <f>knicks_players_all_stats[[#This Row],[NAME]]&amp;" ("&amp;knicks_players_all_stats[[#This Row],[SEASON]]&amp;")"</f>
        <v>Dikembe Mutombo (2003-04)</v>
      </c>
      <c r="D341" s="1">
        <f>knicks_players_all_stats[[#This Row],[PLAYER_AGE]]/10</f>
        <v>38</v>
      </c>
      <c r="E341">
        <v>380</v>
      </c>
      <c r="F341" s="1">
        <v>65</v>
      </c>
      <c r="G341" s="1">
        <v>14970</v>
      </c>
      <c r="H34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578</v>
      </c>
      <c r="I341" s="4">
        <f>knicks_players_all_stats[[#This Row],[VALORATION]]/knicks_players_all_stats[[#This Row],[GP]]</f>
        <v>8.8923076923076927</v>
      </c>
      <c r="J341" s="1">
        <v>141</v>
      </c>
      <c r="K341" s="1">
        <v>295</v>
      </c>
      <c r="L341" s="2">
        <f>knicks_players_all_stats[[#This Row],[FGM]]/knicks_players_all_stats[[#This Row],[FGA]]</f>
        <v>0.47796610169491527</v>
      </c>
      <c r="M341" s="16">
        <f>knicks_players_all_stats[[#This Row],[FG3M2]]/10</f>
        <v>0</v>
      </c>
      <c r="N341" s="1">
        <v>0</v>
      </c>
      <c r="O341" s="1">
        <f>knicks_players_all_stats[[#This Row],[FG3A2]]/10</f>
        <v>0</v>
      </c>
      <c r="P341" s="1">
        <v>0</v>
      </c>
      <c r="Q341" s="2" t="e">
        <f>knicks_players_all_stats[[#This Row],[FG3M2]]/knicks_players_all_stats[[#This Row],[FG3A2]]</f>
        <v>#DIV/0!</v>
      </c>
      <c r="R341" s="1">
        <v>81</v>
      </c>
      <c r="S341" s="1">
        <v>119</v>
      </c>
      <c r="T341" s="3">
        <f>knicks_players_all_stats[[#This Row],[FTM]]/knicks_players_all_stats[[#This Row],[FTA]]</f>
        <v>0.68067226890756305</v>
      </c>
      <c r="U341" s="1">
        <f>knicks_players_all_stats[[#This Row],[OREB22]]/10</f>
        <v>145</v>
      </c>
      <c r="V341" s="1">
        <f>knicks_players_all_stats[[#This Row],[DREB33]]/10</f>
        <v>292</v>
      </c>
      <c r="W341" s="1">
        <f>knicks_players_all_stats[[#This Row],[REB44]]/10</f>
        <v>437</v>
      </c>
      <c r="X341">
        <v>1450</v>
      </c>
      <c r="Y341">
        <v>2920</v>
      </c>
      <c r="Z341">
        <v>4370</v>
      </c>
      <c r="AA341" s="14">
        <f>knicks_players_all_stats[[#This Row],[REB]]/knicks_players_all_stats[[#This Row],[GP]]</f>
        <v>6.7230769230769232</v>
      </c>
      <c r="AB341" s="1">
        <v>25</v>
      </c>
      <c r="AC341" s="4">
        <f>knicks_players_all_stats[[#This Row],[AST]]/knicks_players_all_stats[[#This Row],[GP]]</f>
        <v>0.38461538461538464</v>
      </c>
      <c r="AD341" s="1">
        <f>knicks_players_all_stats[[#This Row],[STL2]]/10</f>
        <v>17</v>
      </c>
      <c r="AE341" s="1">
        <v>170</v>
      </c>
      <c r="AF341" s="4">
        <f>knicks_players_all_stats[[#This Row],[STL]]/knicks_players_all_stats[[#This Row],[GP]]</f>
        <v>0.26153846153846155</v>
      </c>
      <c r="AG341">
        <v>1230</v>
      </c>
      <c r="AH341" s="1">
        <f>knicks_players_all_stats[[#This Row],[BLK2]]/10</f>
        <v>123</v>
      </c>
      <c r="AI341" s="4">
        <f>knicks_players_all_stats[[#This Row],[BLK]]/knicks_players_all_stats[[#This Row],[GP]]</f>
        <v>1.8923076923076922</v>
      </c>
      <c r="AJ341">
        <v>540</v>
      </c>
      <c r="AK341" s="4">
        <f>knicks_players_all_stats[[#This Row],[BLKPG]]+knicks_players_all_stats[[#This Row],[STLPG]]+knicks_players_all_stats[[#This Row],[REBPG]]</f>
        <v>8.8769230769230774</v>
      </c>
      <c r="AL341" s="1">
        <f>knicks_players_all_stats[[#This Row],[TOV2]]/10</f>
        <v>54</v>
      </c>
      <c r="AM341" s="4">
        <f>knicks_players_all_stats[[#This Row],[TOV]]/knicks_players_all_stats[[#This Row],[GP]]</f>
        <v>0.83076923076923082</v>
      </c>
      <c r="AN341" s="1">
        <v>141</v>
      </c>
      <c r="AO341" s="1">
        <f>knicks_players_all_stats[[#This Row],[PF]]/knicks_players_all_stats[[#This Row],[GP]]</f>
        <v>2.1692307692307691</v>
      </c>
      <c r="AP341" s="1">
        <v>363</v>
      </c>
      <c r="AQ341" s="4">
        <f>knicks_players_all_stats[[#This Row],[PTS]]/knicks_players_all_stats[[#This Row],[GP]]</f>
        <v>5.5846153846153843</v>
      </c>
    </row>
    <row r="342" spans="1:43" customFormat="1" x14ac:dyDescent="0.3">
      <c r="A342" s="1" t="s">
        <v>1388</v>
      </c>
      <c r="B342" s="1" t="s">
        <v>1295</v>
      </c>
      <c r="C342" s="1" t="str">
        <f>knicks_players_all_stats[[#This Row],[NAME]]&amp;" ("&amp;knicks_players_all_stats[[#This Row],[SEASON]]&amp;")"</f>
        <v>Vin Baker (2004-05)</v>
      </c>
      <c r="D342" s="1">
        <f>knicks_players_all_stats[[#This Row],[PLAYER_AGE]]/10</f>
        <v>33</v>
      </c>
      <c r="E342">
        <v>330</v>
      </c>
      <c r="F342" s="1">
        <v>24</v>
      </c>
      <c r="G342" s="1">
        <v>1910</v>
      </c>
      <c r="H34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</v>
      </c>
      <c r="I342" s="4">
        <f>knicks_players_all_stats[[#This Row],[VALORATION]]/knicks_players_all_stats[[#This Row],[GP]]</f>
        <v>0.25</v>
      </c>
      <c r="J342" s="1">
        <v>13</v>
      </c>
      <c r="K342" s="1">
        <v>38</v>
      </c>
      <c r="L342" s="2">
        <f>knicks_players_all_stats[[#This Row],[FGM]]/knicks_players_all_stats[[#This Row],[FGA]]</f>
        <v>0.34210526315789475</v>
      </c>
      <c r="M342" s="16">
        <f>knicks_players_all_stats[[#This Row],[FG3M2]]/10</f>
        <v>0</v>
      </c>
      <c r="N342" s="1">
        <v>0</v>
      </c>
      <c r="O342" s="1">
        <f>knicks_players_all_stats[[#This Row],[FG3A2]]/10</f>
        <v>1</v>
      </c>
      <c r="P342" s="1">
        <v>10</v>
      </c>
      <c r="Q342" s="2">
        <f>knicks_players_all_stats[[#This Row],[FG3M2]]/knicks_players_all_stats[[#This Row],[FG3A2]]</f>
        <v>0</v>
      </c>
      <c r="R342" s="1">
        <v>7</v>
      </c>
      <c r="S342" s="1">
        <v>15</v>
      </c>
      <c r="T342" s="3">
        <f>knicks_players_all_stats[[#This Row],[FTM]]/knicks_players_all_stats[[#This Row],[FTA]]</f>
        <v>0.46666666666666667</v>
      </c>
      <c r="U342" s="1">
        <f>knicks_players_all_stats[[#This Row],[OREB22]]/10</f>
        <v>17</v>
      </c>
      <c r="V342" s="1">
        <f>knicks_players_all_stats[[#This Row],[DREB33]]/10</f>
        <v>20</v>
      </c>
      <c r="W342" s="1">
        <f>knicks_players_all_stats[[#This Row],[REB44]]/10</f>
        <v>37</v>
      </c>
      <c r="X342">
        <v>170</v>
      </c>
      <c r="Y342">
        <v>200</v>
      </c>
      <c r="Z342">
        <v>370</v>
      </c>
      <c r="AA342" s="14">
        <f>knicks_players_all_stats[[#This Row],[REB]]/knicks_players_all_stats[[#This Row],[GP]]</f>
        <v>1.5416666666666667</v>
      </c>
      <c r="AB342" s="1">
        <v>9</v>
      </c>
      <c r="AC342" s="4">
        <f>knicks_players_all_stats[[#This Row],[AST]]/knicks_players_all_stats[[#This Row],[GP]]</f>
        <v>0.375</v>
      </c>
      <c r="AD342" s="1">
        <f>knicks_players_all_stats[[#This Row],[STL2]]/10</f>
        <v>2</v>
      </c>
      <c r="AE342" s="1">
        <v>20</v>
      </c>
      <c r="AF342" s="4">
        <f>knicks_players_all_stats[[#This Row],[STL]]/knicks_players_all_stats[[#This Row],[GP]]</f>
        <v>8.3333333333333329E-2</v>
      </c>
      <c r="AG342">
        <v>40</v>
      </c>
      <c r="AH342" s="1">
        <f>knicks_players_all_stats[[#This Row],[BLK2]]/10</f>
        <v>4</v>
      </c>
      <c r="AI342" s="4">
        <f>knicks_players_all_stats[[#This Row],[BLK]]/knicks_players_all_stats[[#This Row],[GP]]</f>
        <v>0.16666666666666666</v>
      </c>
      <c r="AJ342">
        <v>150</v>
      </c>
      <c r="AK342" s="4">
        <f>knicks_players_all_stats[[#This Row],[BLKPG]]+knicks_players_all_stats[[#This Row],[STLPG]]+knicks_players_all_stats[[#This Row],[REBPG]]</f>
        <v>1.7916666666666667</v>
      </c>
      <c r="AL342" s="1">
        <f>knicks_players_all_stats[[#This Row],[TOV2]]/10</f>
        <v>15</v>
      </c>
      <c r="AM342" s="4">
        <f>knicks_players_all_stats[[#This Row],[TOV]]/knicks_players_all_stats[[#This Row],[GP]]</f>
        <v>0.625</v>
      </c>
      <c r="AN342" s="1">
        <v>31</v>
      </c>
      <c r="AO342" s="1">
        <f>knicks_players_all_stats[[#This Row],[PF]]/knicks_players_all_stats[[#This Row],[GP]]</f>
        <v>1.2916666666666667</v>
      </c>
      <c r="AP342" s="1">
        <v>33</v>
      </c>
      <c r="AQ342" s="4">
        <f>knicks_players_all_stats[[#This Row],[PTS]]/knicks_players_all_stats[[#This Row],[GP]]</f>
        <v>1.375</v>
      </c>
    </row>
    <row r="343" spans="1:43" customFormat="1" x14ac:dyDescent="0.3">
      <c r="A343" s="1" t="s">
        <v>1311</v>
      </c>
      <c r="B343" s="1" t="s">
        <v>1290</v>
      </c>
      <c r="C343" s="1" t="str">
        <f>knicks_players_all_stats[[#This Row],[NAME]]&amp;" ("&amp;knicks_players_all_stats[[#This Row],[SEASON]]&amp;")"</f>
        <v>Renaldo Balkman (2011-12)</v>
      </c>
      <c r="D343" s="1">
        <f>knicks_players_all_stats[[#This Row],[PLAYER_AGE]]/10</f>
        <v>27</v>
      </c>
      <c r="E343">
        <v>270</v>
      </c>
      <c r="F343" s="1">
        <v>14</v>
      </c>
      <c r="G343" s="1">
        <v>1150</v>
      </c>
      <c r="H34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41</v>
      </c>
      <c r="I343" s="4">
        <f>knicks_players_all_stats[[#This Row],[VALORATION]]/knicks_players_all_stats[[#This Row],[GP]]</f>
        <v>2.9285714285714284</v>
      </c>
      <c r="J343" s="1">
        <v>16</v>
      </c>
      <c r="K343" s="1">
        <v>32</v>
      </c>
      <c r="L343" s="2">
        <f>knicks_players_all_stats[[#This Row],[FGM]]/knicks_players_all_stats[[#This Row],[FGA]]</f>
        <v>0.5</v>
      </c>
      <c r="M343" s="16">
        <f>knicks_players_all_stats[[#This Row],[FG3M2]]/10</f>
        <v>2</v>
      </c>
      <c r="N343" s="1">
        <v>20</v>
      </c>
      <c r="O343" s="1">
        <f>knicks_players_all_stats[[#This Row],[FG3A2]]/10</f>
        <v>9</v>
      </c>
      <c r="P343" s="1">
        <v>90</v>
      </c>
      <c r="Q343" s="2">
        <f>knicks_players_all_stats[[#This Row],[FG3M2]]/knicks_players_all_stats[[#This Row],[FG3A2]]</f>
        <v>0.22222222222222221</v>
      </c>
      <c r="R343" s="1">
        <v>8</v>
      </c>
      <c r="S343" s="1">
        <v>11</v>
      </c>
      <c r="T343" s="3">
        <f>knicks_players_all_stats[[#This Row],[FTM]]/knicks_players_all_stats[[#This Row],[FTA]]</f>
        <v>0.72727272727272729</v>
      </c>
      <c r="U343" s="1">
        <f>knicks_players_all_stats[[#This Row],[OREB22]]/10</f>
        <v>6</v>
      </c>
      <c r="V343" s="1">
        <f>knicks_players_all_stats[[#This Row],[DREB33]]/10</f>
        <v>20</v>
      </c>
      <c r="W343" s="1">
        <f>knicks_players_all_stats[[#This Row],[REB44]]/10</f>
        <v>26</v>
      </c>
      <c r="X343">
        <v>60</v>
      </c>
      <c r="Y343">
        <v>200</v>
      </c>
      <c r="Z343">
        <v>260</v>
      </c>
      <c r="AA343" s="14">
        <f>knicks_players_all_stats[[#This Row],[REB]]/knicks_players_all_stats[[#This Row],[GP]]</f>
        <v>1.8571428571428572</v>
      </c>
      <c r="AB343" s="1">
        <v>5</v>
      </c>
      <c r="AC343" s="4">
        <f>knicks_players_all_stats[[#This Row],[AST]]/knicks_players_all_stats[[#This Row],[GP]]</f>
        <v>0.35714285714285715</v>
      </c>
      <c r="AD343" s="1">
        <f>knicks_players_all_stats[[#This Row],[STL2]]/10</f>
        <v>4</v>
      </c>
      <c r="AE343" s="1">
        <v>40</v>
      </c>
      <c r="AF343" s="4">
        <f>knicks_players_all_stats[[#This Row],[STL]]/knicks_players_all_stats[[#This Row],[GP]]</f>
        <v>0.2857142857142857</v>
      </c>
      <c r="AG343">
        <v>30</v>
      </c>
      <c r="AH343" s="1">
        <f>knicks_players_all_stats[[#This Row],[BLK2]]/10</f>
        <v>3</v>
      </c>
      <c r="AI343" s="4">
        <f>knicks_players_all_stats[[#This Row],[BLK]]/knicks_players_all_stats[[#This Row],[GP]]</f>
        <v>0.21428571428571427</v>
      </c>
      <c r="AJ343">
        <v>60</v>
      </c>
      <c r="AK343" s="4">
        <f>knicks_players_all_stats[[#This Row],[BLKPG]]+knicks_players_all_stats[[#This Row],[STLPG]]+knicks_players_all_stats[[#This Row],[REBPG]]</f>
        <v>2.3571428571428572</v>
      </c>
      <c r="AL343" s="1">
        <f>knicks_players_all_stats[[#This Row],[TOV2]]/10</f>
        <v>6</v>
      </c>
      <c r="AM343" s="4">
        <f>knicks_players_all_stats[[#This Row],[TOV]]/knicks_players_all_stats[[#This Row],[GP]]</f>
        <v>0.42857142857142855</v>
      </c>
      <c r="AN343" s="1">
        <v>14</v>
      </c>
      <c r="AO343" s="1">
        <f>knicks_players_all_stats[[#This Row],[PF]]/knicks_players_all_stats[[#This Row],[GP]]</f>
        <v>1</v>
      </c>
      <c r="AP343" s="1">
        <v>42</v>
      </c>
      <c r="AQ343" s="4">
        <f>knicks_players_all_stats[[#This Row],[PTS]]/knicks_players_all_stats[[#This Row],[GP]]</f>
        <v>3</v>
      </c>
    </row>
    <row r="344" spans="1:43" x14ac:dyDescent="0.3">
      <c r="A344" s="1" t="s">
        <v>1559</v>
      </c>
      <c r="B344" s="1" t="s">
        <v>1279</v>
      </c>
      <c r="C344" s="1" t="str">
        <f>knicks_players_all_stats[[#This Row],[NAME]]&amp;" ("&amp;knicks_players_all_stats[[#This Row],[SEASON]]&amp;")"</f>
        <v>Cleanthony Early (2015-16)</v>
      </c>
      <c r="D344" s="1">
        <f>knicks_players_all_stats[[#This Row],[PLAYER_AGE]]/10</f>
        <v>25</v>
      </c>
      <c r="E344">
        <v>250</v>
      </c>
      <c r="F344" s="1">
        <v>17</v>
      </c>
      <c r="G344" s="1">
        <v>1540</v>
      </c>
      <c r="H34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14</v>
      </c>
      <c r="I344" s="4">
        <f>knicks_players_all_stats[[#This Row],[VALORATION]]/knicks_players_all_stats[[#This Row],[GP]]</f>
        <v>0.82352941176470584</v>
      </c>
      <c r="J344" s="1">
        <v>12</v>
      </c>
      <c r="K344" s="1">
        <v>40</v>
      </c>
      <c r="L344" s="2">
        <f>knicks_players_all_stats[[#This Row],[FGM]]/knicks_players_all_stats[[#This Row],[FGA]]</f>
        <v>0.3</v>
      </c>
      <c r="M344" s="16">
        <f>knicks_players_all_stats[[#This Row],[FG3M2]]/10</f>
        <v>4</v>
      </c>
      <c r="N344" s="1">
        <v>40</v>
      </c>
      <c r="O344" s="1">
        <f>knicks_players_all_stats[[#This Row],[FG3A2]]/10</f>
        <v>15</v>
      </c>
      <c r="P344" s="1">
        <v>150</v>
      </c>
      <c r="Q344" s="2">
        <f>knicks_players_all_stats[[#This Row],[FG3M2]]/knicks_players_all_stats[[#This Row],[FG3A2]]</f>
        <v>0.26666666666666666</v>
      </c>
      <c r="R344" s="1">
        <v>3</v>
      </c>
      <c r="S344" s="1">
        <v>4</v>
      </c>
      <c r="T344" s="3">
        <f>knicks_players_all_stats[[#This Row],[FTM]]/knicks_players_all_stats[[#This Row],[FTA]]</f>
        <v>0.75</v>
      </c>
      <c r="U344" s="1">
        <f>knicks_players_all_stats[[#This Row],[OREB22]]/10</f>
        <v>4</v>
      </c>
      <c r="V344" s="1">
        <f>knicks_players_all_stats[[#This Row],[DREB33]]/10</f>
        <v>22</v>
      </c>
      <c r="W344" s="1">
        <f>knicks_players_all_stats[[#This Row],[REB44]]/10</f>
        <v>26</v>
      </c>
      <c r="X344">
        <v>40</v>
      </c>
      <c r="Y344">
        <v>220</v>
      </c>
      <c r="Z344">
        <v>260</v>
      </c>
      <c r="AA344" s="14">
        <f>knicks_players_all_stats[[#This Row],[REB]]/knicks_players_all_stats[[#This Row],[GP]]</f>
        <v>1.5294117647058822</v>
      </c>
      <c r="AB344" s="1">
        <v>6</v>
      </c>
      <c r="AC344" s="4">
        <f>knicks_players_all_stats[[#This Row],[AST]]/knicks_players_all_stats[[#This Row],[GP]]</f>
        <v>0.35294117647058826</v>
      </c>
      <c r="AD344" s="1">
        <f>knicks_players_all_stats[[#This Row],[STL2]]/10</f>
        <v>2</v>
      </c>
      <c r="AE344" s="1">
        <v>20</v>
      </c>
      <c r="AF344" s="4">
        <f>knicks_players_all_stats[[#This Row],[STL]]/knicks_players_all_stats[[#This Row],[GP]]</f>
        <v>0.11764705882352941</v>
      </c>
      <c r="AG344">
        <v>30</v>
      </c>
      <c r="AH344" s="1">
        <f>knicks_players_all_stats[[#This Row],[BLK2]]/10</f>
        <v>3</v>
      </c>
      <c r="AI344" s="4">
        <f>knicks_players_all_stats[[#This Row],[BLK]]/knicks_players_all_stats[[#This Row],[GP]]</f>
        <v>0.17647058823529413</v>
      </c>
      <c r="AJ344">
        <v>90</v>
      </c>
      <c r="AK344" s="4">
        <f>knicks_players_all_stats[[#This Row],[BLKPG]]+knicks_players_all_stats[[#This Row],[STLPG]]+knicks_players_all_stats[[#This Row],[REBPG]]</f>
        <v>1.8235294117647058</v>
      </c>
      <c r="AL344" s="1">
        <f>knicks_players_all_stats[[#This Row],[TOV2]]/10</f>
        <v>9</v>
      </c>
      <c r="AM344" s="4">
        <f>knicks_players_all_stats[[#This Row],[TOV]]/knicks_players_all_stats[[#This Row],[GP]]</f>
        <v>0.52941176470588236</v>
      </c>
      <c r="AN344" s="1">
        <v>16</v>
      </c>
      <c r="AO344" s="1">
        <f>knicks_players_all_stats[[#This Row],[PF]]/knicks_players_all_stats[[#This Row],[GP]]</f>
        <v>0.94117647058823528</v>
      </c>
      <c r="AP344" s="1">
        <v>31</v>
      </c>
      <c r="AQ344" s="4">
        <f>knicks_players_all_stats[[#This Row],[PTS]]/knicks_players_all_stats[[#This Row],[GP]]</f>
        <v>1.8235294117647058</v>
      </c>
    </row>
    <row r="345" spans="1:43" x14ac:dyDescent="0.3">
      <c r="A345" s="1" t="s">
        <v>1786</v>
      </c>
      <c r="B345" s="1" t="s">
        <v>1293</v>
      </c>
      <c r="C345" s="1" t="str">
        <f>knicks_players_all_stats[[#This Row],[NAME]]&amp;" ("&amp;knicks_players_all_stats[[#This Row],[SEASON]]&amp;")"</f>
        <v>Michael Sweetney (2003-04)</v>
      </c>
      <c r="D345" s="1">
        <f>knicks_players_all_stats[[#This Row],[PLAYER_AGE]]/10</f>
        <v>21</v>
      </c>
      <c r="E345">
        <v>210</v>
      </c>
      <c r="F345" s="1">
        <v>42</v>
      </c>
      <c r="G345" s="1">
        <v>4950</v>
      </c>
      <c r="H34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205</v>
      </c>
      <c r="I345" s="4">
        <f>knicks_players_all_stats[[#This Row],[VALORATION]]/knicks_players_all_stats[[#This Row],[GP]]</f>
        <v>4.8809523809523814</v>
      </c>
      <c r="J345" s="1">
        <v>69</v>
      </c>
      <c r="K345" s="1">
        <v>140</v>
      </c>
      <c r="L345" s="1">
        <v>493</v>
      </c>
      <c r="M345" s="4">
        <f>knicks_players_all_stats[[#This Row],[FG3M2]]/10</f>
        <v>0</v>
      </c>
      <c r="N345" s="1">
        <v>0</v>
      </c>
      <c r="O345" s="1">
        <f>knicks_players_all_stats[[#This Row],[FG3A2]]/10</f>
        <v>1</v>
      </c>
      <c r="P345" s="1">
        <v>10</v>
      </c>
      <c r="Q345" s="2">
        <f>knicks_players_all_stats[[#This Row],[FG3M2]]/knicks_players_all_stats[[#This Row],[FG3A2]]</f>
        <v>0</v>
      </c>
      <c r="R345" s="1">
        <v>42</v>
      </c>
      <c r="S345" s="1">
        <v>58</v>
      </c>
      <c r="T345" s="3">
        <f>knicks_players_all_stats[[#This Row],[FTM]]/knicks_players_all_stats[[#This Row],[FTA]]</f>
        <v>0.72413793103448276</v>
      </c>
      <c r="U345" s="1">
        <f>knicks_players_all_stats[[#This Row],[OREB22]]/10</f>
        <v>68</v>
      </c>
      <c r="V345" s="1">
        <f>knicks_players_all_stats[[#This Row],[DREB33]]/10</f>
        <v>89</v>
      </c>
      <c r="W345" s="1">
        <f>knicks_players_all_stats[[#This Row],[REB44]]/10</f>
        <v>157</v>
      </c>
      <c r="X345">
        <v>680</v>
      </c>
      <c r="Y345">
        <v>890</v>
      </c>
      <c r="Z345">
        <v>1570</v>
      </c>
      <c r="AA345" s="14">
        <f>knicks_players_all_stats[[#This Row],[REB]]/knicks_players_all_stats[[#This Row],[GP]]</f>
        <v>3.7380952380952381</v>
      </c>
      <c r="AB345" s="1">
        <v>14</v>
      </c>
      <c r="AC345" s="4">
        <f>knicks_players_all_stats[[#This Row],[AST]]/knicks_players_all_stats[[#This Row],[GP]]</f>
        <v>0.33333333333333331</v>
      </c>
      <c r="AD345" s="1">
        <f>knicks_players_all_stats[[#This Row],[STL2]]/10</f>
        <v>18</v>
      </c>
      <c r="AE345" s="1">
        <v>180</v>
      </c>
      <c r="AF345" s="4">
        <f>knicks_players_all_stats[[#This Row],[STL]]/knicks_players_all_stats[[#This Row],[GP]]</f>
        <v>0.42857142857142855</v>
      </c>
      <c r="AG345">
        <v>120</v>
      </c>
      <c r="AH345" s="1">
        <f>knicks_players_all_stats[[#This Row],[BLK2]]/10</f>
        <v>12</v>
      </c>
      <c r="AI345" s="4">
        <f>knicks_players_all_stats[[#This Row],[BLK]]/knicks_players_all_stats[[#This Row],[GP]]</f>
        <v>0.2857142857142857</v>
      </c>
      <c r="AJ345">
        <v>320</v>
      </c>
      <c r="AK345" s="4">
        <f>knicks_players_all_stats[[#This Row],[BLKPG]]+knicks_players_all_stats[[#This Row],[STLPG]]+knicks_players_all_stats[[#This Row],[REBPG]]</f>
        <v>4.4523809523809526</v>
      </c>
      <c r="AL345" s="1">
        <f>knicks_players_all_stats[[#This Row],[TOV2]]/10</f>
        <v>32</v>
      </c>
      <c r="AM345" s="4">
        <f>knicks_players_all_stats[[#This Row],[TOV]]/knicks_players_all_stats[[#This Row],[GP]]</f>
        <v>0.76190476190476186</v>
      </c>
      <c r="AN345" s="1">
        <v>57</v>
      </c>
      <c r="AO345" s="1">
        <f>knicks_players_all_stats[[#This Row],[PF]]/knicks_players_all_stats[[#This Row],[GP]]</f>
        <v>1.3571428571428572</v>
      </c>
      <c r="AP345" s="1">
        <v>180</v>
      </c>
      <c r="AQ345" s="4">
        <f>knicks_players_all_stats[[#This Row],[PTS]]/knicks_players_all_stats[[#This Row],[GP]]</f>
        <v>4.2857142857142856</v>
      </c>
    </row>
    <row r="346" spans="1:43" x14ac:dyDescent="0.3">
      <c r="A346" s="1" t="s">
        <v>1433</v>
      </c>
      <c r="B346" s="1" t="s">
        <v>1308</v>
      </c>
      <c r="C346" s="1" t="str">
        <f>knicks_players_all_stats[[#This Row],[NAME]]&amp;" ("&amp;knicks_players_all_stats[[#This Row],[SEASON]]&amp;")"</f>
        <v>Wayne Selden (2021-22)</v>
      </c>
      <c r="D346" s="1">
        <f>knicks_players_all_stats[[#This Row],[PLAYER_AGE]]/10</f>
        <v>27</v>
      </c>
      <c r="E346">
        <v>270</v>
      </c>
      <c r="F346" s="1">
        <v>3</v>
      </c>
      <c r="G346" s="1">
        <v>190</v>
      </c>
      <c r="H34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346" s="4">
        <f>knicks_players_all_stats[[#This Row],[VALORATION]]/knicks_players_all_stats[[#This Row],[GP]]</f>
        <v>0.33333333333333331</v>
      </c>
      <c r="J346" s="1">
        <v>1</v>
      </c>
      <c r="K346" s="1">
        <v>4</v>
      </c>
      <c r="L346" s="2">
        <f>knicks_players_all_stats[[#This Row],[FGM]]/knicks_players_all_stats[[#This Row],[FGA]]</f>
        <v>0.25</v>
      </c>
      <c r="M346" s="16">
        <f>knicks_players_all_stats[[#This Row],[FG3M2]]/10</f>
        <v>1</v>
      </c>
      <c r="N346" s="1">
        <v>10</v>
      </c>
      <c r="O346" s="1">
        <f>knicks_players_all_stats[[#This Row],[FG3A2]]/10</f>
        <v>2</v>
      </c>
      <c r="P346" s="1">
        <v>20</v>
      </c>
      <c r="Q346" s="2">
        <f>knicks_players_all_stats[[#This Row],[FG3M2]]/knicks_players_all_stats[[#This Row],[FG3A2]]</f>
        <v>0.5</v>
      </c>
      <c r="R346" s="1">
        <v>2</v>
      </c>
      <c r="S346" s="1">
        <v>4</v>
      </c>
      <c r="T346" s="3">
        <f>knicks_players_all_stats[[#This Row],[FTM]]/knicks_players_all_stats[[#This Row],[FTA]]</f>
        <v>0.5</v>
      </c>
      <c r="U346" s="1">
        <f>knicks_players_all_stats[[#This Row],[OREB22]]/10</f>
        <v>0</v>
      </c>
      <c r="V346" s="1">
        <f>knicks_players_all_stats[[#This Row],[DREB33]]/10</f>
        <v>1</v>
      </c>
      <c r="W346" s="1">
        <f>knicks_players_all_stats[[#This Row],[REB44]]/10</f>
        <v>1</v>
      </c>
      <c r="X346">
        <v>0</v>
      </c>
      <c r="Y346">
        <v>10</v>
      </c>
      <c r="Z346">
        <v>10</v>
      </c>
      <c r="AA346" s="14">
        <f>knicks_players_all_stats[[#This Row],[REB]]/knicks_players_all_stats[[#This Row],[GP]]</f>
        <v>0.33333333333333331</v>
      </c>
      <c r="AB346" s="1">
        <v>1</v>
      </c>
      <c r="AC346" s="4">
        <f>knicks_players_all_stats[[#This Row],[AST]]/knicks_players_all_stats[[#This Row],[GP]]</f>
        <v>0.33333333333333331</v>
      </c>
      <c r="AD346" s="1">
        <f>knicks_players_all_stats[[#This Row],[STL2]]/10</f>
        <v>0</v>
      </c>
      <c r="AE346" s="1">
        <v>0</v>
      </c>
      <c r="AF346" s="4">
        <f>knicks_players_all_stats[[#This Row],[STL]]/knicks_players_all_stats[[#This Row],[GP]]</f>
        <v>0</v>
      </c>
      <c r="AG346">
        <v>0</v>
      </c>
      <c r="AH346" s="1">
        <f>knicks_players_all_stats[[#This Row],[BLK2]]/10</f>
        <v>0</v>
      </c>
      <c r="AI346" s="4">
        <f>knicks_players_all_stats[[#This Row],[BLK]]/knicks_players_all_stats[[#This Row],[GP]]</f>
        <v>0</v>
      </c>
      <c r="AJ346">
        <v>0</v>
      </c>
      <c r="AK346" s="4">
        <f>knicks_players_all_stats[[#This Row],[BLKPG]]+knicks_players_all_stats[[#This Row],[STLPG]]+knicks_players_all_stats[[#This Row],[REBPG]]</f>
        <v>0.33333333333333331</v>
      </c>
      <c r="AL346" s="1">
        <f>knicks_players_all_stats[[#This Row],[TOV2]]/10</f>
        <v>0</v>
      </c>
      <c r="AM346" s="4">
        <f>knicks_players_all_stats[[#This Row],[TOV]]/knicks_players_all_stats[[#This Row],[GP]]</f>
        <v>0</v>
      </c>
      <c r="AN346" s="1">
        <v>1</v>
      </c>
      <c r="AO346" s="1">
        <f>knicks_players_all_stats[[#This Row],[PF]]/knicks_players_all_stats[[#This Row],[GP]]</f>
        <v>0.33333333333333331</v>
      </c>
      <c r="AP346" s="1">
        <v>5</v>
      </c>
      <c r="AQ346" s="4">
        <f>knicks_players_all_stats[[#This Row],[PTS]]/knicks_players_all_stats[[#This Row],[GP]]</f>
        <v>1.6666666666666667</v>
      </c>
    </row>
    <row r="347" spans="1:43" x14ac:dyDescent="0.3">
      <c r="A347" s="1" t="s">
        <v>1797</v>
      </c>
      <c r="B347" s="1" t="s">
        <v>1369</v>
      </c>
      <c r="C347" s="1" t="str">
        <f>knicks_players_all_stats[[#This Row],[NAME]]&amp;" ("&amp;knicks_players_all_stats[[#This Row],[SEASON]]&amp;")"</f>
        <v>Jacob Toppin (2023-24)</v>
      </c>
      <c r="D347" s="1">
        <f>knicks_players_all_stats[[#This Row],[PLAYER_AGE]]/10</f>
        <v>24</v>
      </c>
      <c r="E347">
        <v>240</v>
      </c>
      <c r="F347" s="1">
        <v>9</v>
      </c>
      <c r="G347" s="1">
        <v>380</v>
      </c>
      <c r="H34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</v>
      </c>
      <c r="I347" s="4">
        <f>knicks_players_all_stats[[#This Row],[VALORATION]]/knicks_players_all_stats[[#This Row],[GP]]</f>
        <v>1.7777777777777777</v>
      </c>
      <c r="J347" s="1">
        <v>5</v>
      </c>
      <c r="K347" s="1">
        <v>9</v>
      </c>
      <c r="L347" s="1">
        <v>556</v>
      </c>
      <c r="M347" s="4">
        <f>knicks_players_all_stats[[#This Row],[FG3M2]]/10</f>
        <v>1</v>
      </c>
      <c r="N347" s="1">
        <v>10</v>
      </c>
      <c r="O347" s="1">
        <f>knicks_players_all_stats[[#This Row],[FG3A2]]/10</f>
        <v>4</v>
      </c>
      <c r="P347" s="1">
        <v>40</v>
      </c>
      <c r="Q347" s="2">
        <f>knicks_players_all_stats[[#This Row],[FG3M2]]/knicks_players_all_stats[[#This Row],[FG3A2]]</f>
        <v>0.25</v>
      </c>
      <c r="R347" s="1">
        <v>2</v>
      </c>
      <c r="S347" s="1">
        <v>2</v>
      </c>
      <c r="T347" s="3">
        <f>knicks_players_all_stats[[#This Row],[FTM]]/knicks_players_all_stats[[#This Row],[FTA]]</f>
        <v>1</v>
      </c>
      <c r="U347" s="1">
        <f>knicks_players_all_stats[[#This Row],[OREB22]]/10</f>
        <v>3</v>
      </c>
      <c r="V347" s="1">
        <f>knicks_players_all_stats[[#This Row],[DREB33]]/10</f>
        <v>4</v>
      </c>
      <c r="W347" s="1">
        <f>knicks_players_all_stats[[#This Row],[REB44]]/10</f>
        <v>7</v>
      </c>
      <c r="X347">
        <v>30</v>
      </c>
      <c r="Y347">
        <v>40</v>
      </c>
      <c r="Z347">
        <v>70</v>
      </c>
      <c r="AA347" s="14">
        <f>knicks_players_all_stats[[#This Row],[REB]]/knicks_players_all_stats[[#This Row],[GP]]</f>
        <v>0.77777777777777779</v>
      </c>
      <c r="AB347" s="1">
        <v>3</v>
      </c>
      <c r="AC347" s="4">
        <f>knicks_players_all_stats[[#This Row],[AST]]/knicks_players_all_stats[[#This Row],[GP]]</f>
        <v>0.33333333333333331</v>
      </c>
      <c r="AD347" s="1">
        <f>knicks_players_all_stats[[#This Row],[STL2]]/10</f>
        <v>0</v>
      </c>
      <c r="AE347" s="1">
        <v>0</v>
      </c>
      <c r="AF347" s="4">
        <f>knicks_players_all_stats[[#This Row],[STL]]/knicks_players_all_stats[[#This Row],[GP]]</f>
        <v>0</v>
      </c>
      <c r="AG347">
        <v>10</v>
      </c>
      <c r="AH347" s="1">
        <f>knicks_players_all_stats[[#This Row],[BLK2]]/10</f>
        <v>1</v>
      </c>
      <c r="AI347" s="4">
        <f>knicks_players_all_stats[[#This Row],[BLK]]/knicks_players_all_stats[[#This Row],[GP]]</f>
        <v>0.1111111111111111</v>
      </c>
      <c r="AJ347">
        <v>10</v>
      </c>
      <c r="AK347" s="4">
        <f>knicks_players_all_stats[[#This Row],[BLKPG]]+knicks_players_all_stats[[#This Row],[STLPG]]+knicks_players_all_stats[[#This Row],[REBPG]]</f>
        <v>0.88888888888888884</v>
      </c>
      <c r="AL347" s="1">
        <f>knicks_players_all_stats[[#This Row],[TOV2]]/10</f>
        <v>1</v>
      </c>
      <c r="AM347" s="4">
        <f>knicks_players_all_stats[[#This Row],[TOV]]/knicks_players_all_stats[[#This Row],[GP]]</f>
        <v>0.1111111111111111</v>
      </c>
      <c r="AN347" s="1">
        <v>3</v>
      </c>
      <c r="AO347" s="1">
        <f>knicks_players_all_stats[[#This Row],[PF]]/knicks_players_all_stats[[#This Row],[GP]]</f>
        <v>0.33333333333333331</v>
      </c>
      <c r="AP347" s="1">
        <v>13</v>
      </c>
      <c r="AQ347" s="4">
        <f>knicks_players_all_stats[[#This Row],[PTS]]/knicks_players_all_stats[[#This Row],[GP]]</f>
        <v>1.4444444444444444</v>
      </c>
    </row>
    <row r="348" spans="1:43" x14ac:dyDescent="0.3">
      <c r="A348" s="1" t="s">
        <v>1845</v>
      </c>
      <c r="B348" s="1" t="s">
        <v>1369</v>
      </c>
      <c r="C348" s="1" t="str">
        <f>knicks_players_all_stats[[#This Row],[NAME]]&amp;" ("&amp;knicks_players_all_stats[[#This Row],[SEASON]]&amp;")"</f>
        <v>Dylan Windler (2023-24)</v>
      </c>
      <c r="D348" s="1">
        <f>knicks_players_all_stats[[#This Row],[PLAYER_AGE]]/10</f>
        <v>27</v>
      </c>
      <c r="E348">
        <v>270</v>
      </c>
      <c r="F348" s="1">
        <v>3</v>
      </c>
      <c r="G348" s="1">
        <v>70</v>
      </c>
      <c r="H34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48" s="4">
        <f>knicks_players_all_stats[[#This Row],[VALORATION]]/knicks_players_all_stats[[#This Row],[GP]]</f>
        <v>1</v>
      </c>
      <c r="J348" s="1">
        <v>1</v>
      </c>
      <c r="K348" s="1">
        <v>2</v>
      </c>
      <c r="L348" s="1">
        <v>5</v>
      </c>
      <c r="M348" s="4">
        <f>knicks_players_all_stats[[#This Row],[FG3M2]]/10</f>
        <v>1</v>
      </c>
      <c r="N348" s="1">
        <v>10</v>
      </c>
      <c r="O348" s="1">
        <f>knicks_players_all_stats[[#This Row],[FG3A2]]/10</f>
        <v>2</v>
      </c>
      <c r="P348" s="1">
        <v>20</v>
      </c>
      <c r="Q348" s="2">
        <f>knicks_players_all_stats[[#This Row],[FG3M2]]/knicks_players_all_stats[[#This Row],[FG3A2]]</f>
        <v>0.5</v>
      </c>
      <c r="R348" s="1">
        <v>0</v>
      </c>
      <c r="S348" s="1">
        <v>0</v>
      </c>
      <c r="T348" s="3" t="e">
        <f>knicks_players_all_stats[[#This Row],[FTM]]/knicks_players_all_stats[[#This Row],[FTA]]</f>
        <v>#DIV/0!</v>
      </c>
      <c r="U348" s="1">
        <f>knicks_players_all_stats[[#This Row],[OREB22]]/10</f>
        <v>0</v>
      </c>
      <c r="V348" s="1">
        <f>knicks_players_all_stats[[#This Row],[DREB33]]/10</f>
        <v>1</v>
      </c>
      <c r="W348" s="1">
        <f>knicks_players_all_stats[[#This Row],[REB44]]/10</f>
        <v>1</v>
      </c>
      <c r="X348">
        <v>0</v>
      </c>
      <c r="Y348">
        <v>10</v>
      </c>
      <c r="Z348">
        <v>10</v>
      </c>
      <c r="AA348" s="14">
        <f>knicks_players_all_stats[[#This Row],[REB]]/knicks_players_all_stats[[#This Row],[GP]]</f>
        <v>0.33333333333333331</v>
      </c>
      <c r="AB348" s="1">
        <v>1</v>
      </c>
      <c r="AC348" s="4">
        <f>knicks_players_all_stats[[#This Row],[AST]]/knicks_players_all_stats[[#This Row],[GP]]</f>
        <v>0.33333333333333331</v>
      </c>
      <c r="AD348" s="1">
        <f>knicks_players_all_stats[[#This Row],[STL2]]/10</f>
        <v>0</v>
      </c>
      <c r="AE348" s="1">
        <v>0</v>
      </c>
      <c r="AF348" s="4">
        <f>knicks_players_all_stats[[#This Row],[STL]]/knicks_players_all_stats[[#This Row],[GP]]</f>
        <v>0</v>
      </c>
      <c r="AG348">
        <v>0</v>
      </c>
      <c r="AH348" s="1">
        <f>knicks_players_all_stats[[#This Row],[BLK2]]/10</f>
        <v>0</v>
      </c>
      <c r="AI348" s="4">
        <f>knicks_players_all_stats[[#This Row],[BLK]]/knicks_players_all_stats[[#This Row],[GP]]</f>
        <v>0</v>
      </c>
      <c r="AJ348">
        <v>0</v>
      </c>
      <c r="AK348" s="4">
        <f>knicks_players_all_stats[[#This Row],[BLKPG]]+knicks_players_all_stats[[#This Row],[STLPG]]+knicks_players_all_stats[[#This Row],[REBPG]]</f>
        <v>0.33333333333333331</v>
      </c>
      <c r="AL348" s="1">
        <f>knicks_players_all_stats[[#This Row],[TOV2]]/10</f>
        <v>0</v>
      </c>
      <c r="AM348" s="4">
        <f>knicks_players_all_stats[[#This Row],[TOV]]/knicks_players_all_stats[[#This Row],[GP]]</f>
        <v>0</v>
      </c>
      <c r="AN348" s="1">
        <v>1</v>
      </c>
      <c r="AO348" s="1">
        <f>knicks_players_all_stats[[#This Row],[PF]]/knicks_players_all_stats[[#This Row],[GP]]</f>
        <v>0.33333333333333331</v>
      </c>
      <c r="AP348" s="1">
        <v>3</v>
      </c>
      <c r="AQ348" s="4">
        <f>knicks_players_all_stats[[#This Row],[PTS]]/knicks_players_all_stats[[#This Row],[GP]]</f>
        <v>1</v>
      </c>
    </row>
    <row r="349" spans="1:43" customFormat="1" x14ac:dyDescent="0.3">
      <c r="A349" s="1" t="s">
        <v>1421</v>
      </c>
      <c r="B349" s="1" t="s">
        <v>1337</v>
      </c>
      <c r="C349" s="1" t="str">
        <f>knicks_players_all_stats[[#This Row],[NAME]]&amp;" ("&amp;knicks_players_all_stats[[#This Row],[SEASON]]&amp;")"</f>
        <v>Cole Aldrich (2013-14)</v>
      </c>
      <c r="D349" s="1">
        <f>knicks_players_all_stats[[#This Row],[PLAYER_AGE]]/10</f>
        <v>25</v>
      </c>
      <c r="E349">
        <v>250</v>
      </c>
      <c r="F349" s="1">
        <v>46</v>
      </c>
      <c r="G349" s="1">
        <v>3300</v>
      </c>
      <c r="H34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183</v>
      </c>
      <c r="I349" s="4">
        <f>knicks_players_all_stats[[#This Row],[VALORATION]]/knicks_players_all_stats[[#This Row],[GP]]</f>
        <v>3.9782608695652173</v>
      </c>
      <c r="J349" s="1">
        <v>33</v>
      </c>
      <c r="K349" s="1">
        <v>61</v>
      </c>
      <c r="L349" s="2">
        <f>knicks_players_all_stats[[#This Row],[FGM]]/knicks_players_all_stats[[#This Row],[FGA]]</f>
        <v>0.54098360655737709</v>
      </c>
      <c r="M349" s="16">
        <f>knicks_players_all_stats[[#This Row],[FG3M2]]/10</f>
        <v>0</v>
      </c>
      <c r="N349" s="1">
        <v>0</v>
      </c>
      <c r="O349" s="1">
        <f>knicks_players_all_stats[[#This Row],[FG3A2]]/10</f>
        <v>0</v>
      </c>
      <c r="P349" s="1">
        <v>0</v>
      </c>
      <c r="Q349" s="2" t="e">
        <f>knicks_players_all_stats[[#This Row],[FG3M2]]/knicks_players_all_stats[[#This Row],[FG3A2]]</f>
        <v>#DIV/0!</v>
      </c>
      <c r="R349" s="1">
        <v>26</v>
      </c>
      <c r="S349" s="1">
        <v>30</v>
      </c>
      <c r="T349" s="3">
        <f>knicks_players_all_stats[[#This Row],[FTM]]/knicks_players_all_stats[[#This Row],[FTA]]</f>
        <v>0.8666666666666667</v>
      </c>
      <c r="U349" s="1">
        <f>knicks_players_all_stats[[#This Row],[OREB22]]/10</f>
        <v>37</v>
      </c>
      <c r="V349" s="1">
        <f>knicks_players_all_stats[[#This Row],[DREB33]]/10</f>
        <v>92</v>
      </c>
      <c r="W349" s="1">
        <f>knicks_players_all_stats[[#This Row],[REB44]]/10</f>
        <v>129</v>
      </c>
      <c r="X349">
        <v>370</v>
      </c>
      <c r="Y349">
        <v>920</v>
      </c>
      <c r="Z349">
        <v>1290</v>
      </c>
      <c r="AA349" s="14">
        <f>knicks_players_all_stats[[#This Row],[REB]]/knicks_players_all_stats[[#This Row],[GP]]</f>
        <v>2.8043478260869565</v>
      </c>
      <c r="AB349" s="1">
        <v>14</v>
      </c>
      <c r="AC349" s="4">
        <f>knicks_players_all_stats[[#This Row],[AST]]/knicks_players_all_stats[[#This Row],[GP]]</f>
        <v>0.30434782608695654</v>
      </c>
      <c r="AD349" s="1">
        <f>knicks_players_all_stats[[#This Row],[STL2]]/10</f>
        <v>8</v>
      </c>
      <c r="AE349" s="1">
        <v>80</v>
      </c>
      <c r="AF349" s="4">
        <f>knicks_players_all_stats[[#This Row],[STL]]/knicks_players_all_stats[[#This Row],[GP]]</f>
        <v>0.17391304347826086</v>
      </c>
      <c r="AG349">
        <v>300</v>
      </c>
      <c r="AH349" s="1">
        <f>knicks_players_all_stats[[#This Row],[BLK2]]/10</f>
        <v>30</v>
      </c>
      <c r="AI349" s="4">
        <f>knicks_players_all_stats[[#This Row],[BLK]]/knicks_players_all_stats[[#This Row],[GP]]</f>
        <v>0.65217391304347827</v>
      </c>
      <c r="AJ349">
        <v>180</v>
      </c>
      <c r="AK349" s="4">
        <f>knicks_players_all_stats[[#This Row],[BLKPG]]+knicks_players_all_stats[[#This Row],[STLPG]]+knicks_players_all_stats[[#This Row],[REBPG]]</f>
        <v>3.6304347826086958</v>
      </c>
      <c r="AL349" s="1">
        <f>knicks_players_all_stats[[#This Row],[TOV2]]/10</f>
        <v>18</v>
      </c>
      <c r="AM349" s="4">
        <f>knicks_players_all_stats[[#This Row],[TOV]]/knicks_players_all_stats[[#This Row],[GP]]</f>
        <v>0.39130434782608697</v>
      </c>
      <c r="AN349" s="1">
        <v>40</v>
      </c>
      <c r="AO349" s="1">
        <f>knicks_players_all_stats[[#This Row],[PF]]/knicks_players_all_stats[[#This Row],[GP]]</f>
        <v>0.86956521739130432</v>
      </c>
      <c r="AP349" s="1">
        <v>92</v>
      </c>
      <c r="AQ349" s="4">
        <f>knicks_players_all_stats[[#This Row],[PTS]]/knicks_players_all_stats[[#This Row],[GP]]</f>
        <v>2</v>
      </c>
    </row>
    <row r="350" spans="1:43" customFormat="1" x14ac:dyDescent="0.3">
      <c r="A350" s="1" t="s">
        <v>1576</v>
      </c>
      <c r="B350" s="1" t="s">
        <v>1290</v>
      </c>
      <c r="C350" s="1" t="str">
        <f>knicks_players_all_stats[[#This Row],[NAME]]&amp;" ("&amp;knicks_players_all_stats[[#This Row],[SEASON]]&amp;")"</f>
        <v>Josh Harrellson (2011-12)</v>
      </c>
      <c r="D350" s="1">
        <f>knicks_players_all_stats[[#This Row],[PLAYER_AGE]]/10</f>
        <v>23</v>
      </c>
      <c r="E350">
        <v>230</v>
      </c>
      <c r="F350" s="1">
        <v>37</v>
      </c>
      <c r="G350" s="1">
        <v>5400</v>
      </c>
      <c r="H35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196</v>
      </c>
      <c r="I350" s="4">
        <f>knicks_players_all_stats[[#This Row],[VALORATION]]/knicks_players_all_stats[[#This Row],[GP]]</f>
        <v>5.2972972972972974</v>
      </c>
      <c r="J350" s="1">
        <v>63</v>
      </c>
      <c r="K350" s="1">
        <v>149</v>
      </c>
      <c r="L350" s="2">
        <f>knicks_players_all_stats[[#This Row],[FGM]]/knicks_players_all_stats[[#This Row],[FGA]]</f>
        <v>0.42281879194630873</v>
      </c>
      <c r="M350" s="16">
        <f>knicks_players_all_stats[[#This Row],[FG3M2]]/10</f>
        <v>20</v>
      </c>
      <c r="N350" s="1">
        <v>200</v>
      </c>
      <c r="O350" s="1">
        <f>knicks_players_all_stats[[#This Row],[FG3A2]]/10</f>
        <v>59</v>
      </c>
      <c r="P350" s="1">
        <v>590</v>
      </c>
      <c r="Q350" s="2">
        <f>knicks_players_all_stats[[#This Row],[FG3M2]]/knicks_players_all_stats[[#This Row],[FG3A2]]</f>
        <v>0.33898305084745761</v>
      </c>
      <c r="R350" s="1">
        <v>16</v>
      </c>
      <c r="S350" s="1">
        <v>26</v>
      </c>
      <c r="T350" s="3">
        <f>knicks_players_all_stats[[#This Row],[FTM]]/knicks_players_all_stats[[#This Row],[FTA]]</f>
        <v>0.61538461538461542</v>
      </c>
      <c r="U350" s="1">
        <f>knicks_players_all_stats[[#This Row],[OREB22]]/10</f>
        <v>47</v>
      </c>
      <c r="V350" s="1">
        <f>knicks_players_all_stats[[#This Row],[DREB33]]/10</f>
        <v>97</v>
      </c>
      <c r="W350" s="1">
        <f>knicks_players_all_stats[[#This Row],[REB44]]/10</f>
        <v>144</v>
      </c>
      <c r="X350">
        <v>470</v>
      </c>
      <c r="Y350">
        <v>970</v>
      </c>
      <c r="Z350">
        <v>1440</v>
      </c>
      <c r="AA350" s="14">
        <f>knicks_players_all_stats[[#This Row],[REB]]/knicks_players_all_stats[[#This Row],[GP]]</f>
        <v>3.8918918918918921</v>
      </c>
      <c r="AB350" s="1">
        <v>11</v>
      </c>
      <c r="AC350" s="4">
        <f>knicks_players_all_stats[[#This Row],[AST]]/knicks_players_all_stats[[#This Row],[GP]]</f>
        <v>0.29729729729729731</v>
      </c>
      <c r="AD350" s="1">
        <f>knicks_players_all_stats[[#This Row],[STL2]]/10</f>
        <v>23</v>
      </c>
      <c r="AE350" s="1">
        <v>230</v>
      </c>
      <c r="AF350" s="4">
        <f>knicks_players_all_stats[[#This Row],[STL]]/knicks_players_all_stats[[#This Row],[GP]]</f>
        <v>0.6216216216216216</v>
      </c>
      <c r="AG350">
        <v>200</v>
      </c>
      <c r="AH350" s="1">
        <f>knicks_players_all_stats[[#This Row],[BLK2]]/10</f>
        <v>20</v>
      </c>
      <c r="AI350" s="4">
        <f>knicks_players_all_stats[[#This Row],[BLK]]/knicks_players_all_stats[[#This Row],[GP]]</f>
        <v>0.54054054054054057</v>
      </c>
      <c r="AJ350">
        <v>200</v>
      </c>
      <c r="AK350" s="4">
        <f>knicks_players_all_stats[[#This Row],[BLKPG]]+knicks_players_all_stats[[#This Row],[STLPG]]+knicks_players_all_stats[[#This Row],[REBPG]]</f>
        <v>5.0540540540540544</v>
      </c>
      <c r="AL350" s="1">
        <f>knicks_players_all_stats[[#This Row],[TOV2]]/10</f>
        <v>20</v>
      </c>
      <c r="AM350" s="4">
        <f>knicks_players_all_stats[[#This Row],[TOV]]/knicks_players_all_stats[[#This Row],[GP]]</f>
        <v>0.54054054054054057</v>
      </c>
      <c r="AN350" s="1">
        <v>48</v>
      </c>
      <c r="AO350" s="1">
        <f>knicks_players_all_stats[[#This Row],[PF]]/knicks_players_all_stats[[#This Row],[GP]]</f>
        <v>1.2972972972972974</v>
      </c>
      <c r="AP350" s="1">
        <v>162</v>
      </c>
      <c r="AQ350" s="4">
        <f>knicks_players_all_stats[[#This Row],[PTS]]/knicks_players_all_stats[[#This Row],[GP]]</f>
        <v>4.3783783783783781</v>
      </c>
    </row>
    <row r="351" spans="1:43" customFormat="1" x14ac:dyDescent="0.3">
      <c r="A351" s="1" t="s">
        <v>1741</v>
      </c>
      <c r="B351" s="1" t="s">
        <v>1369</v>
      </c>
      <c r="C351" s="1" t="str">
        <f>knicks_players_all_stats[[#This Row],[NAME]]&amp;" ("&amp;knicks_players_all_stats[[#This Row],[SEASON]]&amp;")"</f>
        <v>DaQuan Jeffries (2023-24)</v>
      </c>
      <c r="D351" s="1">
        <f>knicks_players_all_stats[[#This Row],[PLAYER_AGE]]/10</f>
        <v>26</v>
      </c>
      <c r="E351">
        <v>260</v>
      </c>
      <c r="F351" s="1">
        <v>17</v>
      </c>
      <c r="G351" s="1">
        <v>460</v>
      </c>
      <c r="H35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351" s="4">
        <f>knicks_players_all_stats[[#This Row],[VALORATION]]/knicks_players_all_stats[[#This Row],[GP]]</f>
        <v>0.41176470588235292</v>
      </c>
      <c r="J351" s="1">
        <v>6</v>
      </c>
      <c r="K351" s="1">
        <v>17</v>
      </c>
      <c r="L351" s="1">
        <v>353</v>
      </c>
      <c r="M351" s="4">
        <f>knicks_players_all_stats[[#This Row],[FG3M2]]/10</f>
        <v>2</v>
      </c>
      <c r="N351" s="1">
        <v>20</v>
      </c>
      <c r="O351" s="1">
        <f>knicks_players_all_stats[[#This Row],[FG3A2]]/10</f>
        <v>10</v>
      </c>
      <c r="P351" s="1">
        <v>100</v>
      </c>
      <c r="Q351" s="2">
        <f>knicks_players_all_stats[[#This Row],[FG3M2]]/knicks_players_all_stats[[#This Row],[FG3A2]]</f>
        <v>0.2</v>
      </c>
      <c r="R351" s="1">
        <v>0</v>
      </c>
      <c r="S351" s="1">
        <v>2</v>
      </c>
      <c r="T351" s="3">
        <f>knicks_players_all_stats[[#This Row],[FTM]]/knicks_players_all_stats[[#This Row],[FTA]]</f>
        <v>0</v>
      </c>
      <c r="U351" s="1">
        <f>knicks_players_all_stats[[#This Row],[OREB22]]/10</f>
        <v>0</v>
      </c>
      <c r="V351" s="1">
        <f>knicks_players_all_stats[[#This Row],[DREB33]]/10</f>
        <v>5</v>
      </c>
      <c r="W351" s="1">
        <f>knicks_players_all_stats[[#This Row],[REB44]]/10</f>
        <v>5</v>
      </c>
      <c r="X351">
        <v>0</v>
      </c>
      <c r="Y351">
        <v>50</v>
      </c>
      <c r="Z351">
        <v>50</v>
      </c>
      <c r="AA351" s="14">
        <f>knicks_players_all_stats[[#This Row],[REB]]/knicks_players_all_stats[[#This Row],[GP]]</f>
        <v>0.29411764705882354</v>
      </c>
      <c r="AB351" s="1">
        <v>5</v>
      </c>
      <c r="AC351" s="4">
        <f>knicks_players_all_stats[[#This Row],[AST]]/knicks_players_all_stats[[#This Row],[GP]]</f>
        <v>0.29411764705882354</v>
      </c>
      <c r="AD351" s="1">
        <f>knicks_players_all_stats[[#This Row],[STL2]]/10</f>
        <v>0</v>
      </c>
      <c r="AE351" s="1">
        <v>0</v>
      </c>
      <c r="AF351" s="4">
        <f>knicks_players_all_stats[[#This Row],[STL]]/knicks_players_all_stats[[#This Row],[GP]]</f>
        <v>0</v>
      </c>
      <c r="AG351">
        <v>10</v>
      </c>
      <c r="AH351" s="1">
        <f>knicks_players_all_stats[[#This Row],[BLK2]]/10</f>
        <v>1</v>
      </c>
      <c r="AI351" s="4">
        <f>knicks_players_all_stats[[#This Row],[BLK]]/knicks_players_all_stats[[#This Row],[GP]]</f>
        <v>5.8823529411764705E-2</v>
      </c>
      <c r="AJ351">
        <v>30</v>
      </c>
      <c r="AK351" s="4">
        <f>knicks_players_all_stats[[#This Row],[BLKPG]]+knicks_players_all_stats[[#This Row],[STLPG]]+knicks_players_all_stats[[#This Row],[REBPG]]</f>
        <v>0.35294117647058826</v>
      </c>
      <c r="AL351" s="1">
        <f>knicks_players_all_stats[[#This Row],[TOV2]]/10</f>
        <v>3</v>
      </c>
      <c r="AM351" s="4">
        <f>knicks_players_all_stats[[#This Row],[TOV]]/knicks_players_all_stats[[#This Row],[GP]]</f>
        <v>0.17647058823529413</v>
      </c>
      <c r="AN351" s="1">
        <v>2</v>
      </c>
      <c r="AO351" s="1">
        <f>knicks_players_all_stats[[#This Row],[PF]]/knicks_players_all_stats[[#This Row],[GP]]</f>
        <v>0.11764705882352941</v>
      </c>
      <c r="AP351" s="1">
        <v>14</v>
      </c>
      <c r="AQ351" s="4">
        <f>knicks_players_all_stats[[#This Row],[PTS]]/knicks_players_all_stats[[#This Row],[GP]]</f>
        <v>0.82352941176470584</v>
      </c>
    </row>
    <row r="352" spans="1:43" customFormat="1" x14ac:dyDescent="0.3">
      <c r="A352" s="1" t="s">
        <v>1508</v>
      </c>
      <c r="B352" s="1" t="s">
        <v>1305</v>
      </c>
      <c r="C352" s="1" t="str">
        <f>knicks_players_all_stats[[#This Row],[NAME]]&amp;" ("&amp;knicks_players_all_stats[[#This Row],[SEASON]]&amp;")"</f>
        <v>Jordan Hill (2009-10)</v>
      </c>
      <c r="D352" s="1">
        <f>knicks_players_all_stats[[#This Row],[PLAYER_AGE]]/10</f>
        <v>22</v>
      </c>
      <c r="E352">
        <v>220</v>
      </c>
      <c r="F352" s="1">
        <v>24</v>
      </c>
      <c r="G352" s="1">
        <v>2520</v>
      </c>
      <c r="H35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78</v>
      </c>
      <c r="I352" s="4">
        <f>knicks_players_all_stats[[#This Row],[VALORATION]]/knicks_players_all_stats[[#This Row],[GP]]</f>
        <v>3.25</v>
      </c>
      <c r="J352" s="1">
        <v>41</v>
      </c>
      <c r="K352" s="1">
        <v>92</v>
      </c>
      <c r="L352" s="2">
        <f>knicks_players_all_stats[[#This Row],[FGM]]/knicks_players_all_stats[[#This Row],[FGA]]</f>
        <v>0.44565217391304346</v>
      </c>
      <c r="M352" s="16">
        <f>knicks_players_all_stats[[#This Row],[FG3M2]]/10</f>
        <v>0</v>
      </c>
      <c r="N352" s="1">
        <v>0</v>
      </c>
      <c r="O352" s="1">
        <f>knicks_players_all_stats[[#This Row],[FG3A2]]/10</f>
        <v>2</v>
      </c>
      <c r="P352" s="1">
        <v>20</v>
      </c>
      <c r="Q352" s="2">
        <f>knicks_players_all_stats[[#This Row],[FG3M2]]/knicks_players_all_stats[[#This Row],[FG3A2]]</f>
        <v>0</v>
      </c>
      <c r="R352" s="1">
        <v>15</v>
      </c>
      <c r="S352" s="1">
        <v>21</v>
      </c>
      <c r="T352" s="3">
        <f>knicks_players_all_stats[[#This Row],[FTM]]/knicks_players_all_stats[[#This Row],[FTA]]</f>
        <v>0.7142857142857143</v>
      </c>
      <c r="U352" s="1">
        <f>knicks_players_all_stats[[#This Row],[OREB22]]/10</f>
        <v>32</v>
      </c>
      <c r="V352" s="1">
        <f>knicks_players_all_stats[[#This Row],[DREB33]]/10</f>
        <v>29</v>
      </c>
      <c r="W352" s="1">
        <f>knicks_players_all_stats[[#This Row],[REB44]]/10</f>
        <v>61</v>
      </c>
      <c r="X352">
        <v>320</v>
      </c>
      <c r="Y352">
        <v>290</v>
      </c>
      <c r="Z352">
        <v>610</v>
      </c>
      <c r="AA352" s="14">
        <f>knicks_players_all_stats[[#This Row],[REB]]/knicks_players_all_stats[[#This Row],[GP]]</f>
        <v>2.5416666666666665</v>
      </c>
      <c r="AB352" s="1">
        <v>7</v>
      </c>
      <c r="AC352" s="4">
        <f>knicks_players_all_stats[[#This Row],[AST]]/knicks_players_all_stats[[#This Row],[GP]]</f>
        <v>0.29166666666666669</v>
      </c>
      <c r="AD352" s="1">
        <f>knicks_players_all_stats[[#This Row],[STL2]]/10</f>
        <v>10</v>
      </c>
      <c r="AE352" s="1">
        <v>100</v>
      </c>
      <c r="AF352" s="4">
        <f>knicks_players_all_stats[[#This Row],[STL]]/knicks_players_all_stats[[#This Row],[GP]]</f>
        <v>0.41666666666666669</v>
      </c>
      <c r="AG352">
        <v>90</v>
      </c>
      <c r="AH352" s="1">
        <f>knicks_players_all_stats[[#This Row],[BLK2]]/10</f>
        <v>9</v>
      </c>
      <c r="AI352" s="4">
        <f>knicks_players_all_stats[[#This Row],[BLK]]/knicks_players_all_stats[[#This Row],[GP]]</f>
        <v>0.375</v>
      </c>
      <c r="AJ352">
        <v>120</v>
      </c>
      <c r="AK352" s="4">
        <f>knicks_players_all_stats[[#This Row],[BLKPG]]+knicks_players_all_stats[[#This Row],[STLPG]]+knicks_players_all_stats[[#This Row],[REBPG]]</f>
        <v>3.333333333333333</v>
      </c>
      <c r="AL352" s="1">
        <f>knicks_players_all_stats[[#This Row],[TOV2]]/10</f>
        <v>12</v>
      </c>
      <c r="AM352" s="4">
        <f>knicks_players_all_stats[[#This Row],[TOV]]/knicks_players_all_stats[[#This Row],[GP]]</f>
        <v>0.5</v>
      </c>
      <c r="AN352" s="1">
        <v>37</v>
      </c>
      <c r="AO352" s="1">
        <f>knicks_players_all_stats[[#This Row],[PF]]/knicks_players_all_stats[[#This Row],[GP]]</f>
        <v>1.5416666666666667</v>
      </c>
      <c r="AP352" s="1">
        <v>97</v>
      </c>
      <c r="AQ352" s="4">
        <f>knicks_players_all_stats[[#This Row],[PTS]]/knicks_players_all_stats[[#This Row],[GP]]</f>
        <v>4.041666666666667</v>
      </c>
    </row>
    <row r="353" spans="1:43" customFormat="1" x14ac:dyDescent="0.3">
      <c r="A353" s="1" t="s">
        <v>1821</v>
      </c>
      <c r="B353" s="1" t="s">
        <v>1292</v>
      </c>
      <c r="C353" s="1" t="str">
        <f>knicks_players_all_stats[[#This Row],[NAME]]&amp;" ("&amp;knicks_players_all_stats[[#This Row],[SEASON]]&amp;")"</f>
        <v>Rasheed Wallace (2012-13)</v>
      </c>
      <c r="D353" s="1">
        <f>knicks_players_all_stats[[#This Row],[PLAYER_AGE]]/10</f>
        <v>38</v>
      </c>
      <c r="E353">
        <v>380</v>
      </c>
      <c r="F353" s="1">
        <v>21</v>
      </c>
      <c r="G353" s="1">
        <v>2960</v>
      </c>
      <c r="H35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120</v>
      </c>
      <c r="I353" s="4">
        <f>knicks_players_all_stats[[#This Row],[VALORATION]]/knicks_players_all_stats[[#This Row],[GP]]</f>
        <v>5.7142857142857144</v>
      </c>
      <c r="J353" s="1">
        <v>55</v>
      </c>
      <c r="K353" s="1">
        <v>142</v>
      </c>
      <c r="L353" s="1">
        <v>387</v>
      </c>
      <c r="M353" s="4">
        <f>knicks_players_all_stats[[#This Row],[FG3M2]]/10</f>
        <v>22</v>
      </c>
      <c r="N353" s="1">
        <v>220</v>
      </c>
      <c r="O353" s="1">
        <f>knicks_players_all_stats[[#This Row],[FG3A2]]/10</f>
        <v>69</v>
      </c>
      <c r="P353" s="1">
        <v>690</v>
      </c>
      <c r="Q353" s="2">
        <f>knicks_players_all_stats[[#This Row],[FG3M2]]/knicks_players_all_stats[[#This Row],[FG3A2]]</f>
        <v>0.3188405797101449</v>
      </c>
      <c r="R353" s="1">
        <v>14</v>
      </c>
      <c r="S353" s="1">
        <v>20</v>
      </c>
      <c r="T353" s="3">
        <f>knicks_players_all_stats[[#This Row],[FTM]]/knicks_players_all_stats[[#This Row],[FTA]]</f>
        <v>0.7</v>
      </c>
      <c r="U353" s="1">
        <f>knicks_players_all_stats[[#This Row],[OREB22]]/10</f>
        <v>11</v>
      </c>
      <c r="V353" s="1">
        <f>knicks_players_all_stats[[#This Row],[DREB33]]/10</f>
        <v>72</v>
      </c>
      <c r="W353" s="1">
        <f>knicks_players_all_stats[[#This Row],[REB44]]/10</f>
        <v>83</v>
      </c>
      <c r="X353">
        <v>110</v>
      </c>
      <c r="Y353">
        <v>720</v>
      </c>
      <c r="Z353">
        <v>830</v>
      </c>
      <c r="AA353" s="14">
        <f>knicks_players_all_stats[[#This Row],[REB]]/knicks_players_all_stats[[#This Row],[GP]]</f>
        <v>3.9523809523809526</v>
      </c>
      <c r="AB353" s="1">
        <v>6</v>
      </c>
      <c r="AC353" s="4">
        <f>knicks_players_all_stats[[#This Row],[AST]]/knicks_players_all_stats[[#This Row],[GP]]</f>
        <v>0.2857142857142857</v>
      </c>
      <c r="AD353" s="1">
        <f>knicks_players_all_stats[[#This Row],[STL2]]/10</f>
        <v>13</v>
      </c>
      <c r="AE353" s="1">
        <v>130</v>
      </c>
      <c r="AF353" s="4">
        <f>knicks_players_all_stats[[#This Row],[STL]]/knicks_players_all_stats[[#This Row],[GP]]</f>
        <v>0.61904761904761907</v>
      </c>
      <c r="AG353">
        <v>150</v>
      </c>
      <c r="AH353" s="1">
        <f>knicks_players_all_stats[[#This Row],[BLK2]]/10</f>
        <v>15</v>
      </c>
      <c r="AI353" s="4">
        <f>knicks_players_all_stats[[#This Row],[BLK]]/knicks_players_all_stats[[#This Row],[GP]]</f>
        <v>0.7142857142857143</v>
      </c>
      <c r="AJ353">
        <v>100</v>
      </c>
      <c r="AK353" s="4">
        <f>knicks_players_all_stats[[#This Row],[BLKPG]]+knicks_players_all_stats[[#This Row],[STLPG]]+knicks_players_all_stats[[#This Row],[REBPG]]</f>
        <v>5.2857142857142865</v>
      </c>
      <c r="AL353" s="1">
        <f>knicks_players_all_stats[[#This Row],[TOV2]]/10</f>
        <v>10</v>
      </c>
      <c r="AM353" s="4">
        <f>knicks_players_all_stats[[#This Row],[TOV]]/knicks_players_all_stats[[#This Row],[GP]]</f>
        <v>0.47619047619047616</v>
      </c>
      <c r="AN353" s="1">
        <v>40</v>
      </c>
      <c r="AO353" s="1">
        <f>knicks_players_all_stats[[#This Row],[PF]]/knicks_players_all_stats[[#This Row],[GP]]</f>
        <v>1.9047619047619047</v>
      </c>
      <c r="AP353" s="1">
        <v>146</v>
      </c>
      <c r="AQ353" s="4">
        <f>knicks_players_all_stats[[#This Row],[PTS]]/knicks_players_all_stats[[#This Row],[GP]]</f>
        <v>6.9523809523809526</v>
      </c>
    </row>
    <row r="354" spans="1:43" x14ac:dyDescent="0.3">
      <c r="A354" s="1" t="s">
        <v>1529</v>
      </c>
      <c r="B354" s="1" t="s">
        <v>1465</v>
      </c>
      <c r="C354" s="1" t="str">
        <f>knicks_players_all_stats[[#This Row],[NAME]]&amp;" ("&amp;knicks_players_all_stats[[#This Row],[SEASON]]&amp;")"</f>
        <v>Luc Longley (2000-01)</v>
      </c>
      <c r="D354" s="1">
        <f>knicks_players_all_stats[[#This Row],[PLAYER_AGE]]/10</f>
        <v>32</v>
      </c>
      <c r="E354">
        <v>320</v>
      </c>
      <c r="F354" s="1">
        <v>25</v>
      </c>
      <c r="G354" s="1">
        <v>2990</v>
      </c>
      <c r="H35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21</v>
      </c>
      <c r="I354" s="4">
        <f>knicks_players_all_stats[[#This Row],[VALORATION]]/knicks_players_all_stats[[#This Row],[GP]]</f>
        <v>0.84</v>
      </c>
      <c r="J354" s="1">
        <v>18</v>
      </c>
      <c r="K354" s="1">
        <v>54</v>
      </c>
      <c r="L354" s="2">
        <f>knicks_players_all_stats[[#This Row],[FGM]]/knicks_players_all_stats[[#This Row],[FGA]]</f>
        <v>0.33333333333333331</v>
      </c>
      <c r="M354" s="16">
        <f>knicks_players_all_stats[[#This Row],[FG3M2]]/10</f>
        <v>0</v>
      </c>
      <c r="N354" s="1">
        <v>0</v>
      </c>
      <c r="O354" s="1">
        <f>knicks_players_all_stats[[#This Row],[FG3A2]]/10</f>
        <v>0</v>
      </c>
      <c r="P354" s="1">
        <v>0</v>
      </c>
      <c r="Q354" s="2" t="e">
        <f>knicks_players_all_stats[[#This Row],[FG3M2]]/knicks_players_all_stats[[#This Row],[FG3A2]]</f>
        <v>#DIV/0!</v>
      </c>
      <c r="R354" s="1">
        <v>13</v>
      </c>
      <c r="S354" s="1">
        <v>17</v>
      </c>
      <c r="T354" s="3">
        <f>knicks_players_all_stats[[#This Row],[FTM]]/knicks_players_all_stats[[#This Row],[FTA]]</f>
        <v>0.76470588235294112</v>
      </c>
      <c r="U354" s="1">
        <f>knicks_players_all_stats[[#This Row],[OREB22]]/10</f>
        <v>26</v>
      </c>
      <c r="V354" s="1">
        <f>knicks_players_all_stats[[#This Row],[DREB33]]/10</f>
        <v>40</v>
      </c>
      <c r="W354" s="1">
        <f>knicks_players_all_stats[[#This Row],[REB44]]/10</f>
        <v>66</v>
      </c>
      <c r="X354">
        <v>260</v>
      </c>
      <c r="Y354">
        <v>400</v>
      </c>
      <c r="Z354">
        <v>660</v>
      </c>
      <c r="AA354" s="14">
        <f>knicks_players_all_stats[[#This Row],[REB]]/knicks_players_all_stats[[#This Row],[GP]]</f>
        <v>2.64</v>
      </c>
      <c r="AB354" s="1">
        <v>7</v>
      </c>
      <c r="AC354" s="4">
        <f>knicks_players_all_stats[[#This Row],[AST]]/knicks_players_all_stats[[#This Row],[GP]]</f>
        <v>0.28000000000000003</v>
      </c>
      <c r="AD354" s="1">
        <f>knicks_players_all_stats[[#This Row],[STL2]]/10</f>
        <v>3</v>
      </c>
      <c r="AE354" s="1">
        <v>30</v>
      </c>
      <c r="AF354" s="4">
        <f>knicks_players_all_stats[[#This Row],[STL]]/knicks_players_all_stats[[#This Row],[GP]]</f>
        <v>0.12</v>
      </c>
      <c r="AG354">
        <v>90</v>
      </c>
      <c r="AH354" s="1">
        <f>knicks_players_all_stats[[#This Row],[BLK2]]/10</f>
        <v>9</v>
      </c>
      <c r="AI354" s="4">
        <f>knicks_players_all_stats[[#This Row],[BLK]]/knicks_players_all_stats[[#This Row],[GP]]</f>
        <v>0.36</v>
      </c>
      <c r="AJ354">
        <v>220</v>
      </c>
      <c r="AK354" s="4">
        <f>knicks_players_all_stats[[#This Row],[BLKPG]]+knicks_players_all_stats[[#This Row],[STLPG]]+knicks_players_all_stats[[#This Row],[REBPG]]</f>
        <v>3.12</v>
      </c>
      <c r="AL354" s="1">
        <f>knicks_players_all_stats[[#This Row],[TOV2]]/10</f>
        <v>22</v>
      </c>
      <c r="AM354" s="4">
        <f>knicks_players_all_stats[[#This Row],[TOV]]/knicks_players_all_stats[[#This Row],[GP]]</f>
        <v>0.88</v>
      </c>
      <c r="AN354" s="1">
        <v>51</v>
      </c>
      <c r="AO354" s="1">
        <f>knicks_players_all_stats[[#This Row],[PF]]/knicks_players_all_stats[[#This Row],[GP]]</f>
        <v>2.04</v>
      </c>
      <c r="AP354" s="1">
        <v>49</v>
      </c>
      <c r="AQ354" s="4">
        <f>knicks_players_all_stats[[#This Row],[PTS]]/knicks_players_all_stats[[#This Row],[GP]]</f>
        <v>1.96</v>
      </c>
    </row>
    <row r="355" spans="1:43" x14ac:dyDescent="0.3">
      <c r="A355" s="1" t="s">
        <v>1743</v>
      </c>
      <c r="B355" s="1" t="s">
        <v>1300</v>
      </c>
      <c r="C355" s="1" t="str">
        <f>knicks_players_all_stats[[#This Row],[NAME]]&amp;" ("&amp;knicks_players_all_stats[[#This Row],[SEASON]]&amp;")"</f>
        <v>Jerome James (2005-06)</v>
      </c>
      <c r="D355" s="1">
        <f>knicks_players_all_stats[[#This Row],[PLAYER_AGE]]/10</f>
        <v>30</v>
      </c>
      <c r="E355">
        <v>300</v>
      </c>
      <c r="F355" s="1">
        <v>45</v>
      </c>
      <c r="G355" s="1">
        <v>4060</v>
      </c>
      <c r="H35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</v>
      </c>
      <c r="I355" s="4">
        <f>knicks_players_all_stats[[#This Row],[VALORATION]]/knicks_players_all_stats[[#This Row],[GP]]</f>
        <v>0.68888888888888888</v>
      </c>
      <c r="J355" s="1">
        <v>56</v>
      </c>
      <c r="K355" s="1">
        <v>121</v>
      </c>
      <c r="L355" s="1">
        <v>463</v>
      </c>
      <c r="M355" s="4">
        <f>knicks_players_all_stats[[#This Row],[FG3M2]]/10</f>
        <v>0</v>
      </c>
      <c r="N355" s="1">
        <v>0</v>
      </c>
      <c r="O355" s="1">
        <f>knicks_players_all_stats[[#This Row],[FG3A2]]/10</f>
        <v>0</v>
      </c>
      <c r="P355" s="1">
        <v>0</v>
      </c>
      <c r="Q355" s="2" t="e">
        <f>knicks_players_all_stats[[#This Row],[FG3M2]]/knicks_players_all_stats[[#This Row],[FG3A2]]</f>
        <v>#DIV/0!</v>
      </c>
      <c r="R355" s="1">
        <v>25</v>
      </c>
      <c r="S355" s="1">
        <v>40</v>
      </c>
      <c r="T355" s="3">
        <f>knicks_players_all_stats[[#This Row],[FTM]]/knicks_players_all_stats[[#This Row],[FTA]]</f>
        <v>0.625</v>
      </c>
      <c r="U355" s="1">
        <f>knicks_players_all_stats[[#This Row],[OREB22]]/10</f>
        <v>39</v>
      </c>
      <c r="V355" s="1">
        <f>knicks_players_all_stats[[#This Row],[DREB33]]/10</f>
        <v>52</v>
      </c>
      <c r="W355" s="1">
        <f>knicks_players_all_stats[[#This Row],[REB44]]/10</f>
        <v>91</v>
      </c>
      <c r="X355">
        <v>390</v>
      </c>
      <c r="Y355">
        <v>520</v>
      </c>
      <c r="Z355">
        <v>910</v>
      </c>
      <c r="AA355" s="14">
        <f>knicks_players_all_stats[[#This Row],[REB]]/knicks_players_all_stats[[#This Row],[GP]]</f>
        <v>2.0222222222222221</v>
      </c>
      <c r="AB355" s="1">
        <v>12</v>
      </c>
      <c r="AC355" s="4">
        <f>knicks_players_all_stats[[#This Row],[AST]]/knicks_players_all_stats[[#This Row],[GP]]</f>
        <v>0.26666666666666666</v>
      </c>
      <c r="AD355" s="1">
        <f>knicks_players_all_stats[[#This Row],[STL2]]/10</f>
        <v>3</v>
      </c>
      <c r="AE355" s="1">
        <v>30</v>
      </c>
      <c r="AF355" s="4">
        <f>knicks_players_all_stats[[#This Row],[STL]]/knicks_players_all_stats[[#This Row],[GP]]</f>
        <v>6.6666666666666666E-2</v>
      </c>
      <c r="AG355">
        <v>230</v>
      </c>
      <c r="AH355" s="1">
        <f>knicks_players_all_stats[[#This Row],[BLK2]]/10</f>
        <v>23</v>
      </c>
      <c r="AI355" s="4">
        <f>knicks_players_all_stats[[#This Row],[BLK]]/knicks_players_all_stats[[#This Row],[GP]]</f>
        <v>0.51111111111111107</v>
      </c>
      <c r="AJ355">
        <v>510</v>
      </c>
      <c r="AK355" s="4">
        <f>knicks_players_all_stats[[#This Row],[BLKPG]]+knicks_players_all_stats[[#This Row],[STLPG]]+knicks_players_all_stats[[#This Row],[REBPG]]</f>
        <v>2.5999999999999996</v>
      </c>
      <c r="AL355" s="1">
        <f>knicks_players_all_stats[[#This Row],[TOV2]]/10</f>
        <v>51</v>
      </c>
      <c r="AM355" s="4">
        <f>knicks_players_all_stats[[#This Row],[TOV]]/knicks_players_all_stats[[#This Row],[GP]]</f>
        <v>1.1333333333333333</v>
      </c>
      <c r="AN355" s="1">
        <v>104</v>
      </c>
      <c r="AO355" s="1">
        <f>knicks_players_all_stats[[#This Row],[PF]]/knicks_players_all_stats[[#This Row],[GP]]</f>
        <v>2.3111111111111109</v>
      </c>
      <c r="AP355" s="1">
        <v>137</v>
      </c>
      <c r="AQ355" s="4">
        <f>knicks_players_all_stats[[#This Row],[PTS]]/knicks_players_all_stats[[#This Row],[GP]]</f>
        <v>3.0444444444444443</v>
      </c>
    </row>
    <row r="356" spans="1:43" x14ac:dyDescent="0.3">
      <c r="A356" s="1" t="s">
        <v>1676</v>
      </c>
      <c r="B356" s="1" t="s">
        <v>1300</v>
      </c>
      <c r="C356" s="1" t="str">
        <f>knicks_players_all_stats[[#This Row],[NAME]]&amp;" ("&amp;knicks_players_all_stats[[#This Row],[SEASON]]&amp;")"</f>
        <v>Eddy Curry (2005-06)</v>
      </c>
      <c r="D356" s="1">
        <f>knicks_players_all_stats[[#This Row],[PLAYER_AGE]]/10</f>
        <v>23</v>
      </c>
      <c r="E356">
        <v>230</v>
      </c>
      <c r="F356" s="1">
        <v>72</v>
      </c>
      <c r="G356" s="1">
        <v>18660</v>
      </c>
      <c r="H35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656</v>
      </c>
      <c r="I356" s="4">
        <f>knicks_players_all_stats[[#This Row],[VALORATION]]/knicks_players_all_stats[[#This Row],[GP]]</f>
        <v>9.1111111111111107</v>
      </c>
      <c r="J356" s="1">
        <v>336</v>
      </c>
      <c r="K356" s="1">
        <v>597</v>
      </c>
      <c r="L356" s="1">
        <v>563</v>
      </c>
      <c r="M356" s="4">
        <f>knicks_players_all_stats[[#This Row],[FG3M2]]/10</f>
        <v>0</v>
      </c>
      <c r="N356" s="1">
        <v>0</v>
      </c>
      <c r="O356" s="1">
        <f>knicks_players_all_stats[[#This Row],[FG3A2]]/10</f>
        <v>0</v>
      </c>
      <c r="P356" s="1">
        <v>0</v>
      </c>
      <c r="Q356" s="2" t="e">
        <f>knicks_players_all_stats[[#This Row],[FG3M2]]/knicks_players_all_stats[[#This Row],[FG3A2]]</f>
        <v>#DIV/0!</v>
      </c>
      <c r="R356" s="1">
        <v>307</v>
      </c>
      <c r="S356" s="1">
        <v>486</v>
      </c>
      <c r="T356" s="3">
        <f>knicks_players_all_stats[[#This Row],[FTM]]/knicks_players_all_stats[[#This Row],[FTA]]</f>
        <v>0.63168724279835387</v>
      </c>
      <c r="U356" s="1">
        <f>knicks_players_all_stats[[#This Row],[OREB22]]/10</f>
        <v>145</v>
      </c>
      <c r="V356" s="1">
        <f>knicks_players_all_stats[[#This Row],[DREB33]]/10</f>
        <v>287</v>
      </c>
      <c r="W356" s="1">
        <f>knicks_players_all_stats[[#This Row],[REB44]]/10</f>
        <v>432</v>
      </c>
      <c r="X356">
        <v>1450</v>
      </c>
      <c r="Y356">
        <v>2870</v>
      </c>
      <c r="Z356">
        <v>4320</v>
      </c>
      <c r="AA356" s="14">
        <f>knicks_players_all_stats[[#This Row],[REB]]/knicks_players_all_stats[[#This Row],[GP]]</f>
        <v>6</v>
      </c>
      <c r="AB356" s="1">
        <v>19</v>
      </c>
      <c r="AC356" s="4">
        <f>knicks_players_all_stats[[#This Row],[AST]]/knicks_players_all_stats[[#This Row],[GP]]</f>
        <v>0.2638888888888889</v>
      </c>
      <c r="AD356" s="1">
        <f>knicks_players_all_stats[[#This Row],[STL2]]/10</f>
        <v>28</v>
      </c>
      <c r="AE356" s="1">
        <v>280</v>
      </c>
      <c r="AF356" s="4">
        <f>knicks_players_all_stats[[#This Row],[STL]]/knicks_players_all_stats[[#This Row],[GP]]</f>
        <v>0.3888888888888889</v>
      </c>
      <c r="AG356">
        <v>560</v>
      </c>
      <c r="AH356" s="1">
        <f>knicks_players_all_stats[[#This Row],[BLK2]]/10</f>
        <v>56</v>
      </c>
      <c r="AI356" s="4">
        <f>knicks_players_all_stats[[#This Row],[BLK]]/knicks_players_all_stats[[#This Row],[GP]]</f>
        <v>0.77777777777777779</v>
      </c>
      <c r="AJ356">
        <v>1790</v>
      </c>
      <c r="AK356" s="4">
        <f>knicks_players_all_stats[[#This Row],[BLKPG]]+knicks_players_all_stats[[#This Row],[STLPG]]+knicks_players_all_stats[[#This Row],[REBPG]]</f>
        <v>7.166666666666667</v>
      </c>
      <c r="AL356" s="1">
        <f>knicks_players_all_stats[[#This Row],[TOV2]]/10</f>
        <v>179</v>
      </c>
      <c r="AM356" s="4">
        <f>knicks_players_all_stats[[#This Row],[TOV]]/knicks_players_all_stats[[#This Row],[GP]]</f>
        <v>2.4861111111111112</v>
      </c>
      <c r="AN356" s="1">
        <v>239</v>
      </c>
      <c r="AO356" s="1">
        <f>knicks_players_all_stats[[#This Row],[PF]]/knicks_players_all_stats[[#This Row],[GP]]</f>
        <v>3.3194444444444446</v>
      </c>
      <c r="AP356" s="1">
        <v>979</v>
      </c>
      <c r="AQ356" s="4">
        <f>knicks_players_all_stats[[#This Row],[PTS]]/knicks_players_all_stats[[#This Row],[GP]]</f>
        <v>13.597222222222221</v>
      </c>
    </row>
    <row r="357" spans="1:43" x14ac:dyDescent="0.3">
      <c r="A357" s="1" t="s">
        <v>1592</v>
      </c>
      <c r="B357" s="1" t="s">
        <v>1325</v>
      </c>
      <c r="C357" s="1" t="str">
        <f>knicks_players_all_stats[[#This Row],[NAME]]&amp;" ("&amp;knicks_players_all_stats[[#This Row],[SEASON]]&amp;")"</f>
        <v>Lavor Postell (2002-03)</v>
      </c>
      <c r="D357" s="1">
        <f>knicks_players_all_stats[[#This Row],[PLAYER_AGE]]/10</f>
        <v>25</v>
      </c>
      <c r="E357">
        <v>250</v>
      </c>
      <c r="F357" s="1">
        <v>12</v>
      </c>
      <c r="G357" s="1">
        <v>990</v>
      </c>
      <c r="H35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</v>
      </c>
      <c r="I357" s="4">
        <f>knicks_players_all_stats[[#This Row],[VALORATION]]/knicks_players_all_stats[[#This Row],[GP]]</f>
        <v>0.83333333333333337</v>
      </c>
      <c r="J357" s="1">
        <v>14</v>
      </c>
      <c r="K357" s="1">
        <v>38</v>
      </c>
      <c r="L357" s="2">
        <f>knicks_players_all_stats[[#This Row],[FGM]]/knicks_players_all_stats[[#This Row],[FGA]]</f>
        <v>0.36842105263157893</v>
      </c>
      <c r="M357" s="16">
        <f>knicks_players_all_stats[[#This Row],[FG3M2]]/10</f>
        <v>2</v>
      </c>
      <c r="N357" s="1">
        <v>20</v>
      </c>
      <c r="O357" s="1">
        <f>knicks_players_all_stats[[#This Row],[FG3A2]]/10</f>
        <v>7</v>
      </c>
      <c r="P357" s="1">
        <v>70</v>
      </c>
      <c r="Q357" s="2">
        <f>knicks_players_all_stats[[#This Row],[FG3M2]]/knicks_players_all_stats[[#This Row],[FG3A2]]</f>
        <v>0.2857142857142857</v>
      </c>
      <c r="R357" s="1">
        <v>13</v>
      </c>
      <c r="S357" s="1">
        <v>15</v>
      </c>
      <c r="T357" s="3">
        <f>knicks_players_all_stats[[#This Row],[FTM]]/knicks_players_all_stats[[#This Row],[FTA]]</f>
        <v>0.8666666666666667</v>
      </c>
      <c r="U357" s="1">
        <f>knicks_players_all_stats[[#This Row],[OREB22]]/10</f>
        <v>1</v>
      </c>
      <c r="V357" s="1">
        <f>knicks_players_all_stats[[#This Row],[DREB33]]/10</f>
        <v>3</v>
      </c>
      <c r="W357" s="1">
        <f>knicks_players_all_stats[[#This Row],[REB44]]/10</f>
        <v>4</v>
      </c>
      <c r="X357">
        <v>10</v>
      </c>
      <c r="Y357">
        <v>30</v>
      </c>
      <c r="Z357">
        <v>40</v>
      </c>
      <c r="AA357" s="14">
        <f>knicks_players_all_stats[[#This Row],[REB]]/knicks_players_all_stats[[#This Row],[GP]]</f>
        <v>0.33333333333333331</v>
      </c>
      <c r="AB357" s="1">
        <v>3</v>
      </c>
      <c r="AC357" s="4">
        <f>knicks_players_all_stats[[#This Row],[AST]]/knicks_players_all_stats[[#This Row],[GP]]</f>
        <v>0.25</v>
      </c>
      <c r="AD357" s="1">
        <f>knicks_players_all_stats[[#This Row],[STL2]]/10</f>
        <v>2</v>
      </c>
      <c r="AE357" s="1">
        <v>20</v>
      </c>
      <c r="AF357" s="4">
        <f>knicks_players_all_stats[[#This Row],[STL]]/knicks_players_all_stats[[#This Row],[GP]]</f>
        <v>0.16666666666666666</v>
      </c>
      <c r="AG357">
        <v>0</v>
      </c>
      <c r="AH357" s="1">
        <f>knicks_players_all_stats[[#This Row],[BLK2]]/10</f>
        <v>0</v>
      </c>
      <c r="AI357" s="4">
        <f>knicks_players_all_stats[[#This Row],[BLK]]/knicks_players_all_stats[[#This Row],[GP]]</f>
        <v>0</v>
      </c>
      <c r="AJ357">
        <v>70</v>
      </c>
      <c r="AK357" s="4">
        <f>knicks_players_all_stats[[#This Row],[BLKPG]]+knicks_players_all_stats[[#This Row],[STLPG]]+knicks_players_all_stats[[#This Row],[REBPG]]</f>
        <v>0.5</v>
      </c>
      <c r="AL357" s="1">
        <f>knicks_players_all_stats[[#This Row],[TOV2]]/10</f>
        <v>7</v>
      </c>
      <c r="AM357" s="4">
        <f>knicks_players_all_stats[[#This Row],[TOV]]/knicks_players_all_stats[[#This Row],[GP]]</f>
        <v>0.58333333333333337</v>
      </c>
      <c r="AN357" s="1">
        <v>9</v>
      </c>
      <c r="AO357" s="1">
        <f>knicks_players_all_stats[[#This Row],[PF]]/knicks_players_all_stats[[#This Row],[GP]]</f>
        <v>0.75</v>
      </c>
      <c r="AP357" s="1">
        <v>43</v>
      </c>
      <c r="AQ357" s="4">
        <f>knicks_players_all_stats[[#This Row],[PTS]]/knicks_players_all_stats[[#This Row],[GP]]</f>
        <v>3.5833333333333335</v>
      </c>
    </row>
    <row r="358" spans="1:43" customFormat="1" x14ac:dyDescent="0.3">
      <c r="A358" s="1" t="s">
        <v>1317</v>
      </c>
      <c r="B358" s="1" t="s">
        <v>1281</v>
      </c>
      <c r="C358" s="1" t="str">
        <f>knicks_players_all_stats[[#This Row],[NAME]]&amp;" ("&amp;knicks_players_all_stats[[#This Row],[SEASON]]&amp;")"</f>
        <v>Maurice Ndour (2016-17)</v>
      </c>
      <c r="D358" s="1">
        <f>knicks_players_all_stats[[#This Row],[PLAYER_AGE]]/10</f>
        <v>25</v>
      </c>
      <c r="E358">
        <v>250</v>
      </c>
      <c r="F358" s="1">
        <v>32</v>
      </c>
      <c r="G358" s="1">
        <v>3310</v>
      </c>
      <c r="H35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97</v>
      </c>
      <c r="I358" s="4">
        <f>knicks_players_all_stats[[#This Row],[VALORATION]]/knicks_players_all_stats[[#This Row],[GP]]</f>
        <v>3.03125</v>
      </c>
      <c r="J358" s="1">
        <v>39</v>
      </c>
      <c r="K358" s="1">
        <v>86</v>
      </c>
      <c r="L358" s="2">
        <f>knicks_players_all_stats[[#This Row],[FGM]]/knicks_players_all_stats[[#This Row],[FGA]]</f>
        <v>0.45348837209302323</v>
      </c>
      <c r="M358" s="16">
        <f>knicks_players_all_stats[[#This Row],[FG3M2]]/10</f>
        <v>1</v>
      </c>
      <c r="N358" s="1">
        <v>10</v>
      </c>
      <c r="O358" s="1">
        <f>knicks_players_all_stats[[#This Row],[FG3A2]]/10</f>
        <v>7</v>
      </c>
      <c r="P358" s="1">
        <v>70</v>
      </c>
      <c r="Q358" s="2">
        <f>knicks_players_all_stats[[#This Row],[FG3M2]]/knicks_players_all_stats[[#This Row],[FG3A2]]</f>
        <v>0.14285714285714285</v>
      </c>
      <c r="R358" s="1">
        <v>19</v>
      </c>
      <c r="S358" s="1">
        <v>26</v>
      </c>
      <c r="T358" s="3">
        <f>knicks_players_all_stats[[#This Row],[FTM]]/knicks_players_all_stats[[#This Row],[FTA]]</f>
        <v>0.73076923076923073</v>
      </c>
      <c r="U358" s="1">
        <f>knicks_players_all_stats[[#This Row],[OREB22]]/10</f>
        <v>22</v>
      </c>
      <c r="V358" s="1">
        <f>knicks_players_all_stats[[#This Row],[DREB33]]/10</f>
        <v>42</v>
      </c>
      <c r="W358" s="1">
        <f>knicks_players_all_stats[[#This Row],[REB44]]/10</f>
        <v>64</v>
      </c>
      <c r="X358">
        <v>220</v>
      </c>
      <c r="Y358">
        <v>420</v>
      </c>
      <c r="Z358">
        <v>640</v>
      </c>
      <c r="AA358" s="14">
        <f>knicks_players_all_stats[[#This Row],[REB]]/knicks_players_all_stats[[#This Row],[GP]]</f>
        <v>2</v>
      </c>
      <c r="AB358" s="1">
        <v>8</v>
      </c>
      <c r="AC358" s="4">
        <f>knicks_players_all_stats[[#This Row],[AST]]/knicks_players_all_stats[[#This Row],[GP]]</f>
        <v>0.25</v>
      </c>
      <c r="AD358" s="1">
        <f>knicks_players_all_stats[[#This Row],[STL2]]/10</f>
        <v>15</v>
      </c>
      <c r="AE358" s="1">
        <v>150</v>
      </c>
      <c r="AF358" s="4">
        <f>knicks_players_all_stats[[#This Row],[STL]]/knicks_players_all_stats[[#This Row],[GP]]</f>
        <v>0.46875</v>
      </c>
      <c r="AG358">
        <v>80</v>
      </c>
      <c r="AH358" s="1">
        <f>knicks_players_all_stats[[#This Row],[BLK2]]/10</f>
        <v>8</v>
      </c>
      <c r="AI358" s="4">
        <f>knicks_players_all_stats[[#This Row],[BLK]]/knicks_players_all_stats[[#This Row],[GP]]</f>
        <v>0.25</v>
      </c>
      <c r="AJ358">
        <v>120</v>
      </c>
      <c r="AK358" s="4">
        <f>knicks_players_all_stats[[#This Row],[BLKPG]]+knicks_players_all_stats[[#This Row],[STLPG]]+knicks_players_all_stats[[#This Row],[REBPG]]</f>
        <v>2.71875</v>
      </c>
      <c r="AL358" s="1">
        <f>knicks_players_all_stats[[#This Row],[TOV2]]/10</f>
        <v>12</v>
      </c>
      <c r="AM358" s="4">
        <f>knicks_players_all_stats[[#This Row],[TOV]]/knicks_players_all_stats[[#This Row],[GP]]</f>
        <v>0.375</v>
      </c>
      <c r="AN358" s="1">
        <v>30</v>
      </c>
      <c r="AO358" s="1">
        <f>knicks_players_all_stats[[#This Row],[PF]]/knicks_players_all_stats[[#This Row],[GP]]</f>
        <v>0.9375</v>
      </c>
      <c r="AP358" s="1">
        <v>98</v>
      </c>
      <c r="AQ358" s="4">
        <f>knicks_players_all_stats[[#This Row],[PTS]]/knicks_players_all_stats[[#This Row],[GP]]</f>
        <v>3.0625</v>
      </c>
    </row>
    <row r="359" spans="1:43" customFormat="1" x14ac:dyDescent="0.3">
      <c r="A359" s="1" t="s">
        <v>1636</v>
      </c>
      <c r="B359" s="1" t="s">
        <v>1289</v>
      </c>
      <c r="C359" s="1" t="str">
        <f>knicks_players_all_stats[[#This Row],[NAME]]&amp;" ("&amp;knicks_players_all_stats[[#This Row],[SEASON]]&amp;")"</f>
        <v>Ignas Brazdeikis (2020-21)</v>
      </c>
      <c r="D359" s="1">
        <f>knicks_players_all_stats[[#This Row],[PLAYER_AGE]]/10</f>
        <v>22</v>
      </c>
      <c r="E359">
        <v>220</v>
      </c>
      <c r="F359" s="1">
        <v>4</v>
      </c>
      <c r="G359" s="1">
        <v>70</v>
      </c>
      <c r="H35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59" s="4">
        <f>knicks_players_all_stats[[#This Row],[VALORATION]]/knicks_players_all_stats[[#This Row],[GP]]</f>
        <v>0.75</v>
      </c>
      <c r="J359" s="1">
        <v>0</v>
      </c>
      <c r="K359" s="1">
        <v>1</v>
      </c>
      <c r="L359" s="2">
        <f>knicks_players_all_stats[[#This Row],[FGM]]/knicks_players_all_stats[[#This Row],[FGA]]</f>
        <v>0</v>
      </c>
      <c r="M359" s="16">
        <f>knicks_players_all_stats[[#This Row],[FG3M2]]/10</f>
        <v>0</v>
      </c>
      <c r="N359" s="1">
        <v>0</v>
      </c>
      <c r="O359" s="1">
        <f>knicks_players_all_stats[[#This Row],[FG3A2]]/10</f>
        <v>0</v>
      </c>
      <c r="P359" s="1">
        <v>0</v>
      </c>
      <c r="Q359" s="2" t="e">
        <f>knicks_players_all_stats[[#This Row],[FG3M2]]/knicks_players_all_stats[[#This Row],[FG3A2]]</f>
        <v>#DIV/0!</v>
      </c>
      <c r="R359" s="1">
        <v>2</v>
      </c>
      <c r="S359" s="1">
        <v>2</v>
      </c>
      <c r="T359" s="3">
        <f>knicks_players_all_stats[[#This Row],[FTM]]/knicks_players_all_stats[[#This Row],[FTA]]</f>
        <v>1</v>
      </c>
      <c r="U359" s="1">
        <f>knicks_players_all_stats[[#This Row],[OREB22]]/10</f>
        <v>1</v>
      </c>
      <c r="V359" s="1">
        <f>knicks_players_all_stats[[#This Row],[DREB33]]/10</f>
        <v>1</v>
      </c>
      <c r="W359" s="1">
        <f>knicks_players_all_stats[[#This Row],[REB44]]/10</f>
        <v>2</v>
      </c>
      <c r="X359">
        <v>10</v>
      </c>
      <c r="Y359">
        <v>10</v>
      </c>
      <c r="Z359">
        <v>20</v>
      </c>
      <c r="AA359" s="14">
        <f>knicks_players_all_stats[[#This Row],[REB]]/knicks_players_all_stats[[#This Row],[GP]]</f>
        <v>0.5</v>
      </c>
      <c r="AB359" s="1">
        <v>1</v>
      </c>
      <c r="AC359" s="4">
        <f>knicks_players_all_stats[[#This Row],[AST]]/knicks_players_all_stats[[#This Row],[GP]]</f>
        <v>0.25</v>
      </c>
      <c r="AD359" s="1">
        <f>knicks_players_all_stats[[#This Row],[STL2]]/10</f>
        <v>0</v>
      </c>
      <c r="AE359" s="1">
        <v>0</v>
      </c>
      <c r="AF359" s="4">
        <f>knicks_players_all_stats[[#This Row],[STL]]/knicks_players_all_stats[[#This Row],[GP]]</f>
        <v>0</v>
      </c>
      <c r="AG359">
        <v>0</v>
      </c>
      <c r="AH359" s="1">
        <f>knicks_players_all_stats[[#This Row],[BLK2]]/10</f>
        <v>0</v>
      </c>
      <c r="AI359" s="4">
        <f>knicks_players_all_stats[[#This Row],[BLK]]/knicks_players_all_stats[[#This Row],[GP]]</f>
        <v>0</v>
      </c>
      <c r="AJ359">
        <v>10</v>
      </c>
      <c r="AK359" s="4">
        <f>knicks_players_all_stats[[#This Row],[BLKPG]]+knicks_players_all_stats[[#This Row],[STLPG]]+knicks_players_all_stats[[#This Row],[REBPG]]</f>
        <v>0.5</v>
      </c>
      <c r="AL359" s="1">
        <f>knicks_players_all_stats[[#This Row],[TOV2]]/10</f>
        <v>1</v>
      </c>
      <c r="AM359" s="4">
        <f>knicks_players_all_stats[[#This Row],[TOV]]/knicks_players_all_stats[[#This Row],[GP]]</f>
        <v>0.25</v>
      </c>
      <c r="AN359" s="1">
        <v>0</v>
      </c>
      <c r="AO359" s="1">
        <f>knicks_players_all_stats[[#This Row],[PF]]/knicks_players_all_stats[[#This Row],[GP]]</f>
        <v>0</v>
      </c>
      <c r="AP359" s="1">
        <v>2</v>
      </c>
      <c r="AQ359" s="4">
        <f>knicks_players_all_stats[[#This Row],[PTS]]/knicks_players_all_stats[[#This Row],[GP]]</f>
        <v>0.5</v>
      </c>
    </row>
    <row r="360" spans="1:43" x14ac:dyDescent="0.3">
      <c r="A360" s="1" t="s">
        <v>1616</v>
      </c>
      <c r="B360" s="1" t="s">
        <v>1308</v>
      </c>
      <c r="C360" s="1" t="str">
        <f>knicks_players_all_stats[[#This Row],[NAME]]&amp;" ("&amp;knicks_players_all_stats[[#This Row],[SEASON]]&amp;")"</f>
        <v>Kevin Knox II (2021-22)</v>
      </c>
      <c r="D360" s="1">
        <f>knicks_players_all_stats[[#This Row],[PLAYER_AGE]]/10</f>
        <v>22</v>
      </c>
      <c r="E360">
        <v>220</v>
      </c>
      <c r="F360" s="1">
        <v>13</v>
      </c>
      <c r="G360" s="1">
        <v>1110</v>
      </c>
      <c r="H36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37</v>
      </c>
      <c r="I360" s="4">
        <f>knicks_players_all_stats[[#This Row],[VALORATION]]/knicks_players_all_stats[[#This Row],[GP]]</f>
        <v>2.8461538461538463</v>
      </c>
      <c r="J360" s="1">
        <v>15</v>
      </c>
      <c r="K360" s="1">
        <v>40</v>
      </c>
      <c r="L360" s="2">
        <f>knicks_players_all_stats[[#This Row],[FGM]]/knicks_players_all_stats[[#This Row],[FGA]]</f>
        <v>0.375</v>
      </c>
      <c r="M360" s="16">
        <f>knicks_players_all_stats[[#This Row],[FG3M2]]/10</f>
        <v>10</v>
      </c>
      <c r="N360" s="1">
        <v>100</v>
      </c>
      <c r="O360" s="1">
        <f>knicks_players_all_stats[[#This Row],[FG3A2]]/10</f>
        <v>28</v>
      </c>
      <c r="P360" s="1">
        <v>280</v>
      </c>
      <c r="Q360" s="2">
        <f>knicks_players_all_stats[[#This Row],[FG3M2]]/knicks_players_all_stats[[#This Row],[FG3A2]]</f>
        <v>0.35714285714285715</v>
      </c>
      <c r="R360" s="1">
        <v>7</v>
      </c>
      <c r="S360" s="1">
        <v>10</v>
      </c>
      <c r="T360" s="3">
        <f>knicks_players_all_stats[[#This Row],[FTM]]/knicks_players_all_stats[[#This Row],[FTA]]</f>
        <v>0.7</v>
      </c>
      <c r="U360" s="1">
        <f>knicks_players_all_stats[[#This Row],[OREB22]]/10</f>
        <v>8</v>
      </c>
      <c r="V360" s="1">
        <f>knicks_players_all_stats[[#This Row],[DREB33]]/10</f>
        <v>14</v>
      </c>
      <c r="W360" s="1">
        <f>knicks_players_all_stats[[#This Row],[REB44]]/10</f>
        <v>22</v>
      </c>
      <c r="X360">
        <v>80</v>
      </c>
      <c r="Y360">
        <v>140</v>
      </c>
      <c r="Z360">
        <v>220</v>
      </c>
      <c r="AA360" s="14">
        <f>knicks_players_all_stats[[#This Row],[REB]]/knicks_players_all_stats[[#This Row],[GP]]</f>
        <v>1.6923076923076923</v>
      </c>
      <c r="AB360" s="1">
        <v>3</v>
      </c>
      <c r="AC360" s="4">
        <f>knicks_players_all_stats[[#This Row],[AST]]/knicks_players_all_stats[[#This Row],[GP]]</f>
        <v>0.23076923076923078</v>
      </c>
      <c r="AD360" s="1">
        <f>knicks_players_all_stats[[#This Row],[STL2]]/10</f>
        <v>2</v>
      </c>
      <c r="AE360" s="1">
        <v>20</v>
      </c>
      <c r="AF360" s="4">
        <f>knicks_players_all_stats[[#This Row],[STL]]/knicks_players_all_stats[[#This Row],[GP]]</f>
        <v>0.15384615384615385</v>
      </c>
      <c r="AG360">
        <v>10</v>
      </c>
      <c r="AH360" s="1">
        <f>knicks_players_all_stats[[#This Row],[BLK2]]/10</f>
        <v>1</v>
      </c>
      <c r="AI360" s="4">
        <f>knicks_players_all_stats[[#This Row],[BLK]]/knicks_players_all_stats[[#This Row],[GP]]</f>
        <v>7.6923076923076927E-2</v>
      </c>
      <c r="AJ360">
        <v>50</v>
      </c>
      <c r="AK360" s="4">
        <f>knicks_players_all_stats[[#This Row],[BLKPG]]+knicks_players_all_stats[[#This Row],[STLPG]]+knicks_players_all_stats[[#This Row],[REBPG]]</f>
        <v>1.9230769230769231</v>
      </c>
      <c r="AL360" s="1">
        <f>knicks_players_all_stats[[#This Row],[TOV2]]/10</f>
        <v>5</v>
      </c>
      <c r="AM360" s="4">
        <f>knicks_players_all_stats[[#This Row],[TOV]]/knicks_players_all_stats[[#This Row],[GP]]</f>
        <v>0.38461538461538464</v>
      </c>
      <c r="AN360" s="1">
        <v>5</v>
      </c>
      <c r="AO360" s="1">
        <f>knicks_players_all_stats[[#This Row],[PF]]/knicks_players_all_stats[[#This Row],[GP]]</f>
        <v>0.38461538461538464</v>
      </c>
      <c r="AP360" s="1">
        <v>47</v>
      </c>
      <c r="AQ360" s="4">
        <f>knicks_players_all_stats[[#This Row],[PTS]]/knicks_players_all_stats[[#This Row],[GP]]</f>
        <v>3.6153846153846154</v>
      </c>
    </row>
    <row r="361" spans="1:43" x14ac:dyDescent="0.3">
      <c r="A361" s="1" t="s">
        <v>1291</v>
      </c>
      <c r="B361" s="1" t="s">
        <v>1290</v>
      </c>
      <c r="C361" s="1" t="str">
        <f>knicks_players_all_stats[[#This Row],[NAME]]&amp;" ("&amp;knicks_players_all_stats[[#This Row],[SEASON]]&amp;")"</f>
        <v>Steve Novak (2011-12)</v>
      </c>
      <c r="D361" s="1">
        <f>knicks_players_all_stats[[#This Row],[PLAYER_AGE]]/10</f>
        <v>29</v>
      </c>
      <c r="E361">
        <v>290</v>
      </c>
      <c r="F361" s="1">
        <v>54</v>
      </c>
      <c r="G361" s="1">
        <v>10200</v>
      </c>
      <c r="H36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358</v>
      </c>
      <c r="I361" s="4">
        <f>knicks_players_all_stats[[#This Row],[VALORATION]]/knicks_players_all_stats[[#This Row],[GP]]</f>
        <v>6.6296296296296298</v>
      </c>
      <c r="J361" s="1">
        <v>161</v>
      </c>
      <c r="K361" s="1">
        <v>337</v>
      </c>
      <c r="L361" s="2">
        <f>knicks_players_all_stats[[#This Row],[FGM]]/knicks_players_all_stats[[#This Row],[FGA]]</f>
        <v>0.47774480712166173</v>
      </c>
      <c r="M361" s="16">
        <f>knicks_players_all_stats[[#This Row],[FG3M2]]/10</f>
        <v>133</v>
      </c>
      <c r="N361" s="1">
        <v>1330</v>
      </c>
      <c r="O361" s="1">
        <f>knicks_players_all_stats[[#This Row],[FG3A2]]/10</f>
        <v>282</v>
      </c>
      <c r="P361" s="1">
        <v>2820</v>
      </c>
      <c r="Q361" s="2">
        <f>knicks_players_all_stats[[#This Row],[FG3M2]]/knicks_players_all_stats[[#This Row],[FG3A2]]</f>
        <v>0.47163120567375888</v>
      </c>
      <c r="R361" s="1">
        <v>22</v>
      </c>
      <c r="S361" s="1">
        <v>26</v>
      </c>
      <c r="T361" s="3">
        <f>knicks_players_all_stats[[#This Row],[FTM]]/knicks_players_all_stats[[#This Row],[FTA]]</f>
        <v>0.84615384615384615</v>
      </c>
      <c r="U361" s="1">
        <f>knicks_players_all_stats[[#This Row],[OREB22]]/10</f>
        <v>9</v>
      </c>
      <c r="V361" s="1">
        <f>knicks_players_all_stats[[#This Row],[DREB33]]/10</f>
        <v>95</v>
      </c>
      <c r="W361" s="1">
        <f>knicks_players_all_stats[[#This Row],[REB44]]/10</f>
        <v>104</v>
      </c>
      <c r="X361">
        <v>90</v>
      </c>
      <c r="Y361">
        <v>950</v>
      </c>
      <c r="Z361">
        <v>1040</v>
      </c>
      <c r="AA361" s="14">
        <f>knicks_players_all_stats[[#This Row],[REB]]/knicks_players_all_stats[[#This Row],[GP]]</f>
        <v>1.9259259259259258</v>
      </c>
      <c r="AB361" s="1">
        <v>12</v>
      </c>
      <c r="AC361" s="4">
        <f>knicks_players_all_stats[[#This Row],[AST]]/knicks_players_all_stats[[#This Row],[GP]]</f>
        <v>0.22222222222222221</v>
      </c>
      <c r="AD361" s="1">
        <f>knicks_players_all_stats[[#This Row],[STL2]]/10</f>
        <v>16</v>
      </c>
      <c r="AE361" s="1">
        <v>160</v>
      </c>
      <c r="AF361" s="4">
        <f>knicks_players_all_stats[[#This Row],[STL]]/knicks_players_all_stats[[#This Row],[GP]]</f>
        <v>0.29629629629629628</v>
      </c>
      <c r="AG361">
        <v>90</v>
      </c>
      <c r="AH361" s="1">
        <f>knicks_players_all_stats[[#This Row],[BLK2]]/10</f>
        <v>9</v>
      </c>
      <c r="AI361" s="4">
        <f>knicks_players_all_stats[[#This Row],[BLK]]/knicks_players_all_stats[[#This Row],[GP]]</f>
        <v>0.16666666666666666</v>
      </c>
      <c r="AJ361">
        <v>210</v>
      </c>
      <c r="AK361" s="4">
        <f>knicks_players_all_stats[[#This Row],[BLKPG]]+knicks_players_all_stats[[#This Row],[STLPG]]+knicks_players_all_stats[[#This Row],[REBPG]]</f>
        <v>2.3888888888888888</v>
      </c>
      <c r="AL361" s="1">
        <f>knicks_players_all_stats[[#This Row],[TOV2]]/10</f>
        <v>21</v>
      </c>
      <c r="AM361" s="4">
        <f>knicks_players_all_stats[[#This Row],[TOV]]/knicks_players_all_stats[[#This Row],[GP]]</f>
        <v>0.3888888888888889</v>
      </c>
      <c r="AN361" s="1">
        <v>59</v>
      </c>
      <c r="AO361" s="1">
        <f>knicks_players_all_stats[[#This Row],[PF]]/knicks_players_all_stats[[#This Row],[GP]]</f>
        <v>1.0925925925925926</v>
      </c>
      <c r="AP361" s="1">
        <v>477</v>
      </c>
      <c r="AQ361" s="4">
        <f>knicks_players_all_stats[[#This Row],[PTS]]/knicks_players_all_stats[[#This Row],[GP]]</f>
        <v>8.8333333333333339</v>
      </c>
    </row>
    <row r="362" spans="1:43" customFormat="1" x14ac:dyDescent="0.3">
      <c r="A362" s="1" t="s">
        <v>1755</v>
      </c>
      <c r="B362" s="1" t="s">
        <v>1337</v>
      </c>
      <c r="C362" s="1" t="str">
        <f>knicks_players_all_stats[[#This Row],[NAME]]&amp;" ("&amp;knicks_players_all_stats[[#This Row],[SEASON]]&amp;")"</f>
        <v>Earl Clark (2013-14)</v>
      </c>
      <c r="D362" s="1">
        <f>knicks_players_all_stats[[#This Row],[PLAYER_AGE]]/10</f>
        <v>26</v>
      </c>
      <c r="E362">
        <v>260</v>
      </c>
      <c r="F362" s="1">
        <v>9</v>
      </c>
      <c r="G362" s="1">
        <v>700</v>
      </c>
      <c r="H36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25</v>
      </c>
      <c r="I362" s="4">
        <f>knicks_players_all_stats[[#This Row],[VALORATION]]/knicks_players_all_stats[[#This Row],[GP]]</f>
        <v>2.7777777777777777</v>
      </c>
      <c r="J362" s="1">
        <v>7</v>
      </c>
      <c r="K362" s="1">
        <v>21</v>
      </c>
      <c r="L362" s="1">
        <v>333</v>
      </c>
      <c r="M362" s="4">
        <f>knicks_players_all_stats[[#This Row],[FG3M2]]/10</f>
        <v>1</v>
      </c>
      <c r="N362" s="1">
        <v>10</v>
      </c>
      <c r="O362" s="1">
        <f>knicks_players_all_stats[[#This Row],[FG3A2]]/10</f>
        <v>6</v>
      </c>
      <c r="P362" s="1">
        <v>60</v>
      </c>
      <c r="Q362" s="2">
        <f>knicks_players_all_stats[[#This Row],[FG3M2]]/knicks_players_all_stats[[#This Row],[FG3A2]]</f>
        <v>0.16666666666666666</v>
      </c>
      <c r="R362" s="1">
        <v>8</v>
      </c>
      <c r="S362" s="1">
        <v>10</v>
      </c>
      <c r="T362" s="3">
        <f>knicks_players_all_stats[[#This Row],[FTM]]/knicks_players_all_stats[[#This Row],[FTA]]</f>
        <v>0.8</v>
      </c>
      <c r="U362" s="1">
        <f>knicks_players_all_stats[[#This Row],[OREB22]]/10</f>
        <v>2</v>
      </c>
      <c r="V362" s="1">
        <f>knicks_players_all_stats[[#This Row],[DREB33]]/10</f>
        <v>14</v>
      </c>
      <c r="W362" s="1">
        <f>knicks_players_all_stats[[#This Row],[REB44]]/10</f>
        <v>16</v>
      </c>
      <c r="X362">
        <v>20</v>
      </c>
      <c r="Y362">
        <v>140</v>
      </c>
      <c r="Z362">
        <v>160</v>
      </c>
      <c r="AA362" s="14">
        <f>knicks_players_all_stats[[#This Row],[REB]]/knicks_players_all_stats[[#This Row],[GP]]</f>
        <v>1.7777777777777777</v>
      </c>
      <c r="AB362" s="1">
        <v>2</v>
      </c>
      <c r="AC362" s="4">
        <f>knicks_players_all_stats[[#This Row],[AST]]/knicks_players_all_stats[[#This Row],[GP]]</f>
        <v>0.22222222222222221</v>
      </c>
      <c r="AD362" s="1">
        <f>knicks_players_all_stats[[#This Row],[STL2]]/10</f>
        <v>1</v>
      </c>
      <c r="AE362" s="1">
        <v>10</v>
      </c>
      <c r="AF362" s="4">
        <f>knicks_players_all_stats[[#This Row],[STL]]/knicks_players_all_stats[[#This Row],[GP]]</f>
        <v>0.1111111111111111</v>
      </c>
      <c r="AG362">
        <v>60</v>
      </c>
      <c r="AH362" s="1">
        <f>knicks_players_all_stats[[#This Row],[BLK2]]/10</f>
        <v>6</v>
      </c>
      <c r="AI362" s="4">
        <f>knicks_players_all_stats[[#This Row],[BLK]]/knicks_players_all_stats[[#This Row],[GP]]</f>
        <v>0.66666666666666663</v>
      </c>
      <c r="AJ362">
        <v>10</v>
      </c>
      <c r="AK362" s="4">
        <f>knicks_players_all_stats[[#This Row],[BLKPG]]+knicks_players_all_stats[[#This Row],[STLPG]]+knicks_players_all_stats[[#This Row],[REBPG]]</f>
        <v>2.5555555555555554</v>
      </c>
      <c r="AL362" s="1">
        <f>knicks_players_all_stats[[#This Row],[TOV2]]/10</f>
        <v>1</v>
      </c>
      <c r="AM362" s="4">
        <f>knicks_players_all_stats[[#This Row],[TOV]]/knicks_players_all_stats[[#This Row],[GP]]</f>
        <v>0.1111111111111111</v>
      </c>
      <c r="AN362" s="1">
        <v>6</v>
      </c>
      <c r="AO362" s="1">
        <f>knicks_players_all_stats[[#This Row],[PF]]/knicks_players_all_stats[[#This Row],[GP]]</f>
        <v>0.66666666666666663</v>
      </c>
      <c r="AP362" s="1">
        <v>23</v>
      </c>
      <c r="AQ362" s="4">
        <f>knicks_players_all_stats[[#This Row],[PTS]]/knicks_players_all_stats[[#This Row],[GP]]</f>
        <v>2.5555555555555554</v>
      </c>
    </row>
    <row r="363" spans="1:43" customFormat="1" x14ac:dyDescent="0.3">
      <c r="A363" s="1" t="s">
        <v>1592</v>
      </c>
      <c r="B363" s="1" t="s">
        <v>1330</v>
      </c>
      <c r="C363" s="1" t="str">
        <f>knicks_players_all_stats[[#This Row],[NAME]]&amp;" ("&amp;knicks_players_all_stats[[#This Row],[SEASON]]&amp;")"</f>
        <v>Lavor Postell (2001-02)</v>
      </c>
      <c r="D363" s="1">
        <f>knicks_players_all_stats[[#This Row],[PLAYER_AGE]]/10</f>
        <v>24</v>
      </c>
      <c r="E363">
        <v>240</v>
      </c>
      <c r="F363" s="1">
        <v>23</v>
      </c>
      <c r="G363" s="1">
        <v>1780</v>
      </c>
      <c r="H36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36</v>
      </c>
      <c r="I363" s="4">
        <f>knicks_players_all_stats[[#This Row],[VALORATION]]/knicks_players_all_stats[[#This Row],[GP]]</f>
        <v>1.5652173913043479</v>
      </c>
      <c r="J363" s="1">
        <v>28</v>
      </c>
      <c r="K363" s="1">
        <v>84</v>
      </c>
      <c r="L363" s="2">
        <f>knicks_players_all_stats[[#This Row],[FGM]]/knicks_players_all_stats[[#This Row],[FGA]]</f>
        <v>0.33333333333333331</v>
      </c>
      <c r="M363" s="16">
        <f>knicks_players_all_stats[[#This Row],[FG3M2]]/10</f>
        <v>6</v>
      </c>
      <c r="N363" s="1">
        <v>60</v>
      </c>
      <c r="O363" s="1">
        <f>knicks_players_all_stats[[#This Row],[FG3A2]]/10</f>
        <v>26</v>
      </c>
      <c r="P363" s="1">
        <v>260</v>
      </c>
      <c r="Q363" s="2">
        <f>knicks_players_all_stats[[#This Row],[FG3M2]]/knicks_players_all_stats[[#This Row],[FG3A2]]</f>
        <v>0.23076923076923078</v>
      </c>
      <c r="R363" s="1">
        <v>31</v>
      </c>
      <c r="S363" s="1">
        <v>41</v>
      </c>
      <c r="T363" s="3">
        <f>knicks_players_all_stats[[#This Row],[FTM]]/knicks_players_all_stats[[#This Row],[FTA]]</f>
        <v>0.75609756097560976</v>
      </c>
      <c r="U363" s="1">
        <f>knicks_players_all_stats[[#This Row],[OREB22]]/10</f>
        <v>2</v>
      </c>
      <c r="V363" s="1">
        <f>knicks_players_all_stats[[#This Row],[DREB33]]/10</f>
        <v>14</v>
      </c>
      <c r="W363" s="1">
        <f>knicks_players_all_stats[[#This Row],[REB44]]/10</f>
        <v>16</v>
      </c>
      <c r="X363">
        <v>20</v>
      </c>
      <c r="Y363">
        <v>140</v>
      </c>
      <c r="Z363">
        <v>160</v>
      </c>
      <c r="AA363" s="14">
        <f>knicks_players_all_stats[[#This Row],[REB]]/knicks_players_all_stats[[#This Row],[GP]]</f>
        <v>0.69565217391304346</v>
      </c>
      <c r="AB363" s="1">
        <v>5</v>
      </c>
      <c r="AC363" s="4">
        <f>knicks_players_all_stats[[#This Row],[AST]]/knicks_players_all_stats[[#This Row],[GP]]</f>
        <v>0.21739130434782608</v>
      </c>
      <c r="AD363" s="1">
        <f>knicks_players_all_stats[[#This Row],[STL2]]/10</f>
        <v>6</v>
      </c>
      <c r="AE363" s="1">
        <v>60</v>
      </c>
      <c r="AF363" s="4">
        <f>knicks_players_all_stats[[#This Row],[STL]]/knicks_players_all_stats[[#This Row],[GP]]</f>
        <v>0.2608695652173913</v>
      </c>
      <c r="AG363">
        <v>0</v>
      </c>
      <c r="AH363" s="1">
        <f>knicks_players_all_stats[[#This Row],[BLK2]]/10</f>
        <v>0</v>
      </c>
      <c r="AI363" s="4">
        <f>knicks_players_all_stats[[#This Row],[BLK]]/knicks_players_all_stats[[#This Row],[GP]]</f>
        <v>0</v>
      </c>
      <c r="AJ363">
        <v>110</v>
      </c>
      <c r="AK363" s="4">
        <f>knicks_players_all_stats[[#This Row],[BLKPG]]+knicks_players_all_stats[[#This Row],[STLPG]]+knicks_players_all_stats[[#This Row],[REBPG]]</f>
        <v>0.95652173913043481</v>
      </c>
      <c r="AL363" s="1">
        <f>knicks_players_all_stats[[#This Row],[TOV2]]/10</f>
        <v>11</v>
      </c>
      <c r="AM363" s="4">
        <f>knicks_players_all_stats[[#This Row],[TOV]]/knicks_players_all_stats[[#This Row],[GP]]</f>
        <v>0.47826086956521741</v>
      </c>
      <c r="AN363" s="1">
        <v>7</v>
      </c>
      <c r="AO363" s="1">
        <f>knicks_players_all_stats[[#This Row],[PF]]/knicks_players_all_stats[[#This Row],[GP]]</f>
        <v>0.30434782608695654</v>
      </c>
      <c r="AP363" s="1">
        <v>93</v>
      </c>
      <c r="AQ363" s="4">
        <f>knicks_players_all_stats[[#This Row],[PTS]]/knicks_players_all_stats[[#This Row],[GP]]</f>
        <v>4.0434782608695654</v>
      </c>
    </row>
    <row r="364" spans="1:43" x14ac:dyDescent="0.3">
      <c r="A364" s="1" t="s">
        <v>1601</v>
      </c>
      <c r="B364" s="1" t="s">
        <v>1337</v>
      </c>
      <c r="C364" s="1" t="str">
        <f>knicks_players_all_stats[[#This Row],[NAME]]&amp;" ("&amp;knicks_players_all_stats[[#This Row],[SEASON]]&amp;")"</f>
        <v>Shannon Brown (2013-14)</v>
      </c>
      <c r="D364" s="1">
        <f>knicks_players_all_stats[[#This Row],[PLAYER_AGE]]/10</f>
        <v>28</v>
      </c>
      <c r="E364">
        <v>280</v>
      </c>
      <c r="F364" s="1">
        <v>19</v>
      </c>
      <c r="G364" s="1">
        <v>1480</v>
      </c>
      <c r="H36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</v>
      </c>
      <c r="I364" s="4">
        <f>knicks_players_all_stats[[#This Row],[VALORATION]]/knicks_players_all_stats[[#This Row],[GP]]</f>
        <v>1.2105263157894737</v>
      </c>
      <c r="J364" s="1">
        <v>16</v>
      </c>
      <c r="K364" s="1">
        <v>38</v>
      </c>
      <c r="L364" s="2">
        <f>knicks_players_all_stats[[#This Row],[FGM]]/knicks_players_all_stats[[#This Row],[FGA]]</f>
        <v>0.42105263157894735</v>
      </c>
      <c r="M364" s="16">
        <f>knicks_players_all_stats[[#This Row],[FG3M2]]/10</f>
        <v>0</v>
      </c>
      <c r="N364" s="1">
        <v>0</v>
      </c>
      <c r="O364" s="1">
        <f>knicks_players_all_stats[[#This Row],[FG3A2]]/10</f>
        <v>0</v>
      </c>
      <c r="P364" s="1">
        <v>0</v>
      </c>
      <c r="Q364" s="2" t="e">
        <f>knicks_players_all_stats[[#This Row],[FG3M2]]/knicks_players_all_stats[[#This Row],[FG3A2]]</f>
        <v>#DIV/0!</v>
      </c>
      <c r="R364" s="1">
        <v>8</v>
      </c>
      <c r="S364" s="1">
        <v>12</v>
      </c>
      <c r="T364" s="3">
        <f>knicks_players_all_stats[[#This Row],[FTM]]/knicks_players_all_stats[[#This Row],[FTA]]</f>
        <v>0.66666666666666663</v>
      </c>
      <c r="U364" s="1">
        <f>knicks_players_all_stats[[#This Row],[OREB22]]/10</f>
        <v>6</v>
      </c>
      <c r="V364" s="1">
        <f>knicks_players_all_stats[[#This Row],[DREB33]]/10</f>
        <v>9</v>
      </c>
      <c r="W364" s="1">
        <f>knicks_players_all_stats[[#This Row],[REB44]]/10</f>
        <v>15</v>
      </c>
      <c r="X364">
        <v>60</v>
      </c>
      <c r="Y364">
        <v>90</v>
      </c>
      <c r="Z364">
        <v>150</v>
      </c>
      <c r="AA364" s="14">
        <f>knicks_players_all_stats[[#This Row],[REB]]/knicks_players_all_stats[[#This Row],[GP]]</f>
        <v>0.78947368421052633</v>
      </c>
      <c r="AB364" s="1">
        <v>4</v>
      </c>
      <c r="AC364" s="4">
        <f>knicks_players_all_stats[[#This Row],[AST]]/knicks_players_all_stats[[#This Row],[GP]]</f>
        <v>0.21052631578947367</v>
      </c>
      <c r="AD364" s="1">
        <f>knicks_players_all_stats[[#This Row],[STL2]]/10</f>
        <v>12</v>
      </c>
      <c r="AE364" s="1">
        <v>120</v>
      </c>
      <c r="AF364" s="4">
        <f>knicks_players_all_stats[[#This Row],[STL]]/knicks_players_all_stats[[#This Row],[GP]]</f>
        <v>0.63157894736842102</v>
      </c>
      <c r="AG364">
        <v>0</v>
      </c>
      <c r="AH364" s="1">
        <f>knicks_players_all_stats[[#This Row],[BLK2]]/10</f>
        <v>0</v>
      </c>
      <c r="AI364" s="4">
        <f>knicks_players_all_stats[[#This Row],[BLK]]/knicks_players_all_stats[[#This Row],[GP]]</f>
        <v>0</v>
      </c>
      <c r="AJ364">
        <v>100</v>
      </c>
      <c r="AK364" s="4">
        <f>knicks_players_all_stats[[#This Row],[BLKPG]]+knicks_players_all_stats[[#This Row],[STLPG]]+knicks_players_all_stats[[#This Row],[REBPG]]</f>
        <v>1.4210526315789473</v>
      </c>
      <c r="AL364" s="1">
        <f>knicks_players_all_stats[[#This Row],[TOV2]]/10</f>
        <v>10</v>
      </c>
      <c r="AM364" s="4">
        <f>knicks_players_all_stats[[#This Row],[TOV]]/knicks_players_all_stats[[#This Row],[GP]]</f>
        <v>0.52631578947368418</v>
      </c>
      <c r="AN364" s="1">
        <v>12</v>
      </c>
      <c r="AO364" s="1">
        <f>knicks_players_all_stats[[#This Row],[PF]]/knicks_players_all_stats[[#This Row],[GP]]</f>
        <v>0.63157894736842102</v>
      </c>
      <c r="AP364" s="1">
        <v>40</v>
      </c>
      <c r="AQ364" s="4">
        <f>knicks_players_all_stats[[#This Row],[PTS]]/knicks_players_all_stats[[#This Row],[GP]]</f>
        <v>2.1052631578947367</v>
      </c>
    </row>
    <row r="365" spans="1:43" x14ac:dyDescent="0.3">
      <c r="A365" s="1" t="s">
        <v>1351</v>
      </c>
      <c r="B365" s="1" t="s">
        <v>1302</v>
      </c>
      <c r="C365" s="1" t="str">
        <f>knicks_players_all_stats[[#This Row],[NAME]]&amp;" ("&amp;knicks_players_all_stats[[#This Row],[SEASON]]&amp;")"</f>
        <v>Randolph Morris (2006-07)</v>
      </c>
      <c r="D365" s="1">
        <f>knicks_players_all_stats[[#This Row],[PLAYER_AGE]]/10</f>
        <v>21</v>
      </c>
      <c r="E365">
        <v>210</v>
      </c>
      <c r="F365" s="1">
        <v>5</v>
      </c>
      <c r="G365" s="1">
        <v>440</v>
      </c>
      <c r="H36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</v>
      </c>
      <c r="I365" s="4">
        <f>knicks_players_all_stats[[#This Row],[VALORATION]]/knicks_players_all_stats[[#This Row],[GP]]</f>
        <v>0.4</v>
      </c>
      <c r="J365" s="1">
        <v>1</v>
      </c>
      <c r="K365" s="1">
        <v>6</v>
      </c>
      <c r="L365" s="2">
        <f>knicks_players_all_stats[[#This Row],[FGM]]/knicks_players_all_stats[[#This Row],[FGA]]</f>
        <v>0.16666666666666666</v>
      </c>
      <c r="M365" s="16">
        <f>knicks_players_all_stats[[#This Row],[FG3M2]]/10</f>
        <v>0</v>
      </c>
      <c r="N365" s="1">
        <v>0</v>
      </c>
      <c r="O365" s="1">
        <f>knicks_players_all_stats[[#This Row],[FG3A2]]/10</f>
        <v>0</v>
      </c>
      <c r="P365" s="1">
        <v>0</v>
      </c>
      <c r="Q365" s="2" t="e">
        <f>knicks_players_all_stats[[#This Row],[FG3M2]]/knicks_players_all_stats[[#This Row],[FG3A2]]</f>
        <v>#DIV/0!</v>
      </c>
      <c r="R365" s="1">
        <v>2</v>
      </c>
      <c r="S365" s="1">
        <v>6</v>
      </c>
      <c r="T365" s="3">
        <f>knicks_players_all_stats[[#This Row],[FTM]]/knicks_players_all_stats[[#This Row],[FTA]]</f>
        <v>0.33333333333333331</v>
      </c>
      <c r="U365" s="1">
        <f>knicks_players_all_stats[[#This Row],[OREB22]]/10</f>
        <v>1</v>
      </c>
      <c r="V365" s="1">
        <f>knicks_players_all_stats[[#This Row],[DREB33]]/10</f>
        <v>8</v>
      </c>
      <c r="W365" s="1">
        <f>knicks_players_all_stats[[#This Row],[REB44]]/10</f>
        <v>9</v>
      </c>
      <c r="X365">
        <v>10</v>
      </c>
      <c r="Y365">
        <v>80</v>
      </c>
      <c r="Z365">
        <v>90</v>
      </c>
      <c r="AA365" s="14">
        <f>knicks_players_all_stats[[#This Row],[REB]]/knicks_players_all_stats[[#This Row],[GP]]</f>
        <v>1.8</v>
      </c>
      <c r="AB365" s="1">
        <v>1</v>
      </c>
      <c r="AC365" s="4">
        <f>knicks_players_all_stats[[#This Row],[AST]]/knicks_players_all_stats[[#This Row],[GP]]</f>
        <v>0.2</v>
      </c>
      <c r="AD365" s="1">
        <f>knicks_players_all_stats[[#This Row],[STL2]]/10</f>
        <v>2</v>
      </c>
      <c r="AE365" s="1">
        <v>20</v>
      </c>
      <c r="AF365" s="4">
        <f>knicks_players_all_stats[[#This Row],[STL]]/knicks_players_all_stats[[#This Row],[GP]]</f>
        <v>0.4</v>
      </c>
      <c r="AG365">
        <v>10</v>
      </c>
      <c r="AH365" s="1">
        <f>knicks_players_all_stats[[#This Row],[BLK2]]/10</f>
        <v>1</v>
      </c>
      <c r="AI365" s="4">
        <f>knicks_players_all_stats[[#This Row],[BLK]]/knicks_players_all_stats[[#This Row],[GP]]</f>
        <v>0.2</v>
      </c>
      <c r="AJ365">
        <v>20</v>
      </c>
      <c r="AK365" s="4">
        <f>knicks_players_all_stats[[#This Row],[BLKPG]]+knicks_players_all_stats[[#This Row],[STLPG]]+knicks_players_all_stats[[#This Row],[REBPG]]</f>
        <v>2.4000000000000004</v>
      </c>
      <c r="AL365" s="1">
        <f>knicks_players_all_stats[[#This Row],[TOV2]]/10</f>
        <v>2</v>
      </c>
      <c r="AM365" s="4">
        <f>knicks_players_all_stats[[#This Row],[TOV]]/knicks_players_all_stats[[#This Row],[GP]]</f>
        <v>0.4</v>
      </c>
      <c r="AN365" s="1">
        <v>4</v>
      </c>
      <c r="AO365" s="1">
        <f>knicks_players_all_stats[[#This Row],[PF]]/knicks_players_all_stats[[#This Row],[GP]]</f>
        <v>0.8</v>
      </c>
      <c r="AP365" s="1">
        <v>4</v>
      </c>
      <c r="AQ365" s="4">
        <f>knicks_players_all_stats[[#This Row],[PTS]]/knicks_players_all_stats[[#This Row],[GP]]</f>
        <v>0.8</v>
      </c>
    </row>
    <row r="366" spans="1:43" x14ac:dyDescent="0.3">
      <c r="A366" s="1" t="s">
        <v>1424</v>
      </c>
      <c r="B366" s="1" t="s">
        <v>1369</v>
      </c>
      <c r="C366" s="1" t="str">
        <f>knicks_players_all_stats[[#This Row],[NAME]]&amp;" ("&amp;knicks_players_all_stats[[#This Row],[SEASON]]&amp;")"</f>
        <v>Ryan Arcidiacono (2023-24)</v>
      </c>
      <c r="D366" s="1">
        <f>knicks_players_all_stats[[#This Row],[PLAYER_AGE]]/10</f>
        <v>30</v>
      </c>
      <c r="E366">
        <v>300</v>
      </c>
      <c r="F366" s="1">
        <v>20</v>
      </c>
      <c r="G366" s="1">
        <v>450</v>
      </c>
      <c r="H36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366" s="4">
        <f>knicks_players_all_stats[[#This Row],[VALORATION]]/knicks_players_all_stats[[#This Row],[GP]]</f>
        <v>0.05</v>
      </c>
      <c r="J366" s="1">
        <v>0</v>
      </c>
      <c r="K366" s="1">
        <v>6</v>
      </c>
      <c r="L366" s="2">
        <f>knicks_players_all_stats[[#This Row],[FGM]]/knicks_players_all_stats[[#This Row],[FGA]]</f>
        <v>0</v>
      </c>
      <c r="M366" s="16">
        <f>knicks_players_all_stats[[#This Row],[FG3M2]]/10</f>
        <v>0</v>
      </c>
      <c r="N366" s="1">
        <v>0</v>
      </c>
      <c r="O366" s="1">
        <f>knicks_players_all_stats[[#This Row],[FG3A2]]/10</f>
        <v>6</v>
      </c>
      <c r="P366" s="1">
        <v>60</v>
      </c>
      <c r="Q366" s="2">
        <f>knicks_players_all_stats[[#This Row],[FG3M2]]/knicks_players_all_stats[[#This Row],[FG3A2]]</f>
        <v>0</v>
      </c>
      <c r="R366" s="1">
        <v>0</v>
      </c>
      <c r="S366" s="1">
        <v>0</v>
      </c>
      <c r="T366" s="3" t="e">
        <f>knicks_players_all_stats[[#This Row],[FTM]]/knicks_players_all_stats[[#This Row],[FTA]]</f>
        <v>#DIV/0!</v>
      </c>
      <c r="U366" s="1">
        <f>knicks_players_all_stats[[#This Row],[OREB22]]/10</f>
        <v>0</v>
      </c>
      <c r="V366" s="1">
        <f>knicks_players_all_stats[[#This Row],[DREB33]]/10</f>
        <v>8</v>
      </c>
      <c r="W366" s="1">
        <f>knicks_players_all_stats[[#This Row],[REB44]]/10</f>
        <v>8</v>
      </c>
      <c r="X366">
        <v>0</v>
      </c>
      <c r="Y366">
        <v>80</v>
      </c>
      <c r="Z366">
        <v>80</v>
      </c>
      <c r="AA366" s="14">
        <f>knicks_players_all_stats[[#This Row],[REB]]/knicks_players_all_stats[[#This Row],[GP]]</f>
        <v>0.4</v>
      </c>
      <c r="AB366" s="1">
        <v>4</v>
      </c>
      <c r="AC366" s="4">
        <f>knicks_players_all_stats[[#This Row],[AST]]/knicks_players_all_stats[[#This Row],[GP]]</f>
        <v>0.2</v>
      </c>
      <c r="AD366" s="1">
        <f>knicks_players_all_stats[[#This Row],[STL2]]/10</f>
        <v>2</v>
      </c>
      <c r="AE366" s="1">
        <v>20</v>
      </c>
      <c r="AF366" s="4">
        <f>knicks_players_all_stats[[#This Row],[STL]]/knicks_players_all_stats[[#This Row],[GP]]</f>
        <v>0.1</v>
      </c>
      <c r="AG366">
        <v>0</v>
      </c>
      <c r="AH366" s="1">
        <f>knicks_players_all_stats[[#This Row],[BLK2]]/10</f>
        <v>0</v>
      </c>
      <c r="AI366" s="4">
        <f>knicks_players_all_stats[[#This Row],[BLK]]/knicks_players_all_stats[[#This Row],[GP]]</f>
        <v>0</v>
      </c>
      <c r="AJ366">
        <v>20</v>
      </c>
      <c r="AK366" s="4">
        <f>knicks_players_all_stats[[#This Row],[BLKPG]]+knicks_players_all_stats[[#This Row],[STLPG]]+knicks_players_all_stats[[#This Row],[REBPG]]</f>
        <v>0.5</v>
      </c>
      <c r="AL366" s="1">
        <f>knicks_players_all_stats[[#This Row],[TOV2]]/10</f>
        <v>2</v>
      </c>
      <c r="AM366" s="4">
        <f>knicks_players_all_stats[[#This Row],[TOV]]/knicks_players_all_stats[[#This Row],[GP]]</f>
        <v>0.1</v>
      </c>
      <c r="AN366" s="1">
        <v>5</v>
      </c>
      <c r="AO366" s="1">
        <f>knicks_players_all_stats[[#This Row],[PF]]/knicks_players_all_stats[[#This Row],[GP]]</f>
        <v>0.25</v>
      </c>
      <c r="AP366" s="1">
        <v>0</v>
      </c>
      <c r="AQ366" s="4">
        <f>knicks_players_all_stats[[#This Row],[PTS]]/knicks_players_all_stats[[#This Row],[GP]]</f>
        <v>0</v>
      </c>
    </row>
    <row r="367" spans="1:43" x14ac:dyDescent="0.3">
      <c r="A367" s="1" t="s">
        <v>1805</v>
      </c>
      <c r="B367" s="1" t="s">
        <v>1337</v>
      </c>
      <c r="C367" s="1" t="str">
        <f>knicks_players_all_stats[[#This Row],[NAME]]&amp;" ("&amp;knicks_players_all_stats[[#This Row],[SEASON]]&amp;")"</f>
        <v>Jeremy Tyler (2013-14)</v>
      </c>
      <c r="D367" s="1">
        <f>knicks_players_all_stats[[#This Row],[PLAYER_AGE]]/10</f>
        <v>23</v>
      </c>
      <c r="E367">
        <v>230</v>
      </c>
      <c r="F367" s="1">
        <v>41</v>
      </c>
      <c r="G367" s="1">
        <v>3980</v>
      </c>
      <c r="H36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115</v>
      </c>
      <c r="I367" s="4">
        <f>knicks_players_all_stats[[#This Row],[VALORATION]]/knicks_players_all_stats[[#This Row],[GP]]</f>
        <v>2.8048780487804876</v>
      </c>
      <c r="J367" s="1">
        <v>60</v>
      </c>
      <c r="K367" s="1">
        <v>116</v>
      </c>
      <c r="L367" s="1">
        <v>517</v>
      </c>
      <c r="M367" s="4">
        <f>knicks_players_all_stats[[#This Row],[FG3M2]]/10</f>
        <v>0</v>
      </c>
      <c r="N367" s="1">
        <v>0</v>
      </c>
      <c r="O367" s="1">
        <f>knicks_players_all_stats[[#This Row],[FG3A2]]/10</f>
        <v>0</v>
      </c>
      <c r="P367" s="1">
        <v>0</v>
      </c>
      <c r="Q367" s="2" t="e">
        <f>knicks_players_all_stats[[#This Row],[FG3M2]]/knicks_players_all_stats[[#This Row],[FG3A2]]</f>
        <v>#DIV/0!</v>
      </c>
      <c r="R367" s="1">
        <v>26</v>
      </c>
      <c r="S367" s="1">
        <v>48</v>
      </c>
      <c r="T367" s="3">
        <f>knicks_players_all_stats[[#This Row],[FTM]]/knicks_players_all_stats[[#This Row],[FTA]]</f>
        <v>0.54166666666666663</v>
      </c>
      <c r="U367" s="1">
        <f>knicks_players_all_stats[[#This Row],[OREB22]]/10</f>
        <v>38</v>
      </c>
      <c r="V367" s="1">
        <f>knicks_players_all_stats[[#This Row],[DREB33]]/10</f>
        <v>71</v>
      </c>
      <c r="W367" s="1">
        <f>knicks_players_all_stats[[#This Row],[REB44]]/10</f>
        <v>109</v>
      </c>
      <c r="X367">
        <v>380</v>
      </c>
      <c r="Y367">
        <v>710</v>
      </c>
      <c r="Z367">
        <v>1090</v>
      </c>
      <c r="AA367" s="14">
        <f>knicks_players_all_stats[[#This Row],[REB]]/knicks_players_all_stats[[#This Row],[GP]]</f>
        <v>2.6585365853658538</v>
      </c>
      <c r="AB367" s="1">
        <v>8</v>
      </c>
      <c r="AC367" s="4">
        <f>knicks_players_all_stats[[#This Row],[AST]]/knicks_players_all_stats[[#This Row],[GP]]</f>
        <v>0.1951219512195122</v>
      </c>
      <c r="AD367" s="1">
        <f>knicks_players_all_stats[[#This Row],[STL2]]/10</f>
        <v>6</v>
      </c>
      <c r="AE367" s="1">
        <v>60</v>
      </c>
      <c r="AF367" s="4">
        <f>knicks_players_all_stats[[#This Row],[STL]]/knicks_players_all_stats[[#This Row],[GP]]</f>
        <v>0.14634146341463414</v>
      </c>
      <c r="AG367">
        <v>200</v>
      </c>
      <c r="AH367" s="1">
        <f>knicks_players_all_stats[[#This Row],[BLK2]]/10</f>
        <v>20</v>
      </c>
      <c r="AI367" s="4">
        <f>knicks_players_all_stats[[#This Row],[BLK]]/knicks_players_all_stats[[#This Row],[GP]]</f>
        <v>0.48780487804878048</v>
      </c>
      <c r="AJ367">
        <v>260</v>
      </c>
      <c r="AK367" s="4">
        <f>knicks_players_all_stats[[#This Row],[BLKPG]]+knicks_players_all_stats[[#This Row],[STLPG]]+knicks_players_all_stats[[#This Row],[REBPG]]</f>
        <v>3.2926829268292686</v>
      </c>
      <c r="AL367" s="1">
        <f>knicks_players_all_stats[[#This Row],[TOV2]]/10</f>
        <v>26</v>
      </c>
      <c r="AM367" s="4">
        <f>knicks_players_all_stats[[#This Row],[TOV]]/knicks_players_all_stats[[#This Row],[GP]]</f>
        <v>0.63414634146341464</v>
      </c>
      <c r="AN367" s="1">
        <v>70</v>
      </c>
      <c r="AO367" s="1">
        <f>knicks_players_all_stats[[#This Row],[PF]]/knicks_players_all_stats[[#This Row],[GP]]</f>
        <v>1.7073170731707317</v>
      </c>
      <c r="AP367" s="1">
        <v>146</v>
      </c>
      <c r="AQ367" s="4">
        <f>knicks_players_all_stats[[#This Row],[PTS]]/knicks_players_all_stats[[#This Row],[GP]]</f>
        <v>3.5609756097560976</v>
      </c>
    </row>
    <row r="368" spans="1:43" customFormat="1" x14ac:dyDescent="0.3">
      <c r="A368" s="1" t="s">
        <v>1592</v>
      </c>
      <c r="B368" s="1" t="s">
        <v>1465</v>
      </c>
      <c r="C368" s="1" t="str">
        <f>knicks_players_all_stats[[#This Row],[NAME]]&amp;" ("&amp;knicks_players_all_stats[[#This Row],[SEASON]]&amp;")"</f>
        <v>Lavor Postell (2000-01)</v>
      </c>
      <c r="D368" s="1">
        <f>knicks_players_all_stats[[#This Row],[PLAYER_AGE]]/10</f>
        <v>23</v>
      </c>
      <c r="E368">
        <v>230</v>
      </c>
      <c r="F368" s="1">
        <v>26</v>
      </c>
      <c r="G368" s="1">
        <v>1680</v>
      </c>
      <c r="H36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24</v>
      </c>
      <c r="I368" s="4">
        <f>knicks_players_all_stats[[#This Row],[VALORATION]]/knicks_players_all_stats[[#This Row],[GP]]</f>
        <v>0.92307692307692313</v>
      </c>
      <c r="J368" s="1">
        <v>17</v>
      </c>
      <c r="K368" s="1">
        <v>54</v>
      </c>
      <c r="L368" s="2">
        <f>knicks_players_all_stats[[#This Row],[FGM]]/knicks_players_all_stats[[#This Row],[FGA]]</f>
        <v>0.31481481481481483</v>
      </c>
      <c r="M368" s="16">
        <f>knicks_players_all_stats[[#This Row],[FG3M2]]/10</f>
        <v>3</v>
      </c>
      <c r="N368" s="1">
        <v>30</v>
      </c>
      <c r="O368" s="1">
        <f>knicks_players_all_stats[[#This Row],[FG3A2]]/10</f>
        <v>11</v>
      </c>
      <c r="P368" s="1">
        <v>110</v>
      </c>
      <c r="Q368" s="2">
        <f>knicks_players_all_stats[[#This Row],[FG3M2]]/knicks_players_all_stats[[#This Row],[FG3A2]]</f>
        <v>0.27272727272727271</v>
      </c>
      <c r="R368" s="1">
        <v>22</v>
      </c>
      <c r="S368" s="1">
        <v>27</v>
      </c>
      <c r="T368" s="3">
        <f>knicks_players_all_stats[[#This Row],[FTM]]/knicks_players_all_stats[[#This Row],[FTA]]</f>
        <v>0.81481481481481477</v>
      </c>
      <c r="U368" s="1">
        <f>knicks_players_all_stats[[#This Row],[OREB22]]/10</f>
        <v>8</v>
      </c>
      <c r="V368" s="1">
        <f>knicks_players_all_stats[[#This Row],[DREB33]]/10</f>
        <v>17</v>
      </c>
      <c r="W368" s="1">
        <f>knicks_players_all_stats[[#This Row],[REB44]]/10</f>
        <v>25</v>
      </c>
      <c r="X368">
        <v>80</v>
      </c>
      <c r="Y368">
        <v>170</v>
      </c>
      <c r="Z368">
        <v>250</v>
      </c>
      <c r="AA368" s="14">
        <f>knicks_players_all_stats[[#This Row],[REB]]/knicks_players_all_stats[[#This Row],[GP]]</f>
        <v>0.96153846153846156</v>
      </c>
      <c r="AB368" s="1">
        <v>5</v>
      </c>
      <c r="AC368" s="4">
        <f>knicks_players_all_stats[[#This Row],[AST]]/knicks_players_all_stats[[#This Row],[GP]]</f>
        <v>0.19230769230769232</v>
      </c>
      <c r="AD368" s="1">
        <f>knicks_players_all_stats[[#This Row],[STL2]]/10</f>
        <v>4</v>
      </c>
      <c r="AE368" s="1">
        <v>40</v>
      </c>
      <c r="AF368" s="4">
        <f>knicks_players_all_stats[[#This Row],[STL]]/knicks_players_all_stats[[#This Row],[GP]]</f>
        <v>0.15384615384615385</v>
      </c>
      <c r="AG368">
        <v>20</v>
      </c>
      <c r="AH368" s="1">
        <f>knicks_players_all_stats[[#This Row],[BLK2]]/10</f>
        <v>2</v>
      </c>
      <c r="AI368" s="4">
        <f>knicks_players_all_stats[[#This Row],[BLK]]/knicks_players_all_stats[[#This Row],[GP]]</f>
        <v>7.6923076923076927E-2</v>
      </c>
      <c r="AJ368">
        <v>170</v>
      </c>
      <c r="AK368" s="4">
        <f>knicks_players_all_stats[[#This Row],[BLKPG]]+knicks_players_all_stats[[#This Row],[STLPG]]+knicks_players_all_stats[[#This Row],[REBPG]]</f>
        <v>1.1923076923076923</v>
      </c>
      <c r="AL368" s="1">
        <f>knicks_players_all_stats[[#This Row],[TOV2]]/10</f>
        <v>17</v>
      </c>
      <c r="AM368" s="4">
        <f>knicks_players_all_stats[[#This Row],[TOV]]/knicks_players_all_stats[[#This Row],[GP]]</f>
        <v>0.65384615384615385</v>
      </c>
      <c r="AN368" s="1">
        <v>12</v>
      </c>
      <c r="AO368" s="1">
        <f>knicks_players_all_stats[[#This Row],[PF]]/knicks_players_all_stats[[#This Row],[GP]]</f>
        <v>0.46153846153846156</v>
      </c>
      <c r="AP368" s="1">
        <v>59</v>
      </c>
      <c r="AQ368" s="4">
        <f>knicks_players_all_stats[[#This Row],[PTS]]/knicks_players_all_stats[[#This Row],[GP]]</f>
        <v>2.2692307692307692</v>
      </c>
    </row>
    <row r="369" spans="1:43" x14ac:dyDescent="0.3">
      <c r="A369" s="1" t="s">
        <v>1682</v>
      </c>
      <c r="B369" s="1" t="s">
        <v>1290</v>
      </c>
      <c r="C369" s="1" t="str">
        <f>knicks_players_all_stats[[#This Row],[NAME]]&amp;" ("&amp;knicks_players_all_stats[[#This Row],[SEASON]]&amp;")"</f>
        <v>Jerome Jordan (2011-12)</v>
      </c>
      <c r="D369" s="1">
        <f>knicks_players_all_stats[[#This Row],[PLAYER_AGE]]/10</f>
        <v>25</v>
      </c>
      <c r="E369">
        <v>250</v>
      </c>
      <c r="F369" s="1">
        <v>21</v>
      </c>
      <c r="G369" s="1">
        <v>1080</v>
      </c>
      <c r="H36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45</v>
      </c>
      <c r="I369" s="4">
        <f>knicks_players_all_stats[[#This Row],[VALORATION]]/knicks_players_all_stats[[#This Row],[GP]]</f>
        <v>2.1428571428571428</v>
      </c>
      <c r="J369" s="1">
        <v>17</v>
      </c>
      <c r="K369" s="1">
        <v>33</v>
      </c>
      <c r="L369" s="1">
        <v>515</v>
      </c>
      <c r="M369" s="4">
        <f>knicks_players_all_stats[[#This Row],[FG3M2]]/10</f>
        <v>0</v>
      </c>
      <c r="N369" s="1">
        <v>0</v>
      </c>
      <c r="O369" s="1">
        <f>knicks_players_all_stats[[#This Row],[FG3A2]]/10</f>
        <v>0</v>
      </c>
      <c r="P369" s="1">
        <v>0</v>
      </c>
      <c r="Q369" s="2" t="e">
        <f>knicks_players_all_stats[[#This Row],[FG3M2]]/knicks_players_all_stats[[#This Row],[FG3A2]]</f>
        <v>#DIV/0!</v>
      </c>
      <c r="R369" s="1">
        <v>8</v>
      </c>
      <c r="S369" s="1">
        <v>10</v>
      </c>
      <c r="T369" s="3">
        <f>knicks_players_all_stats[[#This Row],[FTM]]/knicks_players_all_stats[[#This Row],[FTA]]</f>
        <v>0.8</v>
      </c>
      <c r="U369" s="1">
        <f>knicks_players_all_stats[[#This Row],[OREB22]]/10</f>
        <v>14</v>
      </c>
      <c r="V369" s="1">
        <f>knicks_players_all_stats[[#This Row],[DREB33]]/10</f>
        <v>13</v>
      </c>
      <c r="W369" s="1">
        <f>knicks_players_all_stats[[#This Row],[REB44]]/10</f>
        <v>27</v>
      </c>
      <c r="X369">
        <v>140</v>
      </c>
      <c r="Y369">
        <v>130</v>
      </c>
      <c r="Z369">
        <v>270</v>
      </c>
      <c r="AA369" s="14">
        <f>knicks_players_all_stats[[#This Row],[REB]]/knicks_players_all_stats[[#This Row],[GP]]</f>
        <v>1.2857142857142858</v>
      </c>
      <c r="AB369" s="1">
        <v>4</v>
      </c>
      <c r="AC369" s="4">
        <f>knicks_players_all_stats[[#This Row],[AST]]/knicks_players_all_stats[[#This Row],[GP]]</f>
        <v>0.19047619047619047</v>
      </c>
      <c r="AD369" s="1">
        <f>knicks_players_all_stats[[#This Row],[STL2]]/10</f>
        <v>1</v>
      </c>
      <c r="AE369" s="1">
        <v>10</v>
      </c>
      <c r="AF369" s="4">
        <f>knicks_players_all_stats[[#This Row],[STL]]/knicks_players_all_stats[[#This Row],[GP]]</f>
        <v>4.7619047619047616E-2</v>
      </c>
      <c r="AG369">
        <v>60</v>
      </c>
      <c r="AH369" s="1">
        <f>knicks_players_all_stats[[#This Row],[BLK2]]/10</f>
        <v>6</v>
      </c>
      <c r="AI369" s="4">
        <f>knicks_players_all_stats[[#This Row],[BLK]]/knicks_players_all_stats[[#This Row],[GP]]</f>
        <v>0.2857142857142857</v>
      </c>
      <c r="AJ369">
        <v>20</v>
      </c>
      <c r="AK369" s="4">
        <f>knicks_players_all_stats[[#This Row],[BLKPG]]+knicks_players_all_stats[[#This Row],[STLPG]]+knicks_players_all_stats[[#This Row],[REBPG]]</f>
        <v>1.6190476190476191</v>
      </c>
      <c r="AL369" s="1">
        <f>knicks_players_all_stats[[#This Row],[TOV2]]/10</f>
        <v>2</v>
      </c>
      <c r="AM369" s="4">
        <f>knicks_players_all_stats[[#This Row],[TOV]]/knicks_players_all_stats[[#This Row],[GP]]</f>
        <v>9.5238095238095233E-2</v>
      </c>
      <c r="AN369" s="1">
        <v>15</v>
      </c>
      <c r="AO369" s="1">
        <f>knicks_players_all_stats[[#This Row],[PF]]/knicks_players_all_stats[[#This Row],[GP]]</f>
        <v>0.7142857142857143</v>
      </c>
      <c r="AP369" s="1">
        <v>42</v>
      </c>
      <c r="AQ369" s="4">
        <f>knicks_players_all_stats[[#This Row],[PTS]]/knicks_players_all_stats[[#This Row],[GP]]</f>
        <v>2</v>
      </c>
    </row>
    <row r="370" spans="1:43" x14ac:dyDescent="0.3">
      <c r="A370" s="1" t="s">
        <v>1424</v>
      </c>
      <c r="B370" s="1" t="s">
        <v>1327</v>
      </c>
      <c r="C370" s="1" t="str">
        <f>knicks_players_all_stats[[#This Row],[NAME]]&amp;" ("&amp;knicks_players_all_stats[[#This Row],[SEASON]]&amp;")"</f>
        <v>Ryan Arcidiacono (2022-23)</v>
      </c>
      <c r="D370" s="1">
        <f>knicks_players_all_stats[[#This Row],[PLAYER_AGE]]/10</f>
        <v>29</v>
      </c>
      <c r="E370">
        <v>290</v>
      </c>
      <c r="F370" s="1">
        <v>11</v>
      </c>
      <c r="G370" s="1">
        <v>260</v>
      </c>
      <c r="H37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70" s="4">
        <f>knicks_players_all_stats[[#This Row],[VALORATION]]/knicks_players_all_stats[[#This Row],[GP]]</f>
        <v>0.27272727272727271</v>
      </c>
      <c r="J370" s="1">
        <v>1</v>
      </c>
      <c r="K370" s="1">
        <v>5</v>
      </c>
      <c r="L370" s="2">
        <f>knicks_players_all_stats[[#This Row],[FGM]]/knicks_players_all_stats[[#This Row],[FGA]]</f>
        <v>0.2</v>
      </c>
      <c r="M370" s="16">
        <f>knicks_players_all_stats[[#This Row],[FG3M2]]/10</f>
        <v>1</v>
      </c>
      <c r="N370" s="1">
        <v>10</v>
      </c>
      <c r="O370" s="1">
        <f>knicks_players_all_stats[[#This Row],[FG3A2]]/10</f>
        <v>3</v>
      </c>
      <c r="P370" s="1">
        <v>30</v>
      </c>
      <c r="Q370" s="2">
        <f>knicks_players_all_stats[[#This Row],[FG3M2]]/knicks_players_all_stats[[#This Row],[FG3A2]]</f>
        <v>0.33333333333333331</v>
      </c>
      <c r="R370" s="1">
        <v>0</v>
      </c>
      <c r="S370" s="1">
        <v>0</v>
      </c>
      <c r="T370" s="3" t="e">
        <f>knicks_players_all_stats[[#This Row],[FTM]]/knicks_players_all_stats[[#This Row],[FTA]]</f>
        <v>#DIV/0!</v>
      </c>
      <c r="U370" s="1">
        <f>knicks_players_all_stats[[#This Row],[OREB22]]/10</f>
        <v>0</v>
      </c>
      <c r="V370" s="1">
        <f>knicks_players_all_stats[[#This Row],[DREB33]]/10</f>
        <v>4</v>
      </c>
      <c r="W370" s="1">
        <f>knicks_players_all_stats[[#This Row],[REB44]]/10</f>
        <v>4</v>
      </c>
      <c r="X370">
        <v>0</v>
      </c>
      <c r="Y370">
        <v>40</v>
      </c>
      <c r="Z370">
        <v>40</v>
      </c>
      <c r="AA370" s="14">
        <f>knicks_players_all_stats[[#This Row],[REB]]/knicks_players_all_stats[[#This Row],[GP]]</f>
        <v>0.36363636363636365</v>
      </c>
      <c r="AB370" s="1">
        <v>2</v>
      </c>
      <c r="AC370" s="4">
        <f>knicks_players_all_stats[[#This Row],[AST]]/knicks_players_all_stats[[#This Row],[GP]]</f>
        <v>0.18181818181818182</v>
      </c>
      <c r="AD370" s="1">
        <f>knicks_players_all_stats[[#This Row],[STL2]]/10</f>
        <v>2</v>
      </c>
      <c r="AE370" s="1">
        <v>20</v>
      </c>
      <c r="AF370" s="4">
        <f>knicks_players_all_stats[[#This Row],[STL]]/knicks_players_all_stats[[#This Row],[GP]]</f>
        <v>0.18181818181818182</v>
      </c>
      <c r="AG370">
        <v>0</v>
      </c>
      <c r="AH370" s="1">
        <f>knicks_players_all_stats[[#This Row],[BLK2]]/10</f>
        <v>0</v>
      </c>
      <c r="AI370" s="4">
        <f>knicks_players_all_stats[[#This Row],[BLK]]/knicks_players_all_stats[[#This Row],[GP]]</f>
        <v>0</v>
      </c>
      <c r="AJ370">
        <v>10</v>
      </c>
      <c r="AK370" s="4">
        <f>knicks_players_all_stats[[#This Row],[BLKPG]]+knicks_players_all_stats[[#This Row],[STLPG]]+knicks_players_all_stats[[#This Row],[REBPG]]</f>
        <v>0.54545454545454541</v>
      </c>
      <c r="AL370" s="1">
        <f>knicks_players_all_stats[[#This Row],[TOV2]]/10</f>
        <v>1</v>
      </c>
      <c r="AM370" s="4">
        <f>knicks_players_all_stats[[#This Row],[TOV]]/knicks_players_all_stats[[#This Row],[GP]]</f>
        <v>9.0909090909090912E-2</v>
      </c>
      <c r="AN370" s="1">
        <v>3</v>
      </c>
      <c r="AO370" s="1">
        <f>knicks_players_all_stats[[#This Row],[PF]]/knicks_players_all_stats[[#This Row],[GP]]</f>
        <v>0.27272727272727271</v>
      </c>
      <c r="AP370" s="1">
        <v>3</v>
      </c>
      <c r="AQ370" s="4">
        <f>knicks_players_all_stats[[#This Row],[PTS]]/knicks_players_all_stats[[#This Row],[GP]]</f>
        <v>0.27272727272727271</v>
      </c>
    </row>
    <row r="371" spans="1:43" x14ac:dyDescent="0.3">
      <c r="A371" s="1" t="s">
        <v>1625</v>
      </c>
      <c r="B371" s="1" t="s">
        <v>1330</v>
      </c>
      <c r="C371" s="1" t="str">
        <f>knicks_players_all_stats[[#This Row],[NAME]]&amp;" ("&amp;knicks_players_all_stats[[#This Row],[SEASON]]&amp;")"</f>
        <v>Travis Knight (2001-02)</v>
      </c>
      <c r="D371" s="1">
        <f>knicks_players_all_stats[[#This Row],[PLAYER_AGE]]/10</f>
        <v>27</v>
      </c>
      <c r="E371">
        <v>270</v>
      </c>
      <c r="F371" s="1">
        <v>49</v>
      </c>
      <c r="G371" s="1">
        <v>4300</v>
      </c>
      <c r="H37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32</v>
      </c>
      <c r="I371" s="4">
        <f>knicks_players_all_stats[[#This Row],[VALORATION]]/knicks_players_all_stats[[#This Row],[GP]]</f>
        <v>0.65306122448979587</v>
      </c>
      <c r="J371" s="1">
        <v>41</v>
      </c>
      <c r="K371" s="1">
        <v>113</v>
      </c>
      <c r="L371" s="2">
        <f>knicks_players_all_stats[[#This Row],[FGM]]/knicks_players_all_stats[[#This Row],[FGA]]</f>
        <v>0.36283185840707965</v>
      </c>
      <c r="M371" s="16">
        <f>knicks_players_all_stats[[#This Row],[FG3M2]]/10</f>
        <v>0</v>
      </c>
      <c r="N371" s="1">
        <v>0</v>
      </c>
      <c r="O371" s="1">
        <f>knicks_players_all_stats[[#This Row],[FG3A2]]/10</f>
        <v>0</v>
      </c>
      <c r="P371" s="1">
        <v>0</v>
      </c>
      <c r="Q371" s="2" t="e">
        <f>knicks_players_all_stats[[#This Row],[FG3M2]]/knicks_players_all_stats[[#This Row],[FG3A2]]</f>
        <v>#DIV/0!</v>
      </c>
      <c r="R371" s="1">
        <v>16</v>
      </c>
      <c r="S371" s="1">
        <v>21</v>
      </c>
      <c r="T371" s="3">
        <f>knicks_players_all_stats[[#This Row],[FTM]]/knicks_players_all_stats[[#This Row],[FTA]]</f>
        <v>0.76190476190476186</v>
      </c>
      <c r="U371" s="1">
        <f>knicks_players_all_stats[[#This Row],[OREB22]]/10</f>
        <v>48</v>
      </c>
      <c r="V371" s="1">
        <f>knicks_players_all_stats[[#This Row],[DREB33]]/10</f>
        <v>56</v>
      </c>
      <c r="W371" s="1">
        <f>knicks_players_all_stats[[#This Row],[REB44]]/10</f>
        <v>104</v>
      </c>
      <c r="X371">
        <v>480</v>
      </c>
      <c r="Y371">
        <v>560</v>
      </c>
      <c r="Z371">
        <v>1040</v>
      </c>
      <c r="AA371" s="14">
        <f>knicks_players_all_stats[[#This Row],[REB]]/knicks_players_all_stats[[#This Row],[GP]]</f>
        <v>2.1224489795918369</v>
      </c>
      <c r="AB371" s="1">
        <v>8</v>
      </c>
      <c r="AC371" s="4">
        <f>knicks_players_all_stats[[#This Row],[AST]]/knicks_players_all_stats[[#This Row],[GP]]</f>
        <v>0.16326530612244897</v>
      </c>
      <c r="AD371" s="1">
        <f>knicks_players_all_stats[[#This Row],[STL2]]/10</f>
        <v>11</v>
      </c>
      <c r="AE371" s="1">
        <v>110</v>
      </c>
      <c r="AF371" s="4">
        <f>knicks_players_all_stats[[#This Row],[STL]]/knicks_players_all_stats[[#This Row],[GP]]</f>
        <v>0.22448979591836735</v>
      </c>
      <c r="AG371">
        <v>100</v>
      </c>
      <c r="AH371" s="1">
        <f>knicks_players_all_stats[[#This Row],[BLK2]]/10</f>
        <v>10</v>
      </c>
      <c r="AI371" s="4">
        <f>knicks_players_all_stats[[#This Row],[BLK]]/knicks_players_all_stats[[#This Row],[GP]]</f>
        <v>0.20408163265306123</v>
      </c>
      <c r="AJ371">
        <v>270</v>
      </c>
      <c r="AK371" s="4">
        <f>knicks_players_all_stats[[#This Row],[BLKPG]]+knicks_players_all_stats[[#This Row],[STLPG]]+knicks_players_all_stats[[#This Row],[REBPG]]</f>
        <v>2.5510204081632653</v>
      </c>
      <c r="AL371" s="1">
        <f>knicks_players_all_stats[[#This Row],[TOV2]]/10</f>
        <v>27</v>
      </c>
      <c r="AM371" s="4">
        <f>knicks_players_all_stats[[#This Row],[TOV]]/knicks_players_all_stats[[#This Row],[GP]]</f>
        <v>0.55102040816326525</v>
      </c>
      <c r="AN371" s="1">
        <v>95</v>
      </c>
      <c r="AO371" s="1">
        <f>knicks_players_all_stats[[#This Row],[PF]]/knicks_players_all_stats[[#This Row],[GP]]</f>
        <v>1.9387755102040816</v>
      </c>
      <c r="AP371" s="1">
        <v>98</v>
      </c>
      <c r="AQ371" s="4">
        <f>knicks_players_all_stats[[#This Row],[PTS]]/knicks_players_all_stats[[#This Row],[GP]]</f>
        <v>2</v>
      </c>
    </row>
    <row r="372" spans="1:43" x14ac:dyDescent="0.3">
      <c r="A372" s="1" t="s">
        <v>1582</v>
      </c>
      <c r="B372" s="1" t="s">
        <v>1289</v>
      </c>
      <c r="C372" s="1" t="str">
        <f>knicks_players_all_stats[[#This Row],[NAME]]&amp;" ("&amp;knicks_players_all_stats[[#This Row],[SEASON]]&amp;")"</f>
        <v>Jared Harper (2020-21)</v>
      </c>
      <c r="D372" s="1">
        <f>knicks_players_all_stats[[#This Row],[PLAYER_AGE]]/10</f>
        <v>23</v>
      </c>
      <c r="E372">
        <v>230</v>
      </c>
      <c r="F372" s="1">
        <v>8</v>
      </c>
      <c r="G372" s="1">
        <v>160</v>
      </c>
      <c r="H37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372" s="4">
        <f>knicks_players_all_stats[[#This Row],[VALORATION]]/knicks_players_all_stats[[#This Row],[GP]]</f>
        <v>-0.375</v>
      </c>
      <c r="J372" s="1">
        <v>0</v>
      </c>
      <c r="K372" s="1">
        <v>4</v>
      </c>
      <c r="L372" s="2">
        <f>knicks_players_all_stats[[#This Row],[FGM]]/knicks_players_all_stats[[#This Row],[FGA]]</f>
        <v>0</v>
      </c>
      <c r="M372" s="16">
        <f>knicks_players_all_stats[[#This Row],[FG3M2]]/10</f>
        <v>0</v>
      </c>
      <c r="N372" s="1">
        <v>0</v>
      </c>
      <c r="O372" s="1">
        <f>knicks_players_all_stats[[#This Row],[FG3A2]]/10</f>
        <v>1</v>
      </c>
      <c r="P372" s="1">
        <v>10</v>
      </c>
      <c r="Q372" s="2">
        <f>knicks_players_all_stats[[#This Row],[FG3M2]]/knicks_players_all_stats[[#This Row],[FG3A2]]</f>
        <v>0</v>
      </c>
      <c r="R372" s="1">
        <v>3</v>
      </c>
      <c r="S372" s="1">
        <v>4</v>
      </c>
      <c r="T372" s="3">
        <f>knicks_players_all_stats[[#This Row],[FTM]]/knicks_players_all_stats[[#This Row],[FTA]]</f>
        <v>0.75</v>
      </c>
      <c r="U372" s="1">
        <f>knicks_players_all_stats[[#This Row],[OREB22]]/10</f>
        <v>0</v>
      </c>
      <c r="V372" s="1">
        <f>knicks_players_all_stats[[#This Row],[DREB33]]/10</f>
        <v>2</v>
      </c>
      <c r="W372" s="1">
        <f>knicks_players_all_stats[[#This Row],[REB44]]/10</f>
        <v>2</v>
      </c>
      <c r="X372">
        <v>0</v>
      </c>
      <c r="Y372">
        <v>20</v>
      </c>
      <c r="Z372">
        <v>20</v>
      </c>
      <c r="AA372" s="14">
        <f>knicks_players_all_stats[[#This Row],[REB]]/knicks_players_all_stats[[#This Row],[GP]]</f>
        <v>0.25</v>
      </c>
      <c r="AB372" s="1">
        <v>1</v>
      </c>
      <c r="AC372" s="4">
        <f>knicks_players_all_stats[[#This Row],[AST]]/knicks_players_all_stats[[#This Row],[GP]]</f>
        <v>0.125</v>
      </c>
      <c r="AD372" s="1">
        <f>knicks_players_all_stats[[#This Row],[STL2]]/10</f>
        <v>0</v>
      </c>
      <c r="AE372" s="1">
        <v>0</v>
      </c>
      <c r="AF372" s="4">
        <f>knicks_players_all_stats[[#This Row],[STL]]/knicks_players_all_stats[[#This Row],[GP]]</f>
        <v>0</v>
      </c>
      <c r="AG372">
        <v>0</v>
      </c>
      <c r="AH372" s="1">
        <f>knicks_players_all_stats[[#This Row],[BLK2]]/10</f>
        <v>0</v>
      </c>
      <c r="AI372" s="4">
        <f>knicks_players_all_stats[[#This Row],[BLK]]/knicks_players_all_stats[[#This Row],[GP]]</f>
        <v>0</v>
      </c>
      <c r="AJ372">
        <v>30</v>
      </c>
      <c r="AK372" s="4">
        <f>knicks_players_all_stats[[#This Row],[BLKPG]]+knicks_players_all_stats[[#This Row],[STLPG]]+knicks_players_all_stats[[#This Row],[REBPG]]</f>
        <v>0.25</v>
      </c>
      <c r="AL372" s="1">
        <f>knicks_players_all_stats[[#This Row],[TOV2]]/10</f>
        <v>3</v>
      </c>
      <c r="AM372" s="4">
        <f>knicks_players_all_stats[[#This Row],[TOV]]/knicks_players_all_stats[[#This Row],[GP]]</f>
        <v>0.375</v>
      </c>
      <c r="AN372" s="1">
        <v>1</v>
      </c>
      <c r="AO372" s="1">
        <f>knicks_players_all_stats[[#This Row],[PF]]/knicks_players_all_stats[[#This Row],[GP]]</f>
        <v>0.125</v>
      </c>
      <c r="AP372" s="1">
        <v>3</v>
      </c>
      <c r="AQ372" s="4">
        <f>knicks_players_all_stats[[#This Row],[PTS]]/knicks_players_all_stats[[#This Row],[GP]]</f>
        <v>0.375</v>
      </c>
    </row>
    <row r="373" spans="1:43" x14ac:dyDescent="0.3">
      <c r="A373" s="1" t="s">
        <v>1351</v>
      </c>
      <c r="B373" s="1" t="s">
        <v>1303</v>
      </c>
      <c r="C373" s="1" t="str">
        <f>knicks_players_all_stats[[#This Row],[NAME]]&amp;" ("&amp;knicks_players_all_stats[[#This Row],[SEASON]]&amp;")"</f>
        <v>Randolph Morris (2007-08)</v>
      </c>
      <c r="D373" s="1">
        <f>knicks_players_all_stats[[#This Row],[PLAYER_AGE]]/10</f>
        <v>22</v>
      </c>
      <c r="E373">
        <v>220</v>
      </c>
      <c r="F373" s="1">
        <v>18</v>
      </c>
      <c r="G373" s="1">
        <v>1810</v>
      </c>
      <c r="H37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73" s="4">
        <f>knicks_players_all_stats[[#This Row],[VALORATION]]/knicks_players_all_stats[[#This Row],[GP]]</f>
        <v>0.16666666666666666</v>
      </c>
      <c r="J373" s="1">
        <v>21</v>
      </c>
      <c r="K373" s="1">
        <v>58</v>
      </c>
      <c r="L373" s="2">
        <f>knicks_players_all_stats[[#This Row],[FGM]]/knicks_players_all_stats[[#This Row],[FGA]]</f>
        <v>0.36206896551724138</v>
      </c>
      <c r="M373" s="16">
        <f>knicks_players_all_stats[[#This Row],[FG3M2]]/10</f>
        <v>0</v>
      </c>
      <c r="N373" s="1">
        <v>0</v>
      </c>
      <c r="O373" s="1">
        <f>knicks_players_all_stats[[#This Row],[FG3A2]]/10</f>
        <v>0</v>
      </c>
      <c r="P373" s="1">
        <v>0</v>
      </c>
      <c r="Q373" s="2" t="e">
        <f>knicks_players_all_stats[[#This Row],[FG3M2]]/knicks_players_all_stats[[#This Row],[FG3A2]]</f>
        <v>#DIV/0!</v>
      </c>
      <c r="R373" s="1">
        <v>14</v>
      </c>
      <c r="S373" s="1">
        <v>29</v>
      </c>
      <c r="T373" s="3">
        <f>knicks_players_all_stats[[#This Row],[FTM]]/knicks_players_all_stats[[#This Row],[FTA]]</f>
        <v>0.48275862068965519</v>
      </c>
      <c r="U373" s="1">
        <f>knicks_players_all_stats[[#This Row],[OREB22]]/10</f>
        <v>12</v>
      </c>
      <c r="V373" s="1">
        <f>knicks_players_all_stats[[#This Row],[DREB33]]/10</f>
        <v>25</v>
      </c>
      <c r="W373" s="1">
        <f>knicks_players_all_stats[[#This Row],[REB44]]/10</f>
        <v>37</v>
      </c>
      <c r="X373">
        <v>120</v>
      </c>
      <c r="Y373">
        <v>250</v>
      </c>
      <c r="Z373">
        <v>370</v>
      </c>
      <c r="AA373" s="14">
        <f>knicks_players_all_stats[[#This Row],[REB]]/knicks_players_all_stats[[#This Row],[GP]]</f>
        <v>2.0555555555555554</v>
      </c>
      <c r="AB373" s="1">
        <v>2</v>
      </c>
      <c r="AC373" s="4">
        <f>knicks_players_all_stats[[#This Row],[AST]]/knicks_players_all_stats[[#This Row],[GP]]</f>
        <v>0.1111111111111111</v>
      </c>
      <c r="AD373" s="1">
        <f>knicks_players_all_stats[[#This Row],[STL2]]/10</f>
        <v>4</v>
      </c>
      <c r="AE373" s="1">
        <v>40</v>
      </c>
      <c r="AF373" s="4">
        <f>knicks_players_all_stats[[#This Row],[STL]]/knicks_players_all_stats[[#This Row],[GP]]</f>
        <v>0.22222222222222221</v>
      </c>
      <c r="AG373">
        <v>20</v>
      </c>
      <c r="AH373" s="1">
        <f>knicks_players_all_stats[[#This Row],[BLK2]]/10</f>
        <v>2</v>
      </c>
      <c r="AI373" s="4">
        <f>knicks_players_all_stats[[#This Row],[BLK]]/knicks_players_all_stats[[#This Row],[GP]]</f>
        <v>0.1111111111111111</v>
      </c>
      <c r="AJ373">
        <v>90</v>
      </c>
      <c r="AK373" s="4">
        <f>knicks_players_all_stats[[#This Row],[BLKPG]]+knicks_players_all_stats[[#This Row],[STLPG]]+knicks_players_all_stats[[#This Row],[REBPG]]</f>
        <v>2.3888888888888888</v>
      </c>
      <c r="AL373" s="1">
        <f>knicks_players_all_stats[[#This Row],[TOV2]]/10</f>
        <v>9</v>
      </c>
      <c r="AM373" s="4">
        <f>knicks_players_all_stats[[#This Row],[TOV]]/knicks_players_all_stats[[#This Row],[GP]]</f>
        <v>0.5</v>
      </c>
      <c r="AN373" s="1">
        <v>37</v>
      </c>
      <c r="AO373" s="1">
        <f>knicks_players_all_stats[[#This Row],[PF]]/knicks_players_all_stats[[#This Row],[GP]]</f>
        <v>2.0555555555555554</v>
      </c>
      <c r="AP373" s="1">
        <v>56</v>
      </c>
      <c r="AQ373" s="4">
        <f>knicks_players_all_stats[[#This Row],[PTS]]/knicks_players_all_stats[[#This Row],[GP]]</f>
        <v>3.1111111111111112</v>
      </c>
    </row>
    <row r="374" spans="1:43" x14ac:dyDescent="0.3">
      <c r="A374" s="1" t="s">
        <v>1673</v>
      </c>
      <c r="B374" s="1" t="s">
        <v>1465</v>
      </c>
      <c r="C374" s="1" t="str">
        <f>knicks_players_all_stats[[#This Row],[NAME]]&amp;" ("&amp;knicks_players_all_stats[[#This Row],[SEASON]]&amp;")"</f>
        <v>Felton Spencer (2000-01)</v>
      </c>
      <c r="D374" s="1">
        <f>knicks_players_all_stats[[#This Row],[PLAYER_AGE]]/10</f>
        <v>33</v>
      </c>
      <c r="E374">
        <v>330</v>
      </c>
      <c r="F374" s="1">
        <v>18</v>
      </c>
      <c r="G374" s="1">
        <v>1120</v>
      </c>
      <c r="H37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27</v>
      </c>
      <c r="I374" s="4">
        <f>knicks_players_all_stats[[#This Row],[VALORATION]]/knicks_players_all_stats[[#This Row],[GP]]</f>
        <v>1.5</v>
      </c>
      <c r="J374" s="1">
        <v>12</v>
      </c>
      <c r="K374" s="1">
        <v>20</v>
      </c>
      <c r="L374" s="1">
        <v>6</v>
      </c>
      <c r="M374" s="4">
        <f>knicks_players_all_stats[[#This Row],[FG3M2]]/10</f>
        <v>0</v>
      </c>
      <c r="N374" s="1">
        <v>0</v>
      </c>
      <c r="O374" s="1">
        <f>knicks_players_all_stats[[#This Row],[FG3A2]]/10</f>
        <v>0</v>
      </c>
      <c r="P374" s="1">
        <v>0</v>
      </c>
      <c r="Q374" s="2" t="e">
        <f>knicks_players_all_stats[[#This Row],[FG3M2]]/knicks_players_all_stats[[#This Row],[FG3A2]]</f>
        <v>#DIV/0!</v>
      </c>
      <c r="R374" s="1">
        <v>15</v>
      </c>
      <c r="S374" s="1">
        <v>25</v>
      </c>
      <c r="T374" s="3">
        <f>knicks_players_all_stats[[#This Row],[FTM]]/knicks_players_all_stats[[#This Row],[FTA]]</f>
        <v>0.6</v>
      </c>
      <c r="U374" s="1">
        <f>knicks_players_all_stats[[#This Row],[OREB22]]/10</f>
        <v>16</v>
      </c>
      <c r="V374" s="1">
        <f>knicks_players_all_stats[[#This Row],[DREB33]]/10</f>
        <v>19</v>
      </c>
      <c r="W374" s="1">
        <f>knicks_players_all_stats[[#This Row],[REB44]]/10</f>
        <v>35</v>
      </c>
      <c r="X374">
        <v>160</v>
      </c>
      <c r="Y374">
        <v>190</v>
      </c>
      <c r="Z374">
        <v>350</v>
      </c>
      <c r="AA374" s="14">
        <f>knicks_players_all_stats[[#This Row],[REB]]/knicks_players_all_stats[[#This Row],[GP]]</f>
        <v>1.9444444444444444</v>
      </c>
      <c r="AB374" s="1">
        <v>2</v>
      </c>
      <c r="AC374" s="4">
        <f>knicks_players_all_stats[[#This Row],[AST]]/knicks_players_all_stats[[#This Row],[GP]]</f>
        <v>0.1111111111111111</v>
      </c>
      <c r="AD374" s="1">
        <f>knicks_players_all_stats[[#This Row],[STL2]]/10</f>
        <v>2</v>
      </c>
      <c r="AE374" s="1">
        <v>20</v>
      </c>
      <c r="AF374" s="4">
        <f>knicks_players_all_stats[[#This Row],[STL]]/knicks_players_all_stats[[#This Row],[GP]]</f>
        <v>0.1111111111111111</v>
      </c>
      <c r="AG374">
        <v>20</v>
      </c>
      <c r="AH374" s="1">
        <f>knicks_players_all_stats[[#This Row],[BLK2]]/10</f>
        <v>2</v>
      </c>
      <c r="AI374" s="4">
        <f>knicks_players_all_stats[[#This Row],[BLK]]/knicks_players_all_stats[[#This Row],[GP]]</f>
        <v>0.1111111111111111</v>
      </c>
      <c r="AJ374">
        <v>110</v>
      </c>
      <c r="AK374" s="4">
        <f>knicks_players_all_stats[[#This Row],[BLKPG]]+knicks_players_all_stats[[#This Row],[STLPG]]+knicks_players_all_stats[[#This Row],[REBPG]]</f>
        <v>2.1666666666666665</v>
      </c>
      <c r="AL374" s="1">
        <f>knicks_players_all_stats[[#This Row],[TOV2]]/10</f>
        <v>11</v>
      </c>
      <c r="AM374" s="4">
        <f>knicks_players_all_stats[[#This Row],[TOV]]/knicks_players_all_stats[[#This Row],[GP]]</f>
        <v>0.61111111111111116</v>
      </c>
      <c r="AN374" s="1">
        <v>24</v>
      </c>
      <c r="AO374" s="1">
        <f>knicks_players_all_stats[[#This Row],[PF]]/knicks_players_all_stats[[#This Row],[GP]]</f>
        <v>1.3333333333333333</v>
      </c>
      <c r="AP374" s="1">
        <v>39</v>
      </c>
      <c r="AQ374" s="4">
        <f>knicks_players_all_stats[[#This Row],[PTS]]/knicks_players_all_stats[[#This Row],[GP]]</f>
        <v>2.1666666666666665</v>
      </c>
    </row>
    <row r="375" spans="1:43" customFormat="1" x14ac:dyDescent="0.3">
      <c r="A375" s="1" t="s">
        <v>1733</v>
      </c>
      <c r="B375" s="1" t="s">
        <v>1289</v>
      </c>
      <c r="C375" s="1" t="str">
        <f>knicks_players_all_stats[[#This Row],[NAME]]&amp;" ("&amp;knicks_players_all_stats[[#This Row],[SEASON]]&amp;")"</f>
        <v>Norvel Pelle (2020-21)</v>
      </c>
      <c r="D375" s="1">
        <f>knicks_players_all_stats[[#This Row],[PLAYER_AGE]]/10</f>
        <v>28</v>
      </c>
      <c r="E375">
        <v>280</v>
      </c>
      <c r="F375" s="1">
        <v>9</v>
      </c>
      <c r="G375" s="1">
        <v>520</v>
      </c>
      <c r="H37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23</v>
      </c>
      <c r="I375" s="4">
        <f>knicks_players_all_stats[[#This Row],[VALORATION]]/knicks_players_all_stats[[#This Row],[GP]]</f>
        <v>2.5555555555555554</v>
      </c>
      <c r="J375" s="1">
        <v>5</v>
      </c>
      <c r="K375" s="1">
        <v>7</v>
      </c>
      <c r="L375" s="1">
        <v>714</v>
      </c>
      <c r="M375" s="4">
        <f>knicks_players_all_stats[[#This Row],[FG3M2]]/10</f>
        <v>0</v>
      </c>
      <c r="N375" s="1">
        <v>0</v>
      </c>
      <c r="O375" s="1">
        <f>knicks_players_all_stats[[#This Row],[FG3A2]]/10</f>
        <v>0</v>
      </c>
      <c r="P375" s="1">
        <v>0</v>
      </c>
      <c r="Q375" s="2" t="e">
        <f>knicks_players_all_stats[[#This Row],[FG3M2]]/knicks_players_all_stats[[#This Row],[FG3A2]]</f>
        <v>#DIV/0!</v>
      </c>
      <c r="R375" s="1">
        <v>1</v>
      </c>
      <c r="S375" s="1">
        <v>2</v>
      </c>
      <c r="T375" s="3">
        <f>knicks_players_all_stats[[#This Row],[FTM]]/knicks_players_all_stats[[#This Row],[FTA]]</f>
        <v>0.5</v>
      </c>
      <c r="U375" s="1">
        <f>knicks_players_all_stats[[#This Row],[OREB22]]/10</f>
        <v>2</v>
      </c>
      <c r="V375" s="1">
        <f>knicks_players_all_stats[[#This Row],[DREB33]]/10</f>
        <v>9</v>
      </c>
      <c r="W375" s="1">
        <f>knicks_players_all_stats[[#This Row],[REB44]]/10</f>
        <v>11</v>
      </c>
      <c r="X375">
        <v>20</v>
      </c>
      <c r="Y375">
        <v>90</v>
      </c>
      <c r="Z375">
        <v>110</v>
      </c>
      <c r="AA375" s="14">
        <f>knicks_players_all_stats[[#This Row],[REB]]/knicks_players_all_stats[[#This Row],[GP]]</f>
        <v>1.2222222222222223</v>
      </c>
      <c r="AB375" s="1">
        <v>1</v>
      </c>
      <c r="AC375" s="4">
        <f>knicks_players_all_stats[[#This Row],[AST]]/knicks_players_all_stats[[#This Row],[GP]]</f>
        <v>0.1111111111111111</v>
      </c>
      <c r="AD375" s="1">
        <f>knicks_players_all_stats[[#This Row],[STL2]]/10</f>
        <v>1</v>
      </c>
      <c r="AE375" s="1">
        <v>10</v>
      </c>
      <c r="AF375" s="4">
        <f>knicks_players_all_stats[[#This Row],[STL]]/knicks_players_all_stats[[#This Row],[GP]]</f>
        <v>0.1111111111111111</v>
      </c>
      <c r="AG375">
        <v>60</v>
      </c>
      <c r="AH375" s="1">
        <f>knicks_players_all_stats[[#This Row],[BLK2]]/10</f>
        <v>6</v>
      </c>
      <c r="AI375" s="4">
        <f>knicks_players_all_stats[[#This Row],[BLK]]/knicks_players_all_stats[[#This Row],[GP]]</f>
        <v>0.66666666666666663</v>
      </c>
      <c r="AJ375">
        <v>0</v>
      </c>
      <c r="AK375" s="4">
        <f>knicks_players_all_stats[[#This Row],[BLKPG]]+knicks_players_all_stats[[#This Row],[STLPG]]+knicks_players_all_stats[[#This Row],[REBPG]]</f>
        <v>2</v>
      </c>
      <c r="AL375" s="1">
        <f>knicks_players_all_stats[[#This Row],[TOV2]]/10</f>
        <v>0</v>
      </c>
      <c r="AM375" s="4">
        <f>knicks_players_all_stats[[#This Row],[TOV]]/knicks_players_all_stats[[#This Row],[GP]]</f>
        <v>0</v>
      </c>
      <c r="AN375" s="1">
        <v>4</v>
      </c>
      <c r="AO375" s="1">
        <f>knicks_players_all_stats[[#This Row],[PF]]/knicks_players_all_stats[[#This Row],[GP]]</f>
        <v>0.44444444444444442</v>
      </c>
      <c r="AP375" s="1">
        <v>11</v>
      </c>
      <c r="AQ375" s="4">
        <f>knicks_players_all_stats[[#This Row],[PTS]]/knicks_players_all_stats[[#This Row],[GP]]</f>
        <v>1.2222222222222223</v>
      </c>
    </row>
    <row r="376" spans="1:43" customFormat="1" x14ac:dyDescent="0.3">
      <c r="A376" s="1" t="s">
        <v>1625</v>
      </c>
      <c r="B376" s="1" t="s">
        <v>1465</v>
      </c>
      <c r="C376" s="1" t="str">
        <f>knicks_players_all_stats[[#This Row],[NAME]]&amp;" ("&amp;knicks_players_all_stats[[#This Row],[SEASON]]&amp;")"</f>
        <v>Travis Knight (2000-01)</v>
      </c>
      <c r="D376" s="1">
        <f>knicks_players_all_stats[[#This Row],[PLAYER_AGE]]/10</f>
        <v>26</v>
      </c>
      <c r="E376">
        <v>260</v>
      </c>
      <c r="F376" s="1">
        <v>45</v>
      </c>
      <c r="G376" s="1">
        <v>2550</v>
      </c>
      <c r="H37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-6</v>
      </c>
      <c r="I376" s="4">
        <f>knicks_players_all_stats[[#This Row],[VALORATION]]/knicks_players_all_stats[[#This Row],[GP]]</f>
        <v>-0.13333333333333333</v>
      </c>
      <c r="J376" s="1">
        <v>10</v>
      </c>
      <c r="K376" s="1">
        <v>53</v>
      </c>
      <c r="L376" s="2">
        <f>knicks_players_all_stats[[#This Row],[FGM]]/knicks_players_all_stats[[#This Row],[FGA]]</f>
        <v>0.18867924528301888</v>
      </c>
      <c r="M376" s="16">
        <f>knicks_players_all_stats[[#This Row],[FG3M2]]/10</f>
        <v>0</v>
      </c>
      <c r="N376" s="1">
        <v>0</v>
      </c>
      <c r="O376" s="1">
        <f>knicks_players_all_stats[[#This Row],[FG3A2]]/10</f>
        <v>1</v>
      </c>
      <c r="P376" s="1">
        <v>10</v>
      </c>
      <c r="Q376" s="2">
        <f>knicks_players_all_stats[[#This Row],[FG3M2]]/knicks_players_all_stats[[#This Row],[FG3A2]]</f>
        <v>0</v>
      </c>
      <c r="R376" s="1">
        <v>9</v>
      </c>
      <c r="S376" s="1">
        <v>18</v>
      </c>
      <c r="T376" s="3">
        <f>knicks_players_all_stats[[#This Row],[FTM]]/knicks_players_all_stats[[#This Row],[FTA]]</f>
        <v>0.5</v>
      </c>
      <c r="U376" s="1">
        <f>knicks_players_all_stats[[#This Row],[OREB22]]/10</f>
        <v>19</v>
      </c>
      <c r="V376" s="1">
        <f>knicks_players_all_stats[[#This Row],[DREB33]]/10</f>
        <v>34</v>
      </c>
      <c r="W376" s="1">
        <f>knicks_players_all_stats[[#This Row],[REB44]]/10</f>
        <v>53</v>
      </c>
      <c r="X376">
        <v>190</v>
      </c>
      <c r="Y376">
        <v>340</v>
      </c>
      <c r="Z376">
        <v>530</v>
      </c>
      <c r="AA376" s="14">
        <f>knicks_players_all_stats[[#This Row],[REB]]/knicks_players_all_stats[[#This Row],[GP]]</f>
        <v>1.1777777777777778</v>
      </c>
      <c r="AB376" s="1">
        <v>5</v>
      </c>
      <c r="AC376" s="4">
        <f>knicks_players_all_stats[[#This Row],[AST]]/knicks_players_all_stats[[#This Row],[GP]]</f>
        <v>0.1111111111111111</v>
      </c>
      <c r="AD376" s="1">
        <f>knicks_players_all_stats[[#This Row],[STL2]]/10</f>
        <v>5</v>
      </c>
      <c r="AE376" s="1">
        <v>50</v>
      </c>
      <c r="AF376" s="4">
        <f>knicks_players_all_stats[[#This Row],[STL]]/knicks_players_all_stats[[#This Row],[GP]]</f>
        <v>0.1111111111111111</v>
      </c>
      <c r="AG376">
        <v>110</v>
      </c>
      <c r="AH376" s="1">
        <f>knicks_players_all_stats[[#This Row],[BLK2]]/10</f>
        <v>11</v>
      </c>
      <c r="AI376" s="4">
        <f>knicks_players_all_stats[[#This Row],[BLK]]/knicks_players_all_stats[[#This Row],[GP]]</f>
        <v>0.24444444444444444</v>
      </c>
      <c r="AJ376">
        <v>100</v>
      </c>
      <c r="AK376" s="4">
        <f>knicks_players_all_stats[[#This Row],[BLKPG]]+knicks_players_all_stats[[#This Row],[STLPG]]+knicks_players_all_stats[[#This Row],[REBPG]]</f>
        <v>1.5333333333333332</v>
      </c>
      <c r="AL376" s="1">
        <f>knicks_players_all_stats[[#This Row],[TOV2]]/10</f>
        <v>10</v>
      </c>
      <c r="AM376" s="4">
        <f>knicks_players_all_stats[[#This Row],[TOV]]/knicks_players_all_stats[[#This Row],[GP]]</f>
        <v>0.22222222222222221</v>
      </c>
      <c r="AN376" s="1">
        <v>47</v>
      </c>
      <c r="AO376" s="1">
        <f>knicks_players_all_stats[[#This Row],[PF]]/knicks_players_all_stats[[#This Row],[GP]]</f>
        <v>1.0444444444444445</v>
      </c>
      <c r="AP376" s="1">
        <v>29</v>
      </c>
      <c r="AQ376" s="4">
        <f>knicks_players_all_stats[[#This Row],[PTS]]/knicks_players_all_stats[[#This Row],[GP]]</f>
        <v>0.64444444444444449</v>
      </c>
    </row>
    <row r="377" spans="1:43" customFormat="1" x14ac:dyDescent="0.3">
      <c r="A377" s="1" t="s">
        <v>1784</v>
      </c>
      <c r="B377" s="1" t="s">
        <v>1295</v>
      </c>
      <c r="C377" s="1" t="str">
        <f>knicks_players_all_stats[[#This Row],[NAME]]&amp;" ("&amp;knicks_players_all_stats[[#This Row],[SEASON]]&amp;")"</f>
        <v>Bruno Sundov (2004-05)</v>
      </c>
      <c r="D377" s="1">
        <f>knicks_players_all_stats[[#This Row],[PLAYER_AGE]]/10</f>
        <v>25</v>
      </c>
      <c r="E377">
        <v>250</v>
      </c>
      <c r="F377" s="1">
        <v>21</v>
      </c>
      <c r="G377" s="1">
        <v>730</v>
      </c>
      <c r="H37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-4</v>
      </c>
      <c r="I377" s="4">
        <f>knicks_players_all_stats[[#This Row],[VALORATION]]/knicks_players_all_stats[[#This Row],[GP]]</f>
        <v>-0.19047619047619047</v>
      </c>
      <c r="J377" s="1">
        <v>11</v>
      </c>
      <c r="K377" s="1">
        <v>37</v>
      </c>
      <c r="L377" s="1">
        <v>297</v>
      </c>
      <c r="M377" s="4">
        <f>knicks_players_all_stats[[#This Row],[FG3M2]]/10</f>
        <v>1</v>
      </c>
      <c r="N377" s="1">
        <v>10</v>
      </c>
      <c r="O377" s="1">
        <f>knicks_players_all_stats[[#This Row],[FG3A2]]/10</f>
        <v>3</v>
      </c>
      <c r="P377" s="1">
        <v>30</v>
      </c>
      <c r="Q377" s="2">
        <f>knicks_players_all_stats[[#This Row],[FG3M2]]/knicks_players_all_stats[[#This Row],[FG3A2]]</f>
        <v>0.33333333333333331</v>
      </c>
      <c r="R377" s="1">
        <v>2</v>
      </c>
      <c r="S377" s="1">
        <v>2</v>
      </c>
      <c r="T377" s="3">
        <f>knicks_players_all_stats[[#This Row],[FTM]]/knicks_players_all_stats[[#This Row],[FTA]]</f>
        <v>1</v>
      </c>
      <c r="U377" s="1">
        <f>knicks_players_all_stats[[#This Row],[OREB22]]/10</f>
        <v>6</v>
      </c>
      <c r="V377" s="1">
        <f>knicks_players_all_stats[[#This Row],[DREB33]]/10</f>
        <v>7</v>
      </c>
      <c r="W377" s="1">
        <f>knicks_players_all_stats[[#This Row],[REB44]]/10</f>
        <v>13</v>
      </c>
      <c r="X377">
        <v>60</v>
      </c>
      <c r="Y377">
        <v>70</v>
      </c>
      <c r="Z377">
        <v>130</v>
      </c>
      <c r="AA377" s="14">
        <f>knicks_players_all_stats[[#This Row],[REB]]/knicks_players_all_stats[[#This Row],[GP]]</f>
        <v>0.61904761904761907</v>
      </c>
      <c r="AB377" s="1">
        <v>2</v>
      </c>
      <c r="AC377" s="4">
        <f>knicks_players_all_stats[[#This Row],[AST]]/knicks_players_all_stats[[#This Row],[GP]]</f>
        <v>9.5238095238095233E-2</v>
      </c>
      <c r="AD377" s="1">
        <f>knicks_players_all_stats[[#This Row],[STL2]]/10</f>
        <v>2</v>
      </c>
      <c r="AE377" s="1">
        <v>20</v>
      </c>
      <c r="AF377" s="4">
        <f>knicks_players_all_stats[[#This Row],[STL]]/knicks_players_all_stats[[#This Row],[GP]]</f>
        <v>9.5238095238095233E-2</v>
      </c>
      <c r="AG377">
        <v>20</v>
      </c>
      <c r="AH377" s="1">
        <f>knicks_players_all_stats[[#This Row],[BLK2]]/10</f>
        <v>2</v>
      </c>
      <c r="AI377" s="4">
        <f>knicks_players_all_stats[[#This Row],[BLK]]/knicks_players_all_stats[[#This Row],[GP]]</f>
        <v>9.5238095238095233E-2</v>
      </c>
      <c r="AJ377">
        <v>60</v>
      </c>
      <c r="AK377" s="4">
        <f>knicks_players_all_stats[[#This Row],[BLKPG]]+knicks_players_all_stats[[#This Row],[STLPG]]+knicks_players_all_stats[[#This Row],[REBPG]]</f>
        <v>0.80952380952380953</v>
      </c>
      <c r="AL377" s="1">
        <f>knicks_players_all_stats[[#This Row],[TOV2]]/10</f>
        <v>6</v>
      </c>
      <c r="AM377" s="4">
        <f>knicks_players_all_stats[[#This Row],[TOV]]/knicks_players_all_stats[[#This Row],[GP]]</f>
        <v>0.2857142857142857</v>
      </c>
      <c r="AN377" s="1">
        <v>16</v>
      </c>
      <c r="AO377" s="1">
        <f>knicks_players_all_stats[[#This Row],[PF]]/knicks_players_all_stats[[#This Row],[GP]]</f>
        <v>0.76190476190476186</v>
      </c>
      <c r="AP377" s="1">
        <v>25</v>
      </c>
      <c r="AQ377" s="4">
        <f>knicks_players_all_stats[[#This Row],[PTS]]/knicks_players_all_stats[[#This Row],[GP]]</f>
        <v>1.1904761904761905</v>
      </c>
    </row>
    <row r="378" spans="1:43" x14ac:dyDescent="0.3">
      <c r="A378" s="1" t="s">
        <v>1673</v>
      </c>
      <c r="B378" s="1" t="s">
        <v>1330</v>
      </c>
      <c r="C378" s="1" t="str">
        <f>knicks_players_all_stats[[#This Row],[NAME]]&amp;" ("&amp;knicks_players_all_stats[[#This Row],[SEASON]]&amp;")"</f>
        <v>Felton Spencer (2001-02)</v>
      </c>
      <c r="D378" s="1">
        <f>knicks_players_all_stats[[#This Row],[PLAYER_AGE]]/10</f>
        <v>34</v>
      </c>
      <c r="E378">
        <v>340</v>
      </c>
      <c r="F378" s="1">
        <v>32</v>
      </c>
      <c r="G378" s="1">
        <v>2480</v>
      </c>
      <c r="H37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-24</v>
      </c>
      <c r="I378" s="4">
        <f>knicks_players_all_stats[[#This Row],[VALORATION]]/knicks_players_all_stats[[#This Row],[GP]]</f>
        <v>-0.75</v>
      </c>
      <c r="J378" s="1">
        <v>6</v>
      </c>
      <c r="K378" s="1">
        <v>26</v>
      </c>
      <c r="L378" s="1">
        <v>231</v>
      </c>
      <c r="M378" s="4">
        <f>knicks_players_all_stats[[#This Row],[FG3M2]]/10</f>
        <v>0</v>
      </c>
      <c r="N378" s="1">
        <v>0</v>
      </c>
      <c r="O378" s="1">
        <f>knicks_players_all_stats[[#This Row],[FG3A2]]/10</f>
        <v>0</v>
      </c>
      <c r="P378" s="1">
        <v>0</v>
      </c>
      <c r="Q378" s="2" t="e">
        <f>knicks_players_all_stats[[#This Row],[FG3M2]]/knicks_players_all_stats[[#This Row],[FG3A2]]</f>
        <v>#DIV/0!</v>
      </c>
      <c r="R378" s="1">
        <v>17</v>
      </c>
      <c r="S378" s="1">
        <v>33</v>
      </c>
      <c r="T378" s="3">
        <f>knicks_players_all_stats[[#This Row],[FTM]]/knicks_players_all_stats[[#This Row],[FTA]]</f>
        <v>0.51515151515151514</v>
      </c>
      <c r="U378" s="1">
        <f>knicks_players_all_stats[[#This Row],[OREB22]]/10</f>
        <v>16</v>
      </c>
      <c r="V378" s="1">
        <f>knicks_players_all_stats[[#This Row],[DREB33]]/10</f>
        <v>34</v>
      </c>
      <c r="W378" s="1">
        <f>knicks_players_all_stats[[#This Row],[REB44]]/10</f>
        <v>50</v>
      </c>
      <c r="X378">
        <v>160</v>
      </c>
      <c r="Y378">
        <v>340</v>
      </c>
      <c r="Z378">
        <v>500</v>
      </c>
      <c r="AA378" s="14">
        <f>knicks_players_all_stats[[#This Row],[REB]]/knicks_players_all_stats[[#This Row],[GP]]</f>
        <v>1.5625</v>
      </c>
      <c r="AB378" s="1">
        <v>3</v>
      </c>
      <c r="AC378" s="4">
        <f>knicks_players_all_stats[[#This Row],[AST]]/knicks_players_all_stats[[#This Row],[GP]]</f>
        <v>9.375E-2</v>
      </c>
      <c r="AD378" s="1">
        <f>knicks_players_all_stats[[#This Row],[STL2]]/10</f>
        <v>7</v>
      </c>
      <c r="AE378" s="1">
        <v>70</v>
      </c>
      <c r="AF378" s="4">
        <f>knicks_players_all_stats[[#This Row],[STL]]/knicks_players_all_stats[[#This Row],[GP]]</f>
        <v>0.21875</v>
      </c>
      <c r="AG378">
        <v>80</v>
      </c>
      <c r="AH378" s="1">
        <f>knicks_players_all_stats[[#This Row],[BLK2]]/10</f>
        <v>8</v>
      </c>
      <c r="AI378" s="4">
        <f>knicks_players_all_stats[[#This Row],[BLK]]/knicks_players_all_stats[[#This Row],[GP]]</f>
        <v>0.25</v>
      </c>
      <c r="AJ378">
        <v>120</v>
      </c>
      <c r="AK378" s="4">
        <f>knicks_players_all_stats[[#This Row],[BLKPG]]+knicks_players_all_stats[[#This Row],[STLPG]]+knicks_players_all_stats[[#This Row],[REBPG]]</f>
        <v>2.03125</v>
      </c>
      <c r="AL378" s="1">
        <f>knicks_players_all_stats[[#This Row],[TOV2]]/10</f>
        <v>12</v>
      </c>
      <c r="AM378" s="4">
        <f>knicks_players_all_stats[[#This Row],[TOV]]/knicks_players_all_stats[[#This Row],[GP]]</f>
        <v>0.375</v>
      </c>
      <c r="AN378" s="1">
        <v>73</v>
      </c>
      <c r="AO378" s="1">
        <f>knicks_players_all_stats[[#This Row],[PF]]/knicks_players_all_stats[[#This Row],[GP]]</f>
        <v>2.28125</v>
      </c>
      <c r="AP378" s="1">
        <v>29</v>
      </c>
      <c r="AQ378" s="4">
        <f>knicks_players_all_stats[[#This Row],[PTS]]/knicks_players_all_stats[[#This Row],[GP]]</f>
        <v>0.90625</v>
      </c>
    </row>
    <row r="379" spans="1:43" x14ac:dyDescent="0.3">
      <c r="A379" s="1" t="s">
        <v>1328</v>
      </c>
      <c r="B379" s="1" t="s">
        <v>1327</v>
      </c>
      <c r="C379" s="1" t="str">
        <f>knicks_players_all_stats[[#This Row],[NAME]]&amp;" ("&amp;knicks_players_all_stats[[#This Row],[SEASON]]&amp;")"</f>
        <v>Svi Mykhailiuk (2022-23)</v>
      </c>
      <c r="D379" s="1">
        <f>knicks_players_all_stats[[#This Row],[PLAYER_AGE]]/10</f>
        <v>26</v>
      </c>
      <c r="E379">
        <v>260</v>
      </c>
      <c r="F379" s="1">
        <v>13</v>
      </c>
      <c r="G379" s="1">
        <v>400</v>
      </c>
      <c r="H37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</v>
      </c>
      <c r="I379" s="4">
        <f>knicks_players_all_stats[[#This Row],[VALORATION]]/knicks_players_all_stats[[#This Row],[GP]]</f>
        <v>1.4615384615384615</v>
      </c>
      <c r="J379" s="1">
        <v>6</v>
      </c>
      <c r="K379" s="1">
        <v>12</v>
      </c>
      <c r="L379" s="2">
        <f>knicks_players_all_stats[[#This Row],[FGM]]/knicks_players_all_stats[[#This Row],[FGA]]</f>
        <v>0.5</v>
      </c>
      <c r="M379" s="16">
        <f>knicks_players_all_stats[[#This Row],[FG3M2]]/10</f>
        <v>6</v>
      </c>
      <c r="N379" s="1">
        <v>60</v>
      </c>
      <c r="O379" s="1">
        <f>knicks_players_all_stats[[#This Row],[FG3A2]]/10</f>
        <v>10</v>
      </c>
      <c r="P379" s="1">
        <v>100</v>
      </c>
      <c r="Q379" s="2">
        <f>knicks_players_all_stats[[#This Row],[FG3M2]]/knicks_players_all_stats[[#This Row],[FG3A2]]</f>
        <v>0.6</v>
      </c>
      <c r="R379" s="1">
        <v>3</v>
      </c>
      <c r="S379" s="1">
        <v>5</v>
      </c>
      <c r="T379" s="3">
        <f>knicks_players_all_stats[[#This Row],[FTM]]/knicks_players_all_stats[[#This Row],[FTA]]</f>
        <v>0.6</v>
      </c>
      <c r="U379" s="1">
        <f>knicks_players_all_stats[[#This Row],[OREB22]]/10</f>
        <v>0</v>
      </c>
      <c r="V379" s="1">
        <f>knicks_players_all_stats[[#This Row],[DREB33]]/10</f>
        <v>7</v>
      </c>
      <c r="W379" s="1">
        <f>knicks_players_all_stats[[#This Row],[REB44]]/10</f>
        <v>7</v>
      </c>
      <c r="X379">
        <v>0</v>
      </c>
      <c r="Y379">
        <v>70</v>
      </c>
      <c r="Z379">
        <v>70</v>
      </c>
      <c r="AA379" s="14">
        <f>knicks_players_all_stats[[#This Row],[REB]]/knicks_players_all_stats[[#This Row],[GP]]</f>
        <v>0.53846153846153844</v>
      </c>
      <c r="AB379" s="1">
        <v>1</v>
      </c>
      <c r="AC379" s="4">
        <f>knicks_players_all_stats[[#This Row],[AST]]/knicks_players_all_stats[[#This Row],[GP]]</f>
        <v>7.6923076923076927E-2</v>
      </c>
      <c r="AD379" s="1">
        <f>knicks_players_all_stats[[#This Row],[STL2]]/10</f>
        <v>1</v>
      </c>
      <c r="AE379" s="1">
        <v>10</v>
      </c>
      <c r="AF379" s="4">
        <f>knicks_players_all_stats[[#This Row],[STL]]/knicks_players_all_stats[[#This Row],[GP]]</f>
        <v>7.6923076923076927E-2</v>
      </c>
      <c r="AG379">
        <v>0</v>
      </c>
      <c r="AH379" s="1">
        <f>knicks_players_all_stats[[#This Row],[BLK2]]/10</f>
        <v>0</v>
      </c>
      <c r="AI379" s="4">
        <f>knicks_players_all_stats[[#This Row],[BLK]]/knicks_players_all_stats[[#This Row],[GP]]</f>
        <v>0</v>
      </c>
      <c r="AJ379">
        <v>20</v>
      </c>
      <c r="AK379" s="4">
        <f>knicks_players_all_stats[[#This Row],[BLKPG]]+knicks_players_all_stats[[#This Row],[STLPG]]+knicks_players_all_stats[[#This Row],[REBPG]]</f>
        <v>0.61538461538461542</v>
      </c>
      <c r="AL379" s="1">
        <f>knicks_players_all_stats[[#This Row],[TOV2]]/10</f>
        <v>2</v>
      </c>
      <c r="AM379" s="4">
        <f>knicks_players_all_stats[[#This Row],[TOV]]/knicks_players_all_stats[[#This Row],[GP]]</f>
        <v>0.15384615384615385</v>
      </c>
      <c r="AN379" s="1">
        <v>1</v>
      </c>
      <c r="AO379" s="1">
        <f>knicks_players_all_stats[[#This Row],[PF]]/knicks_players_all_stats[[#This Row],[GP]]</f>
        <v>7.6923076923076927E-2</v>
      </c>
      <c r="AP379" s="1">
        <v>21</v>
      </c>
      <c r="AQ379" s="4">
        <f>knicks_players_all_stats[[#This Row],[PTS]]/knicks_players_all_stats[[#This Row],[GP]]</f>
        <v>1.6153846153846154</v>
      </c>
    </row>
    <row r="380" spans="1:43" x14ac:dyDescent="0.3">
      <c r="A380" s="1" t="s">
        <v>1743</v>
      </c>
      <c r="B380" s="1" t="s">
        <v>1302</v>
      </c>
      <c r="C380" s="1" t="str">
        <f>knicks_players_all_stats[[#This Row],[NAME]]&amp;" ("&amp;knicks_players_all_stats[[#This Row],[SEASON]]&amp;")"</f>
        <v>Jerome James (2006-07)</v>
      </c>
      <c r="D380" s="1">
        <f>knicks_players_all_stats[[#This Row],[PLAYER_AGE]]/10</f>
        <v>31</v>
      </c>
      <c r="E380">
        <v>310</v>
      </c>
      <c r="F380" s="1">
        <v>41</v>
      </c>
      <c r="G380" s="1">
        <v>2730</v>
      </c>
      <c r="H38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16</v>
      </c>
      <c r="I380" s="4">
        <f>knicks_players_all_stats[[#This Row],[VALORATION]]/knicks_players_all_stats[[#This Row],[GP]]</f>
        <v>0.3902439024390244</v>
      </c>
      <c r="J380" s="1">
        <v>33</v>
      </c>
      <c r="K380" s="1">
        <v>79</v>
      </c>
      <c r="L380" s="1">
        <v>418</v>
      </c>
      <c r="M380" s="4">
        <f>knicks_players_all_stats[[#This Row],[FG3M2]]/10</f>
        <v>0</v>
      </c>
      <c r="N380" s="1">
        <v>0</v>
      </c>
      <c r="O380" s="1">
        <f>knicks_players_all_stats[[#This Row],[FG3A2]]/10</f>
        <v>0</v>
      </c>
      <c r="P380" s="1">
        <v>0</v>
      </c>
      <c r="Q380" s="2" t="e">
        <f>knicks_players_all_stats[[#This Row],[FG3M2]]/knicks_players_all_stats[[#This Row],[FG3A2]]</f>
        <v>#DIV/0!</v>
      </c>
      <c r="R380" s="1">
        <v>10</v>
      </c>
      <c r="S380" s="1">
        <v>18</v>
      </c>
      <c r="T380" s="3">
        <f>knicks_players_all_stats[[#This Row],[FTM]]/knicks_players_all_stats[[#This Row],[FTA]]</f>
        <v>0.55555555555555558</v>
      </c>
      <c r="U380" s="1">
        <f>knicks_players_all_stats[[#This Row],[OREB22]]/10</f>
        <v>21</v>
      </c>
      <c r="V380" s="1">
        <f>knicks_players_all_stats[[#This Row],[DREB33]]/10</f>
        <v>45</v>
      </c>
      <c r="W380" s="1">
        <f>knicks_players_all_stats[[#This Row],[REB44]]/10</f>
        <v>66</v>
      </c>
      <c r="X380">
        <v>210</v>
      </c>
      <c r="Y380">
        <v>450</v>
      </c>
      <c r="Z380">
        <v>660</v>
      </c>
      <c r="AA380" s="14">
        <f>knicks_players_all_stats[[#This Row],[REB]]/knicks_players_all_stats[[#This Row],[GP]]</f>
        <v>1.6097560975609757</v>
      </c>
      <c r="AB380" s="1">
        <v>3</v>
      </c>
      <c r="AC380" s="4">
        <f>knicks_players_all_stats[[#This Row],[AST]]/knicks_players_all_stats[[#This Row],[GP]]</f>
        <v>7.3170731707317069E-2</v>
      </c>
      <c r="AD380" s="1">
        <f>knicks_players_all_stats[[#This Row],[STL2]]/10</f>
        <v>6</v>
      </c>
      <c r="AE380" s="1">
        <v>60</v>
      </c>
      <c r="AF380" s="4">
        <f>knicks_players_all_stats[[#This Row],[STL]]/knicks_players_all_stats[[#This Row],[GP]]</f>
        <v>0.14634146341463414</v>
      </c>
      <c r="AG380">
        <v>150</v>
      </c>
      <c r="AH380" s="1">
        <f>knicks_players_all_stats[[#This Row],[BLK2]]/10</f>
        <v>15</v>
      </c>
      <c r="AI380" s="4">
        <f>knicks_players_all_stats[[#This Row],[BLK]]/knicks_players_all_stats[[#This Row],[GP]]</f>
        <v>0.36585365853658536</v>
      </c>
      <c r="AJ380">
        <v>230</v>
      </c>
      <c r="AK380" s="4">
        <f>knicks_players_all_stats[[#This Row],[BLKPG]]+knicks_players_all_stats[[#This Row],[STLPG]]+knicks_players_all_stats[[#This Row],[REBPG]]</f>
        <v>2.1219512195121952</v>
      </c>
      <c r="AL380" s="1">
        <f>knicks_players_all_stats[[#This Row],[TOV2]]/10</f>
        <v>23</v>
      </c>
      <c r="AM380" s="4">
        <f>knicks_players_all_stats[[#This Row],[TOV]]/knicks_players_all_stats[[#This Row],[GP]]</f>
        <v>0.56097560975609762</v>
      </c>
      <c r="AN380" s="1">
        <v>73</v>
      </c>
      <c r="AO380" s="1">
        <f>knicks_players_all_stats[[#This Row],[PF]]/knicks_players_all_stats[[#This Row],[GP]]</f>
        <v>1.7804878048780488</v>
      </c>
      <c r="AP380" s="1">
        <v>76</v>
      </c>
      <c r="AQ380" s="4">
        <f>knicks_players_all_stats[[#This Row],[PTS]]/knicks_players_all_stats[[#This Row],[GP]]</f>
        <v>1.8536585365853659</v>
      </c>
    </row>
    <row r="381" spans="1:43" customFormat="1" x14ac:dyDescent="0.3">
      <c r="A381" s="1" t="s">
        <v>1485</v>
      </c>
      <c r="B381" s="1" t="s">
        <v>1289</v>
      </c>
      <c r="C381" s="1" t="str">
        <f>knicks_players_all_stats[[#This Row],[NAME]]&amp;" ("&amp;knicks_players_all_stats[[#This Row],[SEASON]]&amp;")"</f>
        <v>Theo Pinson (2020-21)</v>
      </c>
      <c r="D381" s="1">
        <f>knicks_players_all_stats[[#This Row],[PLAYER_AGE]]/10</f>
        <v>25</v>
      </c>
      <c r="E381">
        <v>250</v>
      </c>
      <c r="F381" s="1">
        <v>17</v>
      </c>
      <c r="G381" s="1">
        <v>340</v>
      </c>
      <c r="H38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-5</v>
      </c>
      <c r="I381" s="4">
        <f>knicks_players_all_stats[[#This Row],[VALORATION]]/knicks_players_all_stats[[#This Row],[GP]]</f>
        <v>-0.29411764705882354</v>
      </c>
      <c r="J381" s="1">
        <v>1</v>
      </c>
      <c r="K381" s="1">
        <v>9</v>
      </c>
      <c r="L381" s="2">
        <f>knicks_players_all_stats[[#This Row],[FGM]]/knicks_players_all_stats[[#This Row],[FGA]]</f>
        <v>0.1111111111111111</v>
      </c>
      <c r="M381" s="16">
        <f>knicks_players_all_stats[[#This Row],[FG3M2]]/10</f>
        <v>0</v>
      </c>
      <c r="N381" s="1">
        <v>0</v>
      </c>
      <c r="O381" s="1">
        <f>knicks_players_all_stats[[#This Row],[FG3A2]]/10</f>
        <v>8</v>
      </c>
      <c r="P381" s="1">
        <v>80</v>
      </c>
      <c r="Q381" s="2">
        <f>knicks_players_all_stats[[#This Row],[FG3M2]]/knicks_players_all_stats[[#This Row],[FG3A2]]</f>
        <v>0</v>
      </c>
      <c r="R381" s="1">
        <v>0</v>
      </c>
      <c r="S381" s="1">
        <v>0</v>
      </c>
      <c r="T381" s="3" t="e">
        <f>knicks_players_all_stats[[#This Row],[FTM]]/knicks_players_all_stats[[#This Row],[FTA]]</f>
        <v>#DIV/0!</v>
      </c>
      <c r="U381" s="1">
        <f>knicks_players_all_stats[[#This Row],[OREB22]]/10</f>
        <v>0</v>
      </c>
      <c r="V381" s="1">
        <f>knicks_players_all_stats[[#This Row],[DREB33]]/10</f>
        <v>5</v>
      </c>
      <c r="W381" s="1">
        <f>knicks_players_all_stats[[#This Row],[REB44]]/10</f>
        <v>5</v>
      </c>
      <c r="X381">
        <v>0</v>
      </c>
      <c r="Y381">
        <v>50</v>
      </c>
      <c r="Z381">
        <v>50</v>
      </c>
      <c r="AA381" s="14">
        <f>knicks_players_all_stats[[#This Row],[REB]]/knicks_players_all_stats[[#This Row],[GP]]</f>
        <v>0.29411764705882354</v>
      </c>
      <c r="AB381" s="1">
        <v>1</v>
      </c>
      <c r="AC381" s="4">
        <f>knicks_players_all_stats[[#This Row],[AST]]/knicks_players_all_stats[[#This Row],[GP]]</f>
        <v>5.8823529411764705E-2</v>
      </c>
      <c r="AD381" s="1">
        <f>knicks_players_all_stats[[#This Row],[STL2]]/10</f>
        <v>0</v>
      </c>
      <c r="AE381" s="1">
        <v>0</v>
      </c>
      <c r="AF381" s="4">
        <f>knicks_players_all_stats[[#This Row],[STL]]/knicks_players_all_stats[[#This Row],[GP]]</f>
        <v>0</v>
      </c>
      <c r="AG381">
        <v>0</v>
      </c>
      <c r="AH381" s="1">
        <f>knicks_players_all_stats[[#This Row],[BLK2]]/10</f>
        <v>0</v>
      </c>
      <c r="AI381" s="4">
        <f>knicks_players_all_stats[[#This Row],[BLK]]/knicks_players_all_stats[[#This Row],[GP]]</f>
        <v>0</v>
      </c>
      <c r="AJ381">
        <v>10</v>
      </c>
      <c r="AK381" s="4">
        <f>knicks_players_all_stats[[#This Row],[BLKPG]]+knicks_players_all_stats[[#This Row],[STLPG]]+knicks_players_all_stats[[#This Row],[REBPG]]</f>
        <v>0.29411764705882354</v>
      </c>
      <c r="AL381" s="1">
        <f>knicks_players_all_stats[[#This Row],[TOV2]]/10</f>
        <v>1</v>
      </c>
      <c r="AM381" s="4">
        <f>knicks_players_all_stats[[#This Row],[TOV]]/knicks_players_all_stats[[#This Row],[GP]]</f>
        <v>5.8823529411764705E-2</v>
      </c>
      <c r="AN381" s="1">
        <v>4</v>
      </c>
      <c r="AO381" s="1">
        <f>knicks_players_all_stats[[#This Row],[PF]]/knicks_players_all_stats[[#This Row],[GP]]</f>
        <v>0.23529411764705882</v>
      </c>
      <c r="AP381" s="1">
        <v>2</v>
      </c>
      <c r="AQ381" s="4">
        <f>knicks_players_all_stats[[#This Row],[PTS]]/knicks_players_all_stats[[#This Row],[GP]]</f>
        <v>0.11764705882352941</v>
      </c>
    </row>
    <row r="382" spans="1:43" customFormat="1" x14ac:dyDescent="0.3">
      <c r="A382" s="1" t="s">
        <v>1352</v>
      </c>
      <c r="B382" s="1" t="s">
        <v>1304</v>
      </c>
      <c r="C382" s="1" t="str">
        <f>knicks_players_all_stats[[#This Row],[NAME]]&amp;" ("&amp;knicks_players_all_stats[[#This Row],[SEASON]]&amp;")"</f>
        <v>Courtney Sims (2008-09)</v>
      </c>
      <c r="D382" s="1">
        <f>knicks_players_all_stats[[#This Row],[PLAYER_AGE]]/10</f>
        <v>25</v>
      </c>
      <c r="E382">
        <v>250</v>
      </c>
      <c r="F382" s="1">
        <v>1</v>
      </c>
      <c r="G382" s="1">
        <v>110</v>
      </c>
      <c r="H38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6</v>
      </c>
      <c r="I382" s="4">
        <f>knicks_players_all_stats[[#This Row],[VALORATION]]/knicks_players_all_stats[[#This Row],[GP]]</f>
        <v>6</v>
      </c>
      <c r="J382" s="1">
        <v>3</v>
      </c>
      <c r="K382" s="1">
        <v>6</v>
      </c>
      <c r="L382" s="2">
        <f>knicks_players_all_stats[[#This Row],[FGM]]/knicks_players_all_stats[[#This Row],[FGA]]</f>
        <v>0.5</v>
      </c>
      <c r="M382" s="16">
        <f>knicks_players_all_stats[[#This Row],[FG3M2]]/10</f>
        <v>0</v>
      </c>
      <c r="N382" s="1">
        <v>0</v>
      </c>
      <c r="O382" s="1">
        <f>knicks_players_all_stats[[#This Row],[FG3A2]]/10</f>
        <v>0</v>
      </c>
      <c r="P382" s="1">
        <v>0</v>
      </c>
      <c r="Q382" s="2" t="e">
        <f>knicks_players_all_stats[[#This Row],[FG3M2]]/knicks_players_all_stats[[#This Row],[FG3A2]]</f>
        <v>#DIV/0!</v>
      </c>
      <c r="R382" s="1">
        <v>0</v>
      </c>
      <c r="S382" s="1">
        <v>0</v>
      </c>
      <c r="T382" s="3" t="e">
        <f>knicks_players_all_stats[[#This Row],[FTM]]/knicks_players_all_stats[[#This Row],[FTA]]</f>
        <v>#DIV/0!</v>
      </c>
      <c r="U382" s="1">
        <f>knicks_players_all_stats[[#This Row],[OREB22]]/10</f>
        <v>2</v>
      </c>
      <c r="V382" s="1">
        <f>knicks_players_all_stats[[#This Row],[DREB33]]/10</f>
        <v>2</v>
      </c>
      <c r="W382" s="1">
        <f>knicks_players_all_stats[[#This Row],[REB44]]/10</f>
        <v>4</v>
      </c>
      <c r="X382">
        <v>20</v>
      </c>
      <c r="Y382">
        <v>20</v>
      </c>
      <c r="Z382">
        <v>40</v>
      </c>
      <c r="AA382" s="14">
        <f>knicks_players_all_stats[[#This Row],[REB]]/knicks_players_all_stats[[#This Row],[GP]]</f>
        <v>4</v>
      </c>
      <c r="AB382" s="1">
        <v>0</v>
      </c>
      <c r="AC382" s="4">
        <f>knicks_players_all_stats[[#This Row],[AST]]/knicks_players_all_stats[[#This Row],[GP]]</f>
        <v>0</v>
      </c>
      <c r="AD382" s="1">
        <f>knicks_players_all_stats[[#This Row],[STL2]]/10</f>
        <v>0</v>
      </c>
      <c r="AE382" s="1">
        <v>0</v>
      </c>
      <c r="AF382" s="4">
        <f>knicks_players_all_stats[[#This Row],[STL]]/knicks_players_all_stats[[#This Row],[GP]]</f>
        <v>0</v>
      </c>
      <c r="AG382">
        <v>0</v>
      </c>
      <c r="AH382" s="1">
        <f>knicks_players_all_stats[[#This Row],[BLK2]]/10</f>
        <v>0</v>
      </c>
      <c r="AI382" s="4">
        <f>knicks_players_all_stats[[#This Row],[BLK]]/knicks_players_all_stats[[#This Row],[GP]]</f>
        <v>0</v>
      </c>
      <c r="AJ382">
        <v>0</v>
      </c>
      <c r="AK382" s="4">
        <f>knicks_players_all_stats[[#This Row],[BLKPG]]+knicks_players_all_stats[[#This Row],[STLPG]]+knicks_players_all_stats[[#This Row],[REBPG]]</f>
        <v>4</v>
      </c>
      <c r="AL382" s="1">
        <f>knicks_players_all_stats[[#This Row],[TOV2]]/10</f>
        <v>0</v>
      </c>
      <c r="AM382" s="4">
        <f>knicks_players_all_stats[[#This Row],[TOV]]/knicks_players_all_stats[[#This Row],[GP]]</f>
        <v>0</v>
      </c>
      <c r="AN382" s="1">
        <v>1</v>
      </c>
      <c r="AO382" s="1">
        <f>knicks_players_all_stats[[#This Row],[PF]]/knicks_players_all_stats[[#This Row],[GP]]</f>
        <v>1</v>
      </c>
      <c r="AP382" s="1">
        <v>6</v>
      </c>
      <c r="AQ382" s="4">
        <f>knicks_players_all_stats[[#This Row],[PTS]]/knicks_players_all_stats[[#This Row],[GP]]</f>
        <v>6</v>
      </c>
    </row>
    <row r="383" spans="1:43" customFormat="1" x14ac:dyDescent="0.3">
      <c r="A383" s="1" t="s">
        <v>1676</v>
      </c>
      <c r="B383" s="1" t="s">
        <v>1305</v>
      </c>
      <c r="C383" s="1" t="str">
        <f>knicks_players_all_stats[[#This Row],[NAME]]&amp;" ("&amp;knicks_players_all_stats[[#This Row],[SEASON]]&amp;")"</f>
        <v>Eddy Curry (2009-10)</v>
      </c>
      <c r="D383" s="1">
        <f>knicks_players_all_stats[[#This Row],[PLAYER_AGE]]/10</f>
        <v>27</v>
      </c>
      <c r="E383">
        <v>270</v>
      </c>
      <c r="F383" s="1">
        <v>7</v>
      </c>
      <c r="G383" s="1">
        <v>620</v>
      </c>
      <c r="H38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-6</v>
      </c>
      <c r="I383" s="4">
        <f>knicks_players_all_stats[[#This Row],[VALORATION]]/knicks_players_all_stats[[#This Row],[GP]]</f>
        <v>-0.8571428571428571</v>
      </c>
      <c r="J383" s="1">
        <v>8</v>
      </c>
      <c r="K383" s="1">
        <v>21</v>
      </c>
      <c r="L383" s="1">
        <v>381</v>
      </c>
      <c r="M383" s="4">
        <f>knicks_players_all_stats[[#This Row],[FG3M2]]/10</f>
        <v>0</v>
      </c>
      <c r="N383" s="1">
        <v>0</v>
      </c>
      <c r="O383" s="1">
        <f>knicks_players_all_stats[[#This Row],[FG3A2]]/10</f>
        <v>0</v>
      </c>
      <c r="P383" s="1">
        <v>0</v>
      </c>
      <c r="Q383" s="2" t="e">
        <f>knicks_players_all_stats[[#This Row],[FG3M2]]/knicks_players_all_stats[[#This Row],[FG3A2]]</f>
        <v>#DIV/0!</v>
      </c>
      <c r="R383" s="1">
        <v>10</v>
      </c>
      <c r="S383" s="1">
        <v>17</v>
      </c>
      <c r="T383" s="3">
        <f>knicks_players_all_stats[[#This Row],[FTM]]/knicks_players_all_stats[[#This Row],[FTA]]</f>
        <v>0.58823529411764708</v>
      </c>
      <c r="U383" s="1">
        <f>knicks_players_all_stats[[#This Row],[OREB22]]/10</f>
        <v>4</v>
      </c>
      <c r="V383" s="1">
        <f>knicks_players_all_stats[[#This Row],[DREB33]]/10</f>
        <v>9</v>
      </c>
      <c r="W383" s="1">
        <f>knicks_players_all_stats[[#This Row],[REB44]]/10</f>
        <v>13</v>
      </c>
      <c r="X383">
        <v>40</v>
      </c>
      <c r="Y383">
        <v>90</v>
      </c>
      <c r="Z383">
        <v>130</v>
      </c>
      <c r="AA383" s="14">
        <f>knicks_players_all_stats[[#This Row],[REB]]/knicks_players_all_stats[[#This Row],[GP]]</f>
        <v>1.8571428571428572</v>
      </c>
      <c r="AB383" s="1">
        <v>0</v>
      </c>
      <c r="AC383" s="4">
        <f>knicks_players_all_stats[[#This Row],[AST]]/knicks_players_all_stats[[#This Row],[GP]]</f>
        <v>0</v>
      </c>
      <c r="AD383" s="1">
        <f>knicks_players_all_stats[[#This Row],[STL2]]/10</f>
        <v>0</v>
      </c>
      <c r="AE383" s="1">
        <v>0</v>
      </c>
      <c r="AF383" s="4">
        <f>knicks_players_all_stats[[#This Row],[STL]]/knicks_players_all_stats[[#This Row],[GP]]</f>
        <v>0</v>
      </c>
      <c r="AG383">
        <v>10</v>
      </c>
      <c r="AH383" s="1">
        <f>knicks_players_all_stats[[#This Row],[BLK2]]/10</f>
        <v>1</v>
      </c>
      <c r="AI383" s="4">
        <f>knicks_players_all_stats[[#This Row],[BLK]]/knicks_players_all_stats[[#This Row],[GP]]</f>
        <v>0.14285714285714285</v>
      </c>
      <c r="AJ383">
        <v>130</v>
      </c>
      <c r="AK383" s="4">
        <f>knicks_players_all_stats[[#This Row],[BLKPG]]+knicks_players_all_stats[[#This Row],[STLPG]]+knicks_players_all_stats[[#This Row],[REBPG]]</f>
        <v>2</v>
      </c>
      <c r="AL383" s="1">
        <f>knicks_players_all_stats[[#This Row],[TOV2]]/10</f>
        <v>13</v>
      </c>
      <c r="AM383" s="4">
        <f>knicks_players_all_stats[[#This Row],[TOV]]/knicks_players_all_stats[[#This Row],[GP]]</f>
        <v>1.8571428571428572</v>
      </c>
      <c r="AN383" s="1">
        <v>13</v>
      </c>
      <c r="AO383" s="1">
        <f>knicks_players_all_stats[[#This Row],[PF]]/knicks_players_all_stats[[#This Row],[GP]]</f>
        <v>1.8571428571428572</v>
      </c>
      <c r="AP383" s="1">
        <v>26</v>
      </c>
      <c r="AQ383" s="4">
        <f>knicks_players_all_stats[[#This Row],[PTS]]/knicks_players_all_stats[[#This Row],[GP]]</f>
        <v>3.7142857142857144</v>
      </c>
    </row>
    <row r="384" spans="1:43" customFormat="1" x14ac:dyDescent="0.3">
      <c r="A384" s="1" t="s">
        <v>1779</v>
      </c>
      <c r="B384" s="1" t="s">
        <v>1279</v>
      </c>
      <c r="C384" s="1" t="str">
        <f>knicks_players_all_stats[[#This Row],[NAME]]&amp;" ("&amp;knicks_players_all_stats[[#This Row],[SEASON]]&amp;")"</f>
        <v>Jimmer Fredette (2015-16)</v>
      </c>
      <c r="D384" s="1">
        <f>knicks_players_all_stats[[#This Row],[PLAYER_AGE]]/10</f>
        <v>27</v>
      </c>
      <c r="E384">
        <v>270</v>
      </c>
      <c r="F384" s="1">
        <v>2</v>
      </c>
      <c r="G384" s="1">
        <v>50</v>
      </c>
      <c r="H38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</v>
      </c>
      <c r="I384" s="4">
        <f>knicks_players_all_stats[[#This Row],[VALORATION]]/knicks_players_all_stats[[#This Row],[GP]]</f>
        <v>2</v>
      </c>
      <c r="J384" s="1">
        <v>1</v>
      </c>
      <c r="K384" s="1">
        <v>1</v>
      </c>
      <c r="L384" s="1">
        <v>10</v>
      </c>
      <c r="M384" s="4">
        <f>knicks_players_all_stats[[#This Row],[FG3M2]]/10</f>
        <v>1</v>
      </c>
      <c r="N384" s="1">
        <v>10</v>
      </c>
      <c r="O384" s="1">
        <f>knicks_players_all_stats[[#This Row],[FG3A2]]/10</f>
        <v>1</v>
      </c>
      <c r="P384" s="1">
        <v>10</v>
      </c>
      <c r="Q384" s="2">
        <f>knicks_players_all_stats[[#This Row],[FG3M2]]/knicks_players_all_stats[[#This Row],[FG3A2]]</f>
        <v>1</v>
      </c>
      <c r="R384" s="1">
        <v>4</v>
      </c>
      <c r="S384" s="1">
        <v>5</v>
      </c>
      <c r="T384" s="3">
        <f>knicks_players_all_stats[[#This Row],[FTM]]/knicks_players_all_stats[[#This Row],[FTA]]</f>
        <v>0.8</v>
      </c>
      <c r="U384" s="1">
        <f>knicks_players_all_stats[[#This Row],[OREB22]]/10</f>
        <v>0</v>
      </c>
      <c r="V384" s="1">
        <f>knicks_players_all_stats[[#This Row],[DREB33]]/10</f>
        <v>0</v>
      </c>
      <c r="W384" s="1">
        <f>knicks_players_all_stats[[#This Row],[REB44]]/10</f>
        <v>0</v>
      </c>
      <c r="X384">
        <v>0</v>
      </c>
      <c r="Y384">
        <v>0</v>
      </c>
      <c r="Z384">
        <v>0</v>
      </c>
      <c r="AA384" s="14">
        <f>knicks_players_all_stats[[#This Row],[REB]]/knicks_players_all_stats[[#This Row],[GP]]</f>
        <v>0</v>
      </c>
      <c r="AB384" s="1">
        <v>0</v>
      </c>
      <c r="AC384" s="4">
        <f>knicks_players_all_stats[[#This Row],[AST]]/knicks_players_all_stats[[#This Row],[GP]]</f>
        <v>0</v>
      </c>
      <c r="AD384" s="1">
        <f>knicks_players_all_stats[[#This Row],[STL2]]/10</f>
        <v>0</v>
      </c>
      <c r="AE384" s="1">
        <v>0</v>
      </c>
      <c r="AF384" s="4">
        <f>knicks_players_all_stats[[#This Row],[STL]]/knicks_players_all_stats[[#This Row],[GP]]</f>
        <v>0</v>
      </c>
      <c r="AG384">
        <v>0</v>
      </c>
      <c r="AH384" s="1">
        <f>knicks_players_all_stats[[#This Row],[BLK2]]/10</f>
        <v>0</v>
      </c>
      <c r="AI384" s="4">
        <f>knicks_players_all_stats[[#This Row],[BLK]]/knicks_players_all_stats[[#This Row],[GP]]</f>
        <v>0</v>
      </c>
      <c r="AJ384">
        <v>10</v>
      </c>
      <c r="AK384" s="4">
        <f>knicks_players_all_stats[[#This Row],[BLKPG]]+knicks_players_all_stats[[#This Row],[STLPG]]+knicks_players_all_stats[[#This Row],[REBPG]]</f>
        <v>0</v>
      </c>
      <c r="AL384" s="1">
        <f>knicks_players_all_stats[[#This Row],[TOV2]]/10</f>
        <v>1</v>
      </c>
      <c r="AM384" s="4">
        <f>knicks_players_all_stats[[#This Row],[TOV]]/knicks_players_all_stats[[#This Row],[GP]]</f>
        <v>0.5</v>
      </c>
      <c r="AN384" s="1">
        <v>1</v>
      </c>
      <c r="AO384" s="1">
        <f>knicks_players_all_stats[[#This Row],[PF]]/knicks_players_all_stats[[#This Row],[GP]]</f>
        <v>0.5</v>
      </c>
      <c r="AP384" s="1">
        <v>7</v>
      </c>
      <c r="AQ384" s="4">
        <f>knicks_players_all_stats[[#This Row],[PTS]]/knicks_players_all_stats[[#This Row],[GP]]</f>
        <v>3.5</v>
      </c>
    </row>
    <row r="385" spans="1:43" customFormat="1" x14ac:dyDescent="0.3">
      <c r="A385" s="1" t="s">
        <v>1519</v>
      </c>
      <c r="B385" s="1" t="s">
        <v>1295</v>
      </c>
      <c r="C385" s="1" t="str">
        <f>knicks_players_all_stats[[#This Row],[NAME]]&amp;" ("&amp;knicks_players_all_stats[[#This Row],[SEASON]]&amp;")"</f>
        <v>Jackie Butler (2004-05)</v>
      </c>
      <c r="D385" s="1">
        <f>knicks_players_all_stats[[#This Row],[PLAYER_AGE]]/10</f>
        <v>20</v>
      </c>
      <c r="E385">
        <v>200</v>
      </c>
      <c r="F385" s="1">
        <v>3</v>
      </c>
      <c r="G385" s="1">
        <v>50</v>
      </c>
      <c r="H38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10</v>
      </c>
      <c r="I385" s="4">
        <f>knicks_players_all_stats[[#This Row],[VALORATION]]/knicks_players_all_stats[[#This Row],[GP]]</f>
        <v>3.3333333333333335</v>
      </c>
      <c r="J385" s="1">
        <v>4</v>
      </c>
      <c r="K385" s="1">
        <v>4</v>
      </c>
      <c r="L385" s="2">
        <f>knicks_players_all_stats[[#This Row],[FGM]]/knicks_players_all_stats[[#This Row],[FGA]]</f>
        <v>1</v>
      </c>
      <c r="M385" s="16">
        <f>knicks_players_all_stats[[#This Row],[FG3M2]]/10</f>
        <v>0</v>
      </c>
      <c r="N385" s="1">
        <v>0</v>
      </c>
      <c r="O385" s="1">
        <f>knicks_players_all_stats[[#This Row],[FG3A2]]/10</f>
        <v>0</v>
      </c>
      <c r="P385" s="1">
        <v>0</v>
      </c>
      <c r="Q385" s="2" t="e">
        <f>knicks_players_all_stats[[#This Row],[FG3M2]]/knicks_players_all_stats[[#This Row],[FG3A2]]</f>
        <v>#DIV/0!</v>
      </c>
      <c r="R385" s="1">
        <v>2</v>
      </c>
      <c r="S385" s="1">
        <v>2</v>
      </c>
      <c r="T385" s="3">
        <f>knicks_players_all_stats[[#This Row],[FTM]]/knicks_players_all_stats[[#This Row],[FTA]]</f>
        <v>1</v>
      </c>
      <c r="U385" s="1">
        <f>knicks_players_all_stats[[#This Row],[OREB22]]/10</f>
        <v>0</v>
      </c>
      <c r="V385" s="1">
        <f>knicks_players_all_stats[[#This Row],[DREB33]]/10</f>
        <v>0</v>
      </c>
      <c r="W385" s="1">
        <f>knicks_players_all_stats[[#This Row],[REB44]]/10</f>
        <v>0</v>
      </c>
      <c r="X385">
        <v>0</v>
      </c>
      <c r="Y385">
        <v>0</v>
      </c>
      <c r="Z385">
        <v>0</v>
      </c>
      <c r="AA385" s="14">
        <f>knicks_players_all_stats[[#This Row],[REB]]/knicks_players_all_stats[[#This Row],[GP]]</f>
        <v>0</v>
      </c>
      <c r="AB385" s="1">
        <v>0</v>
      </c>
      <c r="AC385" s="4">
        <f>knicks_players_all_stats[[#This Row],[AST]]/knicks_players_all_stats[[#This Row],[GP]]</f>
        <v>0</v>
      </c>
      <c r="AD385" s="1">
        <f>knicks_players_all_stats[[#This Row],[STL2]]/10</f>
        <v>1</v>
      </c>
      <c r="AE385" s="1">
        <v>10</v>
      </c>
      <c r="AF385" s="4">
        <f>knicks_players_all_stats[[#This Row],[STL]]/knicks_players_all_stats[[#This Row],[GP]]</f>
        <v>0.33333333333333331</v>
      </c>
      <c r="AG385">
        <v>0</v>
      </c>
      <c r="AH385" s="1">
        <f>knicks_players_all_stats[[#This Row],[BLK2]]/10</f>
        <v>0</v>
      </c>
      <c r="AI385" s="4">
        <f>knicks_players_all_stats[[#This Row],[BLK]]/knicks_players_all_stats[[#This Row],[GP]]</f>
        <v>0</v>
      </c>
      <c r="AJ385">
        <v>10</v>
      </c>
      <c r="AK385" s="4">
        <f>knicks_players_all_stats[[#This Row],[BLKPG]]+knicks_players_all_stats[[#This Row],[STLPG]]+knicks_players_all_stats[[#This Row],[REBPG]]</f>
        <v>0.33333333333333331</v>
      </c>
      <c r="AL385" s="1">
        <f>knicks_players_all_stats[[#This Row],[TOV2]]/10</f>
        <v>1</v>
      </c>
      <c r="AM385" s="4">
        <f>knicks_players_all_stats[[#This Row],[TOV]]/knicks_players_all_stats[[#This Row],[GP]]</f>
        <v>0.33333333333333331</v>
      </c>
      <c r="AN385" s="1">
        <v>0</v>
      </c>
      <c r="AO385" s="1">
        <f>knicks_players_all_stats[[#This Row],[PF]]/knicks_players_all_stats[[#This Row],[GP]]</f>
        <v>0</v>
      </c>
      <c r="AP385" s="1">
        <v>10</v>
      </c>
      <c r="AQ385" s="4">
        <f>knicks_players_all_stats[[#This Row],[PTS]]/knicks_players_all_stats[[#This Row],[GP]]</f>
        <v>3.3333333333333335</v>
      </c>
    </row>
    <row r="386" spans="1:43" x14ac:dyDescent="0.3">
      <c r="A386" s="1" t="s">
        <v>1704</v>
      </c>
      <c r="B386" s="1" t="s">
        <v>1304</v>
      </c>
      <c r="C386" s="1" t="str">
        <f>knicks_players_all_stats[[#This Row],[NAME]]&amp;" ("&amp;knicks_players_all_stats[[#This Row],[SEASON]]&amp;")"</f>
        <v>Mouhamed Sene (2008-09)</v>
      </c>
      <c r="D386" s="1">
        <f>knicks_players_all_stats[[#This Row],[PLAYER_AGE]]/10</f>
        <v>23</v>
      </c>
      <c r="E386">
        <v>230</v>
      </c>
      <c r="F386" s="1">
        <v>1</v>
      </c>
      <c r="G386" s="1">
        <v>60</v>
      </c>
      <c r="H38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386" s="4">
        <f>knicks_players_all_stats[[#This Row],[VALORATION]]/knicks_players_all_stats[[#This Row],[GP]]</f>
        <v>7</v>
      </c>
      <c r="J386" s="1">
        <v>1</v>
      </c>
      <c r="K386" s="1">
        <v>2</v>
      </c>
      <c r="L386" s="1">
        <v>5</v>
      </c>
      <c r="M386" s="4">
        <f>knicks_players_all_stats[[#This Row],[FG3M2]]/10</f>
        <v>0</v>
      </c>
      <c r="N386" s="1">
        <v>0</v>
      </c>
      <c r="O386" s="1">
        <f>knicks_players_all_stats[[#This Row],[FG3A2]]/10</f>
        <v>0</v>
      </c>
      <c r="P386" s="1">
        <v>0</v>
      </c>
      <c r="Q386" s="2" t="e">
        <f>knicks_players_all_stats[[#This Row],[FG3M2]]/knicks_players_all_stats[[#This Row],[FG3A2]]</f>
        <v>#DIV/0!</v>
      </c>
      <c r="R386" s="1">
        <v>1</v>
      </c>
      <c r="S386" s="1">
        <v>1</v>
      </c>
      <c r="T386" s="3">
        <f>knicks_players_all_stats[[#This Row],[FTM]]/knicks_players_all_stats[[#This Row],[FTA]]</f>
        <v>1</v>
      </c>
      <c r="U386" s="1">
        <f>knicks_players_all_stats[[#This Row],[OREB22]]/10</f>
        <v>2</v>
      </c>
      <c r="V386" s="1">
        <f>knicks_players_all_stats[[#This Row],[DREB33]]/10</f>
        <v>3</v>
      </c>
      <c r="W386" s="1">
        <f>knicks_players_all_stats[[#This Row],[REB44]]/10</f>
        <v>5</v>
      </c>
      <c r="X386">
        <v>20</v>
      </c>
      <c r="Y386">
        <v>30</v>
      </c>
      <c r="Z386">
        <v>50</v>
      </c>
      <c r="AA386" s="14">
        <f>knicks_players_all_stats[[#This Row],[REB]]/knicks_players_all_stats[[#This Row],[GP]]</f>
        <v>5</v>
      </c>
      <c r="AB386" s="1">
        <v>0</v>
      </c>
      <c r="AC386" s="4">
        <f>knicks_players_all_stats[[#This Row],[AST]]/knicks_players_all_stats[[#This Row],[GP]]</f>
        <v>0</v>
      </c>
      <c r="AD386" s="1">
        <f>knicks_players_all_stats[[#This Row],[STL2]]/10</f>
        <v>0</v>
      </c>
      <c r="AE386" s="1">
        <v>0</v>
      </c>
      <c r="AF386" s="4">
        <f>knicks_players_all_stats[[#This Row],[STL]]/knicks_players_all_stats[[#This Row],[GP]]</f>
        <v>0</v>
      </c>
      <c r="AG386">
        <v>10</v>
      </c>
      <c r="AH386" s="1">
        <f>knicks_players_all_stats[[#This Row],[BLK2]]/10</f>
        <v>1</v>
      </c>
      <c r="AI386" s="4">
        <f>knicks_players_all_stats[[#This Row],[BLK]]/knicks_players_all_stats[[#This Row],[GP]]</f>
        <v>1</v>
      </c>
      <c r="AJ386">
        <v>10</v>
      </c>
      <c r="AK386" s="4">
        <f>knicks_players_all_stats[[#This Row],[BLKPG]]+knicks_players_all_stats[[#This Row],[STLPG]]+knicks_players_all_stats[[#This Row],[REBPG]]</f>
        <v>6</v>
      </c>
      <c r="AL386" s="1">
        <f>knicks_players_all_stats[[#This Row],[TOV2]]/10</f>
        <v>1</v>
      </c>
      <c r="AM386" s="4">
        <f>knicks_players_all_stats[[#This Row],[TOV]]/knicks_players_all_stats[[#This Row],[GP]]</f>
        <v>1</v>
      </c>
      <c r="AN386" s="1">
        <v>0</v>
      </c>
      <c r="AO386" s="1">
        <f>knicks_players_all_stats[[#This Row],[PF]]/knicks_players_all_stats[[#This Row],[GP]]</f>
        <v>0</v>
      </c>
      <c r="AP386" s="1">
        <v>3</v>
      </c>
      <c r="AQ386" s="4">
        <f>knicks_players_all_stats[[#This Row],[PTS]]/knicks_players_all_stats[[#This Row],[GP]]</f>
        <v>3</v>
      </c>
    </row>
    <row r="387" spans="1:43" x14ac:dyDescent="0.3">
      <c r="A387" s="1" t="s">
        <v>1436</v>
      </c>
      <c r="B387" s="1" t="s">
        <v>1279</v>
      </c>
      <c r="C387" s="1" t="str">
        <f>knicks_players_all_stats[[#This Row],[NAME]]&amp;" ("&amp;knicks_players_all_stats[[#This Row],[SEASON]]&amp;")"</f>
        <v>Thanasis Antetokounmpo (2015-16)</v>
      </c>
      <c r="D387" s="1">
        <f>knicks_players_all_stats[[#This Row],[PLAYER_AGE]]/10</f>
        <v>23</v>
      </c>
      <c r="E387">
        <v>230</v>
      </c>
      <c r="F387" s="1">
        <v>2</v>
      </c>
      <c r="G387" s="1">
        <v>60</v>
      </c>
      <c r="H38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</v>
      </c>
      <c r="I387" s="4">
        <f>knicks_players_all_stats[[#This Row],[VALORATION]]/knicks_players_all_stats[[#This Row],[GP]]</f>
        <v>2</v>
      </c>
      <c r="J387" s="1">
        <v>3</v>
      </c>
      <c r="K387" s="1">
        <v>4</v>
      </c>
      <c r="L387" s="2">
        <f>knicks_players_all_stats[[#This Row],[FGM]]/knicks_players_all_stats[[#This Row],[FGA]]</f>
        <v>0.75</v>
      </c>
      <c r="M387" s="16">
        <f>knicks_players_all_stats[[#This Row],[FG3M2]]/10</f>
        <v>0</v>
      </c>
      <c r="N387" s="1">
        <v>0</v>
      </c>
      <c r="O387" s="1">
        <f>knicks_players_all_stats[[#This Row],[FG3A2]]/10</f>
        <v>1</v>
      </c>
      <c r="P387" s="1">
        <v>10</v>
      </c>
      <c r="Q387" s="2">
        <f>knicks_players_all_stats[[#This Row],[FG3M2]]/knicks_players_all_stats[[#This Row],[FG3A2]]</f>
        <v>0</v>
      </c>
      <c r="R387" s="1">
        <v>0</v>
      </c>
      <c r="S387" s="1">
        <v>0</v>
      </c>
      <c r="T387" s="3" t="e">
        <f>knicks_players_all_stats[[#This Row],[FTM]]/knicks_players_all_stats[[#This Row],[FTA]]</f>
        <v>#DIV/0!</v>
      </c>
      <c r="U387" s="1">
        <f>knicks_players_all_stats[[#This Row],[OREB22]]/10</f>
        <v>0</v>
      </c>
      <c r="V387" s="1">
        <f>knicks_players_all_stats[[#This Row],[DREB33]]/10</f>
        <v>1</v>
      </c>
      <c r="W387" s="1">
        <f>knicks_players_all_stats[[#This Row],[REB44]]/10</f>
        <v>1</v>
      </c>
      <c r="X387">
        <v>0</v>
      </c>
      <c r="Y387">
        <v>10</v>
      </c>
      <c r="Z387">
        <v>10</v>
      </c>
      <c r="AA387" s="14">
        <f>knicks_players_all_stats[[#This Row],[REB]]/knicks_players_all_stats[[#This Row],[GP]]</f>
        <v>0.5</v>
      </c>
      <c r="AB387" s="1">
        <v>0</v>
      </c>
      <c r="AC387" s="4">
        <f>knicks_players_all_stats[[#This Row],[AST]]/knicks_players_all_stats[[#This Row],[GP]]</f>
        <v>0</v>
      </c>
      <c r="AD387" s="1">
        <f>knicks_players_all_stats[[#This Row],[STL2]]/10</f>
        <v>0</v>
      </c>
      <c r="AE387" s="1">
        <v>0</v>
      </c>
      <c r="AF387" s="4">
        <f>knicks_players_all_stats[[#This Row],[STL]]/knicks_players_all_stats[[#This Row],[GP]]</f>
        <v>0</v>
      </c>
      <c r="AG387">
        <v>0</v>
      </c>
      <c r="AH387" s="1">
        <f>knicks_players_all_stats[[#This Row],[BLK2]]/10</f>
        <v>0</v>
      </c>
      <c r="AI387" s="4">
        <f>knicks_players_all_stats[[#This Row],[BLK]]/knicks_players_all_stats[[#This Row],[GP]]</f>
        <v>0</v>
      </c>
      <c r="AJ387">
        <v>0</v>
      </c>
      <c r="AK387" s="4">
        <f>knicks_players_all_stats[[#This Row],[BLKPG]]+knicks_players_all_stats[[#This Row],[STLPG]]+knicks_players_all_stats[[#This Row],[REBPG]]</f>
        <v>0.5</v>
      </c>
      <c r="AL387" s="1">
        <f>knicks_players_all_stats[[#This Row],[TOV2]]/10</f>
        <v>0</v>
      </c>
      <c r="AM387" s="4">
        <f>knicks_players_all_stats[[#This Row],[TOV]]/knicks_players_all_stats[[#This Row],[GP]]</f>
        <v>0</v>
      </c>
      <c r="AN387" s="1">
        <v>2</v>
      </c>
      <c r="AO387" s="1">
        <f>knicks_players_all_stats[[#This Row],[PF]]/knicks_players_all_stats[[#This Row],[GP]]</f>
        <v>1</v>
      </c>
      <c r="AP387" s="1">
        <v>6</v>
      </c>
      <c r="AQ387" s="4">
        <f>knicks_players_all_stats[[#This Row],[PTS]]/knicks_players_all_stats[[#This Row],[GP]]</f>
        <v>3</v>
      </c>
    </row>
    <row r="388" spans="1:43" x14ac:dyDescent="0.3">
      <c r="A388" s="1" t="s">
        <v>1743</v>
      </c>
      <c r="B388" s="1" t="s">
        <v>1304</v>
      </c>
      <c r="C388" s="1" t="str">
        <f>knicks_players_all_stats[[#This Row],[NAME]]&amp;" ("&amp;knicks_players_all_stats[[#This Row],[SEASON]]&amp;")"</f>
        <v>Jerome James (2008-09)</v>
      </c>
      <c r="D388" s="1">
        <f>knicks_players_all_stats[[#This Row],[PLAYER_AGE]]/10</f>
        <v>33</v>
      </c>
      <c r="E388">
        <v>330</v>
      </c>
      <c r="F388" s="1">
        <v>2</v>
      </c>
      <c r="G388" s="1">
        <v>100</v>
      </c>
      <c r="H38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</v>
      </c>
      <c r="I388" s="4">
        <f>knicks_players_all_stats[[#This Row],[VALORATION]]/knicks_players_all_stats[[#This Row],[GP]]</f>
        <v>1.5</v>
      </c>
      <c r="J388" s="1">
        <v>3</v>
      </c>
      <c r="K388" s="1">
        <v>8</v>
      </c>
      <c r="L388" s="1">
        <v>375</v>
      </c>
      <c r="M388" s="4">
        <f>knicks_players_all_stats[[#This Row],[FG3M2]]/10</f>
        <v>0</v>
      </c>
      <c r="N388" s="1">
        <v>0</v>
      </c>
      <c r="O388" s="1">
        <f>knicks_players_all_stats[[#This Row],[FG3A2]]/10</f>
        <v>0</v>
      </c>
      <c r="P388" s="1">
        <v>0</v>
      </c>
      <c r="Q388" s="2" t="e">
        <f>knicks_players_all_stats[[#This Row],[FG3M2]]/knicks_players_all_stats[[#This Row],[FG3A2]]</f>
        <v>#DIV/0!</v>
      </c>
      <c r="R388" s="1">
        <v>0</v>
      </c>
      <c r="S388" s="1">
        <v>0</v>
      </c>
      <c r="T388" s="3" t="e">
        <f>knicks_players_all_stats[[#This Row],[FTM]]/knicks_players_all_stats[[#This Row],[FTA]]</f>
        <v>#DIV/0!</v>
      </c>
      <c r="U388" s="1">
        <f>knicks_players_all_stats[[#This Row],[OREB22]]/10</f>
        <v>1</v>
      </c>
      <c r="V388" s="1">
        <f>knicks_players_all_stats[[#This Row],[DREB33]]/10</f>
        <v>2</v>
      </c>
      <c r="W388" s="1">
        <f>knicks_players_all_stats[[#This Row],[REB44]]/10</f>
        <v>3</v>
      </c>
      <c r="X388">
        <v>10</v>
      </c>
      <c r="Y388">
        <v>20</v>
      </c>
      <c r="Z388">
        <v>30</v>
      </c>
      <c r="AA388" s="14">
        <f>knicks_players_all_stats[[#This Row],[REB]]/knicks_players_all_stats[[#This Row],[GP]]</f>
        <v>1.5</v>
      </c>
      <c r="AB388" s="1">
        <v>0</v>
      </c>
      <c r="AC388" s="4">
        <f>knicks_players_all_stats[[#This Row],[AST]]/knicks_players_all_stats[[#This Row],[GP]]</f>
        <v>0</v>
      </c>
      <c r="AD388" s="1">
        <f>knicks_players_all_stats[[#This Row],[STL2]]/10</f>
        <v>1</v>
      </c>
      <c r="AE388" s="1">
        <v>10</v>
      </c>
      <c r="AF388" s="4">
        <f>knicks_players_all_stats[[#This Row],[STL]]/knicks_players_all_stats[[#This Row],[GP]]</f>
        <v>0.5</v>
      </c>
      <c r="AG388">
        <v>10</v>
      </c>
      <c r="AH388" s="1">
        <f>knicks_players_all_stats[[#This Row],[BLK2]]/10</f>
        <v>1</v>
      </c>
      <c r="AI388" s="4">
        <f>knicks_players_all_stats[[#This Row],[BLK]]/knicks_players_all_stats[[#This Row],[GP]]</f>
        <v>0.5</v>
      </c>
      <c r="AJ388">
        <v>10</v>
      </c>
      <c r="AK388" s="4">
        <f>knicks_players_all_stats[[#This Row],[BLKPG]]+knicks_players_all_stats[[#This Row],[STLPG]]+knicks_players_all_stats[[#This Row],[REBPG]]</f>
        <v>2.5</v>
      </c>
      <c r="AL388" s="1">
        <f>knicks_players_all_stats[[#This Row],[TOV2]]/10</f>
        <v>1</v>
      </c>
      <c r="AM388" s="4">
        <f>knicks_players_all_stats[[#This Row],[TOV]]/knicks_players_all_stats[[#This Row],[GP]]</f>
        <v>0.5</v>
      </c>
      <c r="AN388" s="1">
        <v>2</v>
      </c>
      <c r="AO388" s="1">
        <f>knicks_players_all_stats[[#This Row],[PF]]/knicks_players_all_stats[[#This Row],[GP]]</f>
        <v>1</v>
      </c>
      <c r="AP388" s="1">
        <v>6</v>
      </c>
      <c r="AQ388" s="4">
        <f>knicks_players_all_stats[[#This Row],[PTS]]/knicks_players_all_stats[[#This Row],[GP]]</f>
        <v>3</v>
      </c>
    </row>
    <row r="389" spans="1:43" customFormat="1" x14ac:dyDescent="0.3">
      <c r="A389" s="1" t="s">
        <v>1581</v>
      </c>
      <c r="B389" s="1" t="s">
        <v>1305</v>
      </c>
      <c r="C389" s="1" t="str">
        <f>knicks_players_all_stats[[#This Row],[NAME]]&amp;" ("&amp;knicks_players_all_stats[[#This Row],[SEASON]]&amp;")"</f>
        <v>Marcus Landry (2009-10)</v>
      </c>
      <c r="D389" s="1">
        <f>knicks_players_all_stats[[#This Row],[PLAYER_AGE]]/10</f>
        <v>24</v>
      </c>
      <c r="E389">
        <v>240</v>
      </c>
      <c r="F389" s="1">
        <v>17</v>
      </c>
      <c r="G389" s="1">
        <v>1080</v>
      </c>
      <c r="H38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19</v>
      </c>
      <c r="I389" s="4">
        <f>knicks_players_all_stats[[#This Row],[VALORATION]]/knicks_players_all_stats[[#This Row],[GP]]</f>
        <v>1.1176470588235294</v>
      </c>
      <c r="J389" s="1">
        <v>16</v>
      </c>
      <c r="K389" s="1">
        <v>41</v>
      </c>
      <c r="L389" s="2">
        <f>knicks_players_all_stats[[#This Row],[FGM]]/knicks_players_all_stats[[#This Row],[FGA]]</f>
        <v>0.3902439024390244</v>
      </c>
      <c r="M389" s="16">
        <f>knicks_players_all_stats[[#This Row],[FG3M2]]/10</f>
        <v>9</v>
      </c>
      <c r="N389" s="1">
        <v>90</v>
      </c>
      <c r="O389" s="1">
        <f>knicks_players_all_stats[[#This Row],[FG3A2]]/10</f>
        <v>26</v>
      </c>
      <c r="P389" s="1">
        <v>260</v>
      </c>
      <c r="Q389" s="2">
        <f>knicks_players_all_stats[[#This Row],[FG3M2]]/knicks_players_all_stats[[#This Row],[FG3A2]]</f>
        <v>0.34615384615384615</v>
      </c>
      <c r="R389" s="1">
        <v>3</v>
      </c>
      <c r="S389" s="1">
        <v>5</v>
      </c>
      <c r="T389" s="3">
        <f>knicks_players_all_stats[[#This Row],[FTM]]/knicks_players_all_stats[[#This Row],[FTA]]</f>
        <v>0.6</v>
      </c>
      <c r="U389" s="1">
        <f>knicks_players_all_stats[[#This Row],[OREB22]]/10</f>
        <v>5</v>
      </c>
      <c r="V389" s="1">
        <f>knicks_players_all_stats[[#This Row],[DREB33]]/10</f>
        <v>14</v>
      </c>
      <c r="W389" s="1">
        <f>knicks_players_all_stats[[#This Row],[REB44]]/10</f>
        <v>19</v>
      </c>
      <c r="X389">
        <v>50</v>
      </c>
      <c r="Y389">
        <v>140</v>
      </c>
      <c r="Z389">
        <v>190</v>
      </c>
      <c r="AA389" s="14">
        <f>knicks_players_all_stats[[#This Row],[REB]]/knicks_players_all_stats[[#This Row],[GP]]</f>
        <v>1.1176470588235294</v>
      </c>
      <c r="AB389" s="1">
        <v>0</v>
      </c>
      <c r="AC389" s="4">
        <f>knicks_players_all_stats[[#This Row],[AST]]/knicks_players_all_stats[[#This Row],[GP]]</f>
        <v>0</v>
      </c>
      <c r="AD389" s="1">
        <f>knicks_players_all_stats[[#This Row],[STL2]]/10</f>
        <v>1</v>
      </c>
      <c r="AE389" s="1">
        <v>10</v>
      </c>
      <c r="AF389" s="4">
        <f>knicks_players_all_stats[[#This Row],[STL]]/knicks_players_all_stats[[#This Row],[GP]]</f>
        <v>5.8823529411764705E-2</v>
      </c>
      <c r="AG389">
        <v>20</v>
      </c>
      <c r="AH389" s="1">
        <f>knicks_players_all_stats[[#This Row],[BLK2]]/10</f>
        <v>2</v>
      </c>
      <c r="AI389" s="4">
        <f>knicks_players_all_stats[[#This Row],[BLK]]/knicks_players_all_stats[[#This Row],[GP]]</f>
        <v>0.11764705882352941</v>
      </c>
      <c r="AJ389">
        <v>60</v>
      </c>
      <c r="AK389" s="4">
        <f>knicks_players_all_stats[[#This Row],[BLKPG]]+knicks_players_all_stats[[#This Row],[STLPG]]+knicks_players_all_stats[[#This Row],[REBPG]]</f>
        <v>1.2941176470588236</v>
      </c>
      <c r="AL389" s="1">
        <f>knicks_players_all_stats[[#This Row],[TOV2]]/10</f>
        <v>6</v>
      </c>
      <c r="AM389" s="4">
        <f>knicks_players_all_stats[[#This Row],[TOV]]/knicks_players_all_stats[[#This Row],[GP]]</f>
        <v>0.35294117647058826</v>
      </c>
      <c r="AN389" s="1">
        <v>14</v>
      </c>
      <c r="AO389" s="1">
        <f>knicks_players_all_stats[[#This Row],[PF]]/knicks_players_all_stats[[#This Row],[GP]]</f>
        <v>0.82352941176470584</v>
      </c>
      <c r="AP389" s="1">
        <v>44</v>
      </c>
      <c r="AQ389" s="4">
        <f>knicks_players_all_stats[[#This Row],[PTS]]/knicks_players_all_stats[[#This Row],[GP]]</f>
        <v>2.5882352941176472</v>
      </c>
    </row>
    <row r="390" spans="1:43" customFormat="1" x14ac:dyDescent="0.3">
      <c r="A390" s="1" t="s">
        <v>1310</v>
      </c>
      <c r="B390" s="1" t="s">
        <v>1304</v>
      </c>
      <c r="C390" s="1" t="str">
        <f>knicks_players_all_stats[[#This Row],[NAME]]&amp;" ("&amp;knicks_players_all_stats[[#This Row],[SEASON]]&amp;")"</f>
        <v>Demetris Nichols (2008-09)</v>
      </c>
      <c r="D390" s="1">
        <f>knicks_players_all_stats[[#This Row],[PLAYER_AGE]]/10</f>
        <v>24</v>
      </c>
      <c r="E390">
        <v>240</v>
      </c>
      <c r="F390" s="1">
        <v>2</v>
      </c>
      <c r="G390" s="1">
        <v>90</v>
      </c>
      <c r="H39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4</v>
      </c>
      <c r="I390" s="4">
        <f>knicks_players_all_stats[[#This Row],[VALORATION]]/knicks_players_all_stats[[#This Row],[GP]]</f>
        <v>2</v>
      </c>
      <c r="J390" s="1">
        <v>2</v>
      </c>
      <c r="K390" s="1">
        <v>5</v>
      </c>
      <c r="L390" s="2">
        <f>knicks_players_all_stats[[#This Row],[FGM]]/knicks_players_all_stats[[#This Row],[FGA]]</f>
        <v>0.4</v>
      </c>
      <c r="M390" s="16">
        <f>knicks_players_all_stats[[#This Row],[FG3M2]]/10</f>
        <v>0</v>
      </c>
      <c r="N390" s="1">
        <v>0</v>
      </c>
      <c r="O390" s="1">
        <f>knicks_players_all_stats[[#This Row],[FG3A2]]/10</f>
        <v>1</v>
      </c>
      <c r="P390" s="1">
        <v>10</v>
      </c>
      <c r="Q390" s="2">
        <f>knicks_players_all_stats[[#This Row],[FG3M2]]/knicks_players_all_stats[[#This Row],[FG3A2]]</f>
        <v>0</v>
      </c>
      <c r="R390" s="1">
        <v>1</v>
      </c>
      <c r="S390" s="1">
        <v>2</v>
      </c>
      <c r="T390" s="3">
        <f>knicks_players_all_stats[[#This Row],[FTM]]/knicks_players_all_stats[[#This Row],[FTA]]</f>
        <v>0.5</v>
      </c>
      <c r="U390" s="1">
        <f>knicks_players_all_stats[[#This Row],[OREB22]]/10</f>
        <v>0</v>
      </c>
      <c r="V390" s="1">
        <f>knicks_players_all_stats[[#This Row],[DREB33]]/10</f>
        <v>2</v>
      </c>
      <c r="W390" s="1">
        <f>knicks_players_all_stats[[#This Row],[REB44]]/10</f>
        <v>2</v>
      </c>
      <c r="X390">
        <v>0</v>
      </c>
      <c r="Y390">
        <v>20</v>
      </c>
      <c r="Z390">
        <v>20</v>
      </c>
      <c r="AA390" s="14">
        <f>knicks_players_all_stats[[#This Row],[REB]]/knicks_players_all_stats[[#This Row],[GP]]</f>
        <v>1</v>
      </c>
      <c r="AB390" s="1">
        <v>0</v>
      </c>
      <c r="AC390" s="4">
        <f>knicks_players_all_stats[[#This Row],[AST]]/knicks_players_all_stats[[#This Row],[GP]]</f>
        <v>0</v>
      </c>
      <c r="AD390" s="1">
        <f>knicks_players_all_stats[[#This Row],[STL2]]/10</f>
        <v>0</v>
      </c>
      <c r="AE390" s="1">
        <v>0</v>
      </c>
      <c r="AF390" s="4">
        <f>knicks_players_all_stats[[#This Row],[STL]]/knicks_players_all_stats[[#This Row],[GP]]</f>
        <v>0</v>
      </c>
      <c r="AG390">
        <v>10</v>
      </c>
      <c r="AH390" s="1">
        <f>knicks_players_all_stats[[#This Row],[BLK2]]/10</f>
        <v>1</v>
      </c>
      <c r="AI390" s="4">
        <f>knicks_players_all_stats[[#This Row],[BLK]]/knicks_players_all_stats[[#This Row],[GP]]</f>
        <v>0.5</v>
      </c>
      <c r="AJ390">
        <v>0</v>
      </c>
      <c r="AK390" s="4">
        <f>knicks_players_all_stats[[#This Row],[BLKPG]]+knicks_players_all_stats[[#This Row],[STLPG]]+knicks_players_all_stats[[#This Row],[REBPG]]</f>
        <v>1.5</v>
      </c>
      <c r="AL390" s="1">
        <f>knicks_players_all_stats[[#This Row],[TOV2]]/10</f>
        <v>0</v>
      </c>
      <c r="AM390" s="4">
        <f>knicks_players_all_stats[[#This Row],[TOV]]/knicks_players_all_stats[[#This Row],[GP]]</f>
        <v>0</v>
      </c>
      <c r="AN390" s="1">
        <v>0</v>
      </c>
      <c r="AO390" s="1">
        <f>knicks_players_all_stats[[#This Row],[PF]]/knicks_players_all_stats[[#This Row],[GP]]</f>
        <v>0</v>
      </c>
      <c r="AP390" s="1">
        <v>5</v>
      </c>
      <c r="AQ390" s="4">
        <f>knicks_players_all_stats[[#This Row],[PTS]]/knicks_players_all_stats[[#This Row],[GP]]</f>
        <v>2.5</v>
      </c>
    </row>
    <row r="391" spans="1:43" x14ac:dyDescent="0.3">
      <c r="A391" s="1" t="s">
        <v>1743</v>
      </c>
      <c r="B391" s="1" t="s">
        <v>1303</v>
      </c>
      <c r="C391" s="1" t="str">
        <f>knicks_players_all_stats[[#This Row],[NAME]]&amp;" ("&amp;knicks_players_all_stats[[#This Row],[SEASON]]&amp;")"</f>
        <v>Jerome James (2007-08)</v>
      </c>
      <c r="D391" s="1">
        <f>knicks_players_all_stats[[#This Row],[PLAYER_AGE]]/10</f>
        <v>32</v>
      </c>
      <c r="E391">
        <v>320</v>
      </c>
      <c r="F391" s="1">
        <v>2</v>
      </c>
      <c r="G391" s="1">
        <v>50</v>
      </c>
      <c r="H39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7</v>
      </c>
      <c r="I391" s="4">
        <f>knicks_players_all_stats[[#This Row],[VALORATION]]/knicks_players_all_stats[[#This Row],[GP]]</f>
        <v>3.5</v>
      </c>
      <c r="J391" s="1">
        <v>1</v>
      </c>
      <c r="K391" s="1">
        <v>1</v>
      </c>
      <c r="L391" s="1">
        <v>10</v>
      </c>
      <c r="M391" s="4">
        <f>knicks_players_all_stats[[#This Row],[FG3M2]]/10</f>
        <v>0</v>
      </c>
      <c r="N391" s="1">
        <v>0</v>
      </c>
      <c r="O391" s="1">
        <f>knicks_players_all_stats[[#This Row],[FG3A2]]/10</f>
        <v>0</v>
      </c>
      <c r="P391" s="1">
        <v>0</v>
      </c>
      <c r="Q391" s="2" t="e">
        <f>knicks_players_all_stats[[#This Row],[FG3M2]]/knicks_players_all_stats[[#This Row],[FG3A2]]</f>
        <v>#DIV/0!</v>
      </c>
      <c r="R391" s="1">
        <v>2</v>
      </c>
      <c r="S391" s="1">
        <v>2</v>
      </c>
      <c r="T391" s="3">
        <f>knicks_players_all_stats[[#This Row],[FTM]]/knicks_players_all_stats[[#This Row],[FTA]]</f>
        <v>1</v>
      </c>
      <c r="U391" s="1">
        <f>knicks_players_all_stats[[#This Row],[OREB22]]/10</f>
        <v>0</v>
      </c>
      <c r="V391" s="1">
        <f>knicks_players_all_stats[[#This Row],[DREB33]]/10</f>
        <v>3</v>
      </c>
      <c r="W391" s="1">
        <f>knicks_players_all_stats[[#This Row],[REB44]]/10</f>
        <v>3</v>
      </c>
      <c r="X391">
        <v>0</v>
      </c>
      <c r="Y391">
        <v>30</v>
      </c>
      <c r="Z391">
        <v>30</v>
      </c>
      <c r="AA391" s="14">
        <f>knicks_players_all_stats[[#This Row],[REB]]/knicks_players_all_stats[[#This Row],[GP]]</f>
        <v>1.5</v>
      </c>
      <c r="AB391" s="1">
        <v>0</v>
      </c>
      <c r="AC391" s="4">
        <f>knicks_players_all_stats[[#This Row],[AST]]/knicks_players_all_stats[[#This Row],[GP]]</f>
        <v>0</v>
      </c>
      <c r="AD391" s="1">
        <f>knicks_players_all_stats[[#This Row],[STL2]]/10</f>
        <v>0</v>
      </c>
      <c r="AE391" s="1">
        <v>0</v>
      </c>
      <c r="AF391" s="4">
        <f>knicks_players_all_stats[[#This Row],[STL]]/knicks_players_all_stats[[#This Row],[GP]]</f>
        <v>0</v>
      </c>
      <c r="AG391">
        <v>0</v>
      </c>
      <c r="AH391" s="1">
        <f>knicks_players_all_stats[[#This Row],[BLK2]]/10</f>
        <v>0</v>
      </c>
      <c r="AI391" s="4">
        <f>knicks_players_all_stats[[#This Row],[BLK]]/knicks_players_all_stats[[#This Row],[GP]]</f>
        <v>0</v>
      </c>
      <c r="AJ391">
        <v>0</v>
      </c>
      <c r="AK391" s="4">
        <f>knicks_players_all_stats[[#This Row],[BLKPG]]+knicks_players_all_stats[[#This Row],[STLPG]]+knicks_players_all_stats[[#This Row],[REBPG]]</f>
        <v>1.5</v>
      </c>
      <c r="AL391" s="1">
        <f>knicks_players_all_stats[[#This Row],[TOV2]]/10</f>
        <v>0</v>
      </c>
      <c r="AM391" s="4">
        <f>knicks_players_all_stats[[#This Row],[TOV]]/knicks_players_all_stats[[#This Row],[GP]]</f>
        <v>0</v>
      </c>
      <c r="AN391" s="1">
        <v>0</v>
      </c>
      <c r="AO391" s="1">
        <f>knicks_players_all_stats[[#This Row],[PF]]/knicks_players_all_stats[[#This Row],[GP]]</f>
        <v>0</v>
      </c>
      <c r="AP391" s="1">
        <v>4</v>
      </c>
      <c r="AQ391" s="4">
        <f>knicks_players_all_stats[[#This Row],[PTS]]/knicks_players_all_stats[[#This Row],[GP]]</f>
        <v>2</v>
      </c>
    </row>
    <row r="392" spans="1:43" customFormat="1" x14ac:dyDescent="0.3">
      <c r="A392" s="1" t="s">
        <v>1676</v>
      </c>
      <c r="B392" s="1" t="s">
        <v>1304</v>
      </c>
      <c r="C392" s="1" t="str">
        <f>knicks_players_all_stats[[#This Row],[NAME]]&amp;" ("&amp;knicks_players_all_stats[[#This Row],[SEASON]]&amp;")"</f>
        <v>Eddy Curry (2008-09)</v>
      </c>
      <c r="D392" s="1">
        <f>knicks_players_all_stats[[#This Row],[PLAYER_AGE]]/10</f>
        <v>26</v>
      </c>
      <c r="E392">
        <v>260</v>
      </c>
      <c r="F392" s="1">
        <v>3</v>
      </c>
      <c r="G392" s="1">
        <v>120</v>
      </c>
      <c r="H39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0</v>
      </c>
      <c r="I392" s="4">
        <f>knicks_players_all_stats[[#This Row],[VALORATION]]/knicks_players_all_stats[[#This Row],[GP]]</f>
        <v>0</v>
      </c>
      <c r="J392" s="1">
        <v>2</v>
      </c>
      <c r="K392" s="1">
        <v>2</v>
      </c>
      <c r="L392" s="1">
        <v>10</v>
      </c>
      <c r="M392" s="4">
        <f>knicks_players_all_stats[[#This Row],[FG3M2]]/10</f>
        <v>0</v>
      </c>
      <c r="N392" s="1">
        <v>0</v>
      </c>
      <c r="O392" s="1">
        <f>knicks_players_all_stats[[#This Row],[FG3A2]]/10</f>
        <v>0</v>
      </c>
      <c r="P392" s="1">
        <v>0</v>
      </c>
      <c r="Q392" s="2" t="e">
        <f>knicks_players_all_stats[[#This Row],[FG3M2]]/knicks_players_all_stats[[#This Row],[FG3A2]]</f>
        <v>#DIV/0!</v>
      </c>
      <c r="R392" s="1">
        <v>1</v>
      </c>
      <c r="S392" s="1">
        <v>3</v>
      </c>
      <c r="T392" s="3">
        <f>knicks_players_all_stats[[#This Row],[FTM]]/knicks_players_all_stats[[#This Row],[FTA]]</f>
        <v>0.33333333333333331</v>
      </c>
      <c r="U392" s="1">
        <f>knicks_players_all_stats[[#This Row],[OREB22]]/10</f>
        <v>0</v>
      </c>
      <c r="V392" s="1">
        <f>knicks_players_all_stats[[#This Row],[DREB33]]/10</f>
        <v>4</v>
      </c>
      <c r="W392" s="1">
        <f>knicks_players_all_stats[[#This Row],[REB44]]/10</f>
        <v>4</v>
      </c>
      <c r="X392">
        <v>0</v>
      </c>
      <c r="Y392">
        <v>40</v>
      </c>
      <c r="Z392">
        <v>40</v>
      </c>
      <c r="AA392" s="14">
        <f>knicks_players_all_stats[[#This Row],[REB]]/knicks_players_all_stats[[#This Row],[GP]]</f>
        <v>1.3333333333333333</v>
      </c>
      <c r="AB392" s="1">
        <v>0</v>
      </c>
      <c r="AC392" s="4">
        <f>knicks_players_all_stats[[#This Row],[AST]]/knicks_players_all_stats[[#This Row],[GP]]</f>
        <v>0</v>
      </c>
      <c r="AD392" s="1">
        <f>knicks_players_all_stats[[#This Row],[STL2]]/10</f>
        <v>0</v>
      </c>
      <c r="AE392" s="1">
        <v>0</v>
      </c>
      <c r="AF392" s="4">
        <f>knicks_players_all_stats[[#This Row],[STL]]/knicks_players_all_stats[[#This Row],[GP]]</f>
        <v>0</v>
      </c>
      <c r="AG392">
        <v>0</v>
      </c>
      <c r="AH392" s="1">
        <f>knicks_players_all_stats[[#This Row],[BLK2]]/10</f>
        <v>0</v>
      </c>
      <c r="AI392" s="4">
        <f>knicks_players_all_stats[[#This Row],[BLK]]/knicks_players_all_stats[[#This Row],[GP]]</f>
        <v>0</v>
      </c>
      <c r="AJ392">
        <v>20</v>
      </c>
      <c r="AK392" s="4">
        <f>knicks_players_all_stats[[#This Row],[BLKPG]]+knicks_players_all_stats[[#This Row],[STLPG]]+knicks_players_all_stats[[#This Row],[REBPG]]</f>
        <v>1.3333333333333333</v>
      </c>
      <c r="AL392" s="1">
        <f>knicks_players_all_stats[[#This Row],[TOV2]]/10</f>
        <v>2</v>
      </c>
      <c r="AM392" s="4">
        <f>knicks_players_all_stats[[#This Row],[TOV]]/knicks_players_all_stats[[#This Row],[GP]]</f>
        <v>0.66666666666666663</v>
      </c>
      <c r="AN392" s="1">
        <v>5</v>
      </c>
      <c r="AO392" s="1">
        <f>knicks_players_all_stats[[#This Row],[PF]]/knicks_players_all_stats[[#This Row],[GP]]</f>
        <v>1.6666666666666667</v>
      </c>
      <c r="AP392" s="1">
        <v>5</v>
      </c>
      <c r="AQ392" s="4">
        <f>knicks_players_all_stats[[#This Row],[PTS]]/knicks_players_all_stats[[#This Row],[GP]]</f>
        <v>1.6666666666666667</v>
      </c>
    </row>
    <row r="393" spans="1:43" customFormat="1" x14ac:dyDescent="0.3">
      <c r="A393" s="1" t="s">
        <v>1331</v>
      </c>
      <c r="B393" s="1" t="s">
        <v>1330</v>
      </c>
      <c r="C393" s="1" t="str">
        <f>knicks_players_all_stats[[#This Row],[NAME]]&amp;" ("&amp;knicks_players_all_stats[[#This Row],[SEASON]]&amp;")"</f>
        <v>Larry Robinson (2001-02)</v>
      </c>
      <c r="D393" s="1">
        <f>knicks_players_all_stats[[#This Row],[PLAYER_AGE]]/10</f>
        <v>34</v>
      </c>
      <c r="E393">
        <v>340</v>
      </c>
      <c r="F393" s="1">
        <v>2</v>
      </c>
      <c r="G393" s="1">
        <v>110</v>
      </c>
      <c r="H39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1</v>
      </c>
      <c r="I393" s="4">
        <f>knicks_players_all_stats[[#This Row],[VALORATION]]/knicks_players_all_stats[[#This Row],[GP]]</f>
        <v>0.5</v>
      </c>
      <c r="J393" s="1">
        <v>1</v>
      </c>
      <c r="K393" s="1">
        <v>4</v>
      </c>
      <c r="L393" s="2">
        <f>knicks_players_all_stats[[#This Row],[FGM]]/knicks_players_all_stats[[#This Row],[FGA]]</f>
        <v>0.25</v>
      </c>
      <c r="M393" s="16">
        <f>knicks_players_all_stats[[#This Row],[FG3M2]]/10</f>
        <v>1</v>
      </c>
      <c r="N393" s="1">
        <v>10</v>
      </c>
      <c r="O393" s="1">
        <f>knicks_players_all_stats[[#This Row],[FG3A2]]/10</f>
        <v>2</v>
      </c>
      <c r="P393" s="1">
        <v>20</v>
      </c>
      <c r="Q393" s="2">
        <f>knicks_players_all_stats[[#This Row],[FG3M2]]/knicks_players_all_stats[[#This Row],[FG3A2]]</f>
        <v>0.5</v>
      </c>
      <c r="R393" s="1">
        <v>0</v>
      </c>
      <c r="S393" s="1">
        <v>0</v>
      </c>
      <c r="T393" s="3" t="e">
        <f>knicks_players_all_stats[[#This Row],[FTM]]/knicks_players_all_stats[[#This Row],[FTA]]</f>
        <v>#DIV/0!</v>
      </c>
      <c r="U393" s="1">
        <f>knicks_players_all_stats[[#This Row],[OREB22]]/10</f>
        <v>0</v>
      </c>
      <c r="V393" s="1">
        <f>knicks_players_all_stats[[#This Row],[DREB33]]/10</f>
        <v>2</v>
      </c>
      <c r="W393" s="1">
        <f>knicks_players_all_stats[[#This Row],[REB44]]/10</f>
        <v>2</v>
      </c>
      <c r="X393">
        <v>0</v>
      </c>
      <c r="Y393">
        <v>20</v>
      </c>
      <c r="Z393">
        <v>20</v>
      </c>
      <c r="AA393" s="14">
        <f>knicks_players_all_stats[[#This Row],[REB]]/knicks_players_all_stats[[#This Row],[GP]]</f>
        <v>1</v>
      </c>
      <c r="AB393" s="1">
        <v>0</v>
      </c>
      <c r="AC393" s="4">
        <f>knicks_players_all_stats[[#This Row],[AST]]/knicks_players_all_stats[[#This Row],[GP]]</f>
        <v>0</v>
      </c>
      <c r="AD393" s="1">
        <f>knicks_players_all_stats[[#This Row],[STL2]]/10</f>
        <v>0</v>
      </c>
      <c r="AE393" s="1">
        <v>0</v>
      </c>
      <c r="AF393" s="4">
        <f>knicks_players_all_stats[[#This Row],[STL]]/knicks_players_all_stats[[#This Row],[GP]]</f>
        <v>0</v>
      </c>
      <c r="AG393">
        <v>0</v>
      </c>
      <c r="AH393" s="1">
        <f>knicks_players_all_stats[[#This Row],[BLK2]]/10</f>
        <v>0</v>
      </c>
      <c r="AI393" s="4">
        <f>knicks_players_all_stats[[#This Row],[BLK]]/knicks_players_all_stats[[#This Row],[GP]]</f>
        <v>0</v>
      </c>
      <c r="AJ393">
        <v>0</v>
      </c>
      <c r="AK393" s="4">
        <f>knicks_players_all_stats[[#This Row],[BLKPG]]+knicks_players_all_stats[[#This Row],[STLPG]]+knicks_players_all_stats[[#This Row],[REBPG]]</f>
        <v>1</v>
      </c>
      <c r="AL393" s="1">
        <f>knicks_players_all_stats[[#This Row],[TOV2]]/10</f>
        <v>0</v>
      </c>
      <c r="AM393" s="4">
        <f>knicks_players_all_stats[[#This Row],[TOV]]/knicks_players_all_stats[[#This Row],[GP]]</f>
        <v>0</v>
      </c>
      <c r="AN393" s="1">
        <v>1</v>
      </c>
      <c r="AO393" s="1">
        <f>knicks_players_all_stats[[#This Row],[PF]]/knicks_players_all_stats[[#This Row],[GP]]</f>
        <v>0.5</v>
      </c>
      <c r="AP393" s="1">
        <v>3</v>
      </c>
      <c r="AQ393" s="4">
        <f>knicks_players_all_stats[[#This Row],[PTS]]/knicks_players_all_stats[[#This Row],[GP]]</f>
        <v>1.5</v>
      </c>
    </row>
    <row r="394" spans="1:43" customFormat="1" x14ac:dyDescent="0.3">
      <c r="A394" s="1" t="s">
        <v>1461</v>
      </c>
      <c r="B394" s="1" t="s">
        <v>1302</v>
      </c>
      <c r="C394" s="1" t="str">
        <f>knicks_players_all_stats[[#This Row],[NAME]]&amp;" ("&amp;knicks_players_all_stats[[#This Row],[SEASON]]&amp;")"</f>
        <v>Kelvin Cato (2006-07)</v>
      </c>
      <c r="D394" s="1">
        <f>knicks_players_all_stats[[#This Row],[PLAYER_AGE]]/10</f>
        <v>32</v>
      </c>
      <c r="E394">
        <v>320</v>
      </c>
      <c r="F394" s="1">
        <v>18</v>
      </c>
      <c r="G394" s="1">
        <v>950</v>
      </c>
      <c r="H39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31</v>
      </c>
      <c r="I394" s="4">
        <f>knicks_players_all_stats[[#This Row],[VALORATION]]/knicks_players_all_stats[[#This Row],[GP]]</f>
        <v>1.7222222222222223</v>
      </c>
      <c r="J394" s="1">
        <v>7</v>
      </c>
      <c r="K394" s="1">
        <v>22</v>
      </c>
      <c r="L394" s="2">
        <f>knicks_players_all_stats[[#This Row],[FGM]]/knicks_players_all_stats[[#This Row],[FGA]]</f>
        <v>0.31818181818181818</v>
      </c>
      <c r="M394" s="16">
        <f>knicks_players_all_stats[[#This Row],[FG3M2]]/10</f>
        <v>0</v>
      </c>
      <c r="N394" s="1">
        <v>0</v>
      </c>
      <c r="O394" s="1">
        <f>knicks_players_all_stats[[#This Row],[FG3A2]]/10</f>
        <v>0</v>
      </c>
      <c r="P394" s="1">
        <v>0</v>
      </c>
      <c r="Q394" s="2" t="e">
        <f>knicks_players_all_stats[[#This Row],[FG3M2]]/knicks_players_all_stats[[#This Row],[FG3A2]]</f>
        <v>#DIV/0!</v>
      </c>
      <c r="R394" s="1">
        <v>8</v>
      </c>
      <c r="S394" s="1">
        <v>12</v>
      </c>
      <c r="T394" s="3">
        <f>knicks_players_all_stats[[#This Row],[FTM]]/knicks_players_all_stats[[#This Row],[FTA]]</f>
        <v>0.66666666666666663</v>
      </c>
      <c r="U394" s="1">
        <f>knicks_players_all_stats[[#This Row],[OREB22]]/10</f>
        <v>12</v>
      </c>
      <c r="V394" s="1">
        <f>knicks_players_all_stats[[#This Row],[DREB33]]/10</f>
        <v>19</v>
      </c>
      <c r="W394" s="1">
        <f>knicks_players_all_stats[[#This Row],[REB44]]/10</f>
        <v>31</v>
      </c>
      <c r="X394">
        <v>120</v>
      </c>
      <c r="Y394">
        <v>190</v>
      </c>
      <c r="Z394">
        <v>310</v>
      </c>
      <c r="AA394" s="14">
        <f>knicks_players_all_stats[[#This Row],[REB]]/knicks_players_all_stats[[#This Row],[GP]]</f>
        <v>1.7222222222222223</v>
      </c>
      <c r="AB394" s="1">
        <v>0</v>
      </c>
      <c r="AC394" s="4">
        <f>knicks_players_all_stats[[#This Row],[AST]]/knicks_players_all_stats[[#This Row],[GP]]</f>
        <v>0</v>
      </c>
      <c r="AD394" s="1">
        <f>knicks_players_all_stats[[#This Row],[STL2]]/10</f>
        <v>3</v>
      </c>
      <c r="AE394" s="1">
        <v>30</v>
      </c>
      <c r="AF394" s="4">
        <f>knicks_players_all_stats[[#This Row],[STL]]/knicks_players_all_stats[[#This Row],[GP]]</f>
        <v>0.16666666666666666</v>
      </c>
      <c r="AG394">
        <v>100</v>
      </c>
      <c r="AH394" s="1">
        <f>knicks_players_all_stats[[#This Row],[BLK2]]/10</f>
        <v>10</v>
      </c>
      <c r="AI394" s="4">
        <f>knicks_players_all_stats[[#This Row],[BLK]]/knicks_players_all_stats[[#This Row],[GP]]</f>
        <v>0.55555555555555558</v>
      </c>
      <c r="AJ394">
        <v>60</v>
      </c>
      <c r="AK394" s="4">
        <f>knicks_players_all_stats[[#This Row],[BLKPG]]+knicks_players_all_stats[[#This Row],[STLPG]]+knicks_players_all_stats[[#This Row],[REBPG]]</f>
        <v>2.4444444444444446</v>
      </c>
      <c r="AL394" s="1">
        <f>knicks_players_all_stats[[#This Row],[TOV2]]/10</f>
        <v>6</v>
      </c>
      <c r="AM394" s="4">
        <f>knicks_players_all_stats[[#This Row],[TOV]]/knicks_players_all_stats[[#This Row],[GP]]</f>
        <v>0.33333333333333331</v>
      </c>
      <c r="AN394" s="1">
        <v>10</v>
      </c>
      <c r="AO394" s="1">
        <f>knicks_players_all_stats[[#This Row],[PF]]/knicks_players_all_stats[[#This Row],[GP]]</f>
        <v>0.55555555555555558</v>
      </c>
      <c r="AP394" s="1">
        <v>22</v>
      </c>
      <c r="AQ394" s="4">
        <f>knicks_players_all_stats[[#This Row],[PTS]]/knicks_players_all_stats[[#This Row],[GP]]</f>
        <v>1.2222222222222223</v>
      </c>
    </row>
    <row r="395" spans="1:43" customFormat="1" x14ac:dyDescent="0.3">
      <c r="A395" s="1" t="s">
        <v>1665</v>
      </c>
      <c r="B395" s="1" t="s">
        <v>1327</v>
      </c>
      <c r="C395" s="1" t="str">
        <f>knicks_players_all_stats[[#This Row],[NAME]]&amp;" ("&amp;knicks_players_all_stats[[#This Row],[SEASON]]&amp;")"</f>
        <v>Trevor Keels (2022-23)</v>
      </c>
      <c r="D395" s="1">
        <f>knicks_players_all_stats[[#This Row],[PLAYER_AGE]]/10</f>
        <v>19</v>
      </c>
      <c r="E395">
        <v>190</v>
      </c>
      <c r="F395" s="1">
        <v>3</v>
      </c>
      <c r="G395" s="1">
        <v>80</v>
      </c>
      <c r="H39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2</v>
      </c>
      <c r="I395" s="4">
        <f>knicks_players_all_stats[[#This Row],[VALORATION]]/knicks_players_all_stats[[#This Row],[GP]]</f>
        <v>0.66666666666666663</v>
      </c>
      <c r="J395" s="1">
        <v>1</v>
      </c>
      <c r="K395" s="1">
        <v>4</v>
      </c>
      <c r="L395" s="1">
        <v>25</v>
      </c>
      <c r="M395" s="4">
        <f>knicks_players_all_stats[[#This Row],[FG3M2]]/10</f>
        <v>1</v>
      </c>
      <c r="N395" s="1">
        <v>10</v>
      </c>
      <c r="O395" s="1">
        <f>knicks_players_all_stats[[#This Row],[FG3A2]]/10</f>
        <v>4</v>
      </c>
      <c r="P395" s="1">
        <v>40</v>
      </c>
      <c r="Q395" s="2">
        <f>knicks_players_all_stats[[#This Row],[FG3M2]]/knicks_players_all_stats[[#This Row],[FG3A2]]</f>
        <v>0.25</v>
      </c>
      <c r="R395" s="1">
        <v>0</v>
      </c>
      <c r="S395" s="1">
        <v>0</v>
      </c>
      <c r="T395" s="3" t="e">
        <f>knicks_players_all_stats[[#This Row],[FTM]]/knicks_players_all_stats[[#This Row],[FTA]]</f>
        <v>#DIV/0!</v>
      </c>
      <c r="U395" s="1">
        <f>knicks_players_all_stats[[#This Row],[OREB22]]/10</f>
        <v>0</v>
      </c>
      <c r="V395" s="1">
        <f>knicks_players_all_stats[[#This Row],[DREB33]]/10</f>
        <v>2</v>
      </c>
      <c r="W395" s="1">
        <f>knicks_players_all_stats[[#This Row],[REB44]]/10</f>
        <v>2</v>
      </c>
      <c r="X395">
        <v>0</v>
      </c>
      <c r="Y395">
        <v>20</v>
      </c>
      <c r="Z395">
        <v>20</v>
      </c>
      <c r="AA395" s="14">
        <f>knicks_players_all_stats[[#This Row],[REB]]/knicks_players_all_stats[[#This Row],[GP]]</f>
        <v>0.66666666666666663</v>
      </c>
      <c r="AB395" s="1">
        <v>0</v>
      </c>
      <c r="AC395" s="4">
        <f>knicks_players_all_stats[[#This Row],[AST]]/knicks_players_all_stats[[#This Row],[GP]]</f>
        <v>0</v>
      </c>
      <c r="AD395" s="1">
        <f>knicks_players_all_stats[[#This Row],[STL2]]/10</f>
        <v>0</v>
      </c>
      <c r="AE395" s="1">
        <v>0</v>
      </c>
      <c r="AF395" s="4">
        <f>knicks_players_all_stats[[#This Row],[STL]]/knicks_players_all_stats[[#This Row],[GP]]</f>
        <v>0</v>
      </c>
      <c r="AG395">
        <v>0</v>
      </c>
      <c r="AH395" s="1">
        <f>knicks_players_all_stats[[#This Row],[BLK2]]/10</f>
        <v>0</v>
      </c>
      <c r="AI395" s="4">
        <f>knicks_players_all_stats[[#This Row],[BLK]]/knicks_players_all_stats[[#This Row],[GP]]</f>
        <v>0</v>
      </c>
      <c r="AJ395">
        <v>0</v>
      </c>
      <c r="AK395" s="4">
        <f>knicks_players_all_stats[[#This Row],[BLKPG]]+knicks_players_all_stats[[#This Row],[STLPG]]+knicks_players_all_stats[[#This Row],[REBPG]]</f>
        <v>0.66666666666666663</v>
      </c>
      <c r="AL395" s="1">
        <f>knicks_players_all_stats[[#This Row],[TOV2]]/10</f>
        <v>0</v>
      </c>
      <c r="AM395" s="4">
        <f>knicks_players_all_stats[[#This Row],[TOV]]/knicks_players_all_stats[[#This Row],[GP]]</f>
        <v>0</v>
      </c>
      <c r="AN395" s="1">
        <v>0</v>
      </c>
      <c r="AO395" s="1">
        <f>knicks_players_all_stats[[#This Row],[PF]]/knicks_players_all_stats[[#This Row],[GP]]</f>
        <v>0</v>
      </c>
      <c r="AP395" s="1">
        <v>3</v>
      </c>
      <c r="AQ395" s="4">
        <f>knicks_players_all_stats[[#This Row],[PTS]]/knicks_players_all_stats[[#This Row],[GP]]</f>
        <v>1</v>
      </c>
    </row>
    <row r="396" spans="1:43" customFormat="1" x14ac:dyDescent="0.3">
      <c r="A396" s="1" t="s">
        <v>1311</v>
      </c>
      <c r="B396" s="1" t="s">
        <v>1312</v>
      </c>
      <c r="C396" s="1" t="str">
        <f>knicks_players_all_stats[[#This Row],[NAME]]&amp;" ("&amp;knicks_players_all_stats[[#This Row],[SEASON]]&amp;")"</f>
        <v>Renaldo Balkman (2010-11)</v>
      </c>
      <c r="D396" s="1">
        <f>knicks_players_all_stats[[#This Row],[PLAYER_AGE]]/10</f>
        <v>26</v>
      </c>
      <c r="E396">
        <v>260</v>
      </c>
      <c r="F396" s="1">
        <v>3</v>
      </c>
      <c r="G396" s="1">
        <v>180</v>
      </c>
      <c r="H39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396" s="4">
        <f>knicks_players_all_stats[[#This Row],[VALORATION]]/knicks_players_all_stats[[#This Row],[GP]]</f>
        <v>-0.33333333333333331</v>
      </c>
      <c r="J396" s="1">
        <v>1</v>
      </c>
      <c r="K396" s="1">
        <v>4</v>
      </c>
      <c r="L396" s="2">
        <f>knicks_players_all_stats[[#This Row],[FGM]]/knicks_players_all_stats[[#This Row],[FGA]]</f>
        <v>0.25</v>
      </c>
      <c r="M396" s="16">
        <f>knicks_players_all_stats[[#This Row],[FG3M2]]/10</f>
        <v>1</v>
      </c>
      <c r="N396" s="1">
        <v>10</v>
      </c>
      <c r="O396" s="1">
        <f>knicks_players_all_stats[[#This Row],[FG3A2]]/10</f>
        <v>2</v>
      </c>
      <c r="P396" s="1">
        <v>20</v>
      </c>
      <c r="Q396" s="2">
        <f>knicks_players_all_stats[[#This Row],[FG3M2]]/knicks_players_all_stats[[#This Row],[FG3A2]]</f>
        <v>0.5</v>
      </c>
      <c r="R396" s="1">
        <v>0</v>
      </c>
      <c r="S396" s="1">
        <v>0</v>
      </c>
      <c r="T396" s="3" t="e">
        <f>knicks_players_all_stats[[#This Row],[FTM]]/knicks_players_all_stats[[#This Row],[FTA]]</f>
        <v>#DIV/0!</v>
      </c>
      <c r="U396" s="1">
        <f>knicks_players_all_stats[[#This Row],[OREB22]]/10</f>
        <v>1</v>
      </c>
      <c r="V396" s="1">
        <f>knicks_players_all_stats[[#This Row],[DREB33]]/10</f>
        <v>2</v>
      </c>
      <c r="W396" s="1">
        <f>knicks_players_all_stats[[#This Row],[REB44]]/10</f>
        <v>3</v>
      </c>
      <c r="X396">
        <v>10</v>
      </c>
      <c r="Y396">
        <v>20</v>
      </c>
      <c r="Z396">
        <v>30</v>
      </c>
      <c r="AA396" s="14">
        <f>knicks_players_all_stats[[#This Row],[REB]]/knicks_players_all_stats[[#This Row],[GP]]</f>
        <v>1</v>
      </c>
      <c r="AB396" s="1">
        <v>0</v>
      </c>
      <c r="AC396" s="4">
        <f>knicks_players_all_stats[[#This Row],[AST]]/knicks_players_all_stats[[#This Row],[GP]]</f>
        <v>0</v>
      </c>
      <c r="AD396" s="1">
        <f>knicks_players_all_stats[[#This Row],[STL2]]/10</f>
        <v>1</v>
      </c>
      <c r="AE396" s="1">
        <v>10</v>
      </c>
      <c r="AF396" s="4">
        <f>knicks_players_all_stats[[#This Row],[STL]]/knicks_players_all_stats[[#This Row],[GP]]</f>
        <v>0.33333333333333331</v>
      </c>
      <c r="AG396">
        <v>0</v>
      </c>
      <c r="AH396" s="1">
        <f>knicks_players_all_stats[[#This Row],[BLK2]]/10</f>
        <v>0</v>
      </c>
      <c r="AI396" s="4">
        <f>knicks_players_all_stats[[#This Row],[BLK]]/knicks_players_all_stats[[#This Row],[GP]]</f>
        <v>0</v>
      </c>
      <c r="AJ396">
        <v>10</v>
      </c>
      <c r="AK396" s="4">
        <f>knicks_players_all_stats[[#This Row],[BLKPG]]+knicks_players_all_stats[[#This Row],[STLPG]]+knicks_players_all_stats[[#This Row],[REBPG]]</f>
        <v>1.3333333333333333</v>
      </c>
      <c r="AL396" s="1">
        <f>knicks_players_all_stats[[#This Row],[TOV2]]/10</f>
        <v>1</v>
      </c>
      <c r="AM396" s="4">
        <f>knicks_players_all_stats[[#This Row],[TOV]]/knicks_players_all_stats[[#This Row],[GP]]</f>
        <v>0.33333333333333331</v>
      </c>
      <c r="AN396" s="1">
        <v>4</v>
      </c>
      <c r="AO396" s="1">
        <f>knicks_players_all_stats[[#This Row],[PF]]/knicks_players_all_stats[[#This Row],[GP]]</f>
        <v>1.3333333333333333</v>
      </c>
      <c r="AP396" s="1">
        <v>3</v>
      </c>
      <c r="AQ396" s="4">
        <f>knicks_players_all_stats[[#This Row],[PTS]]/knicks_players_all_stats[[#This Row],[GP]]</f>
        <v>1</v>
      </c>
    </row>
    <row r="397" spans="1:43" x14ac:dyDescent="0.3">
      <c r="A397" s="1" t="s">
        <v>1597</v>
      </c>
      <c r="B397" s="1" t="s">
        <v>1369</v>
      </c>
      <c r="C397" s="1" t="str">
        <f>knicks_players_all_stats[[#This Row],[NAME]]&amp;" ("&amp;knicks_players_all_stats[[#This Row],[SEASON]]&amp;")"</f>
        <v>Charlie Brown Jr. (2023-24)</v>
      </c>
      <c r="D397" s="1">
        <f>knicks_players_all_stats[[#This Row],[PLAYER_AGE]]/10</f>
        <v>27</v>
      </c>
      <c r="E397">
        <v>270</v>
      </c>
      <c r="F397" s="1">
        <v>8</v>
      </c>
      <c r="G397" s="1">
        <v>370</v>
      </c>
      <c r="H39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-5</v>
      </c>
      <c r="I397" s="4">
        <f>knicks_players_all_stats[[#This Row],[VALORATION]]/knicks_players_all_stats[[#This Row],[GP]]</f>
        <v>-0.625</v>
      </c>
      <c r="J397" s="1">
        <v>2</v>
      </c>
      <c r="K397" s="1">
        <v>10</v>
      </c>
      <c r="L397" s="2">
        <f>knicks_players_all_stats[[#This Row],[FGM]]/knicks_players_all_stats[[#This Row],[FGA]]</f>
        <v>0.2</v>
      </c>
      <c r="M397" s="16">
        <f>knicks_players_all_stats[[#This Row],[FG3M2]]/10</f>
        <v>2</v>
      </c>
      <c r="N397" s="1">
        <v>20</v>
      </c>
      <c r="O397" s="1">
        <f>knicks_players_all_stats[[#This Row],[FG3A2]]/10</f>
        <v>7</v>
      </c>
      <c r="P397" s="1">
        <v>70</v>
      </c>
      <c r="Q397" s="2">
        <f>knicks_players_all_stats[[#This Row],[FG3M2]]/knicks_players_all_stats[[#This Row],[FG3A2]]</f>
        <v>0.2857142857142857</v>
      </c>
      <c r="R397" s="1">
        <v>0</v>
      </c>
      <c r="S397" s="1">
        <v>0</v>
      </c>
      <c r="T397" s="3" t="e">
        <f>knicks_players_all_stats[[#This Row],[FTM]]/knicks_players_all_stats[[#This Row],[FTA]]</f>
        <v>#DIV/0!</v>
      </c>
      <c r="U397" s="1">
        <f>knicks_players_all_stats[[#This Row],[OREB22]]/10</f>
        <v>1</v>
      </c>
      <c r="V397" s="1">
        <f>knicks_players_all_stats[[#This Row],[DREB33]]/10</f>
        <v>1</v>
      </c>
      <c r="W397" s="1">
        <f>knicks_players_all_stats[[#This Row],[REB44]]/10</f>
        <v>2</v>
      </c>
      <c r="X397">
        <v>10</v>
      </c>
      <c r="Y397">
        <v>10</v>
      </c>
      <c r="Z397">
        <v>20</v>
      </c>
      <c r="AA397" s="14">
        <f>knicks_players_all_stats[[#This Row],[REB]]/knicks_players_all_stats[[#This Row],[GP]]</f>
        <v>0.25</v>
      </c>
      <c r="AB397" s="1">
        <v>0</v>
      </c>
      <c r="AC397" s="4">
        <f>knicks_players_all_stats[[#This Row],[AST]]/knicks_players_all_stats[[#This Row],[GP]]</f>
        <v>0</v>
      </c>
      <c r="AD397" s="1">
        <f>knicks_players_all_stats[[#This Row],[STL2]]/10</f>
        <v>0</v>
      </c>
      <c r="AE397" s="1">
        <v>0</v>
      </c>
      <c r="AF397" s="4">
        <f>knicks_players_all_stats[[#This Row],[STL]]/knicks_players_all_stats[[#This Row],[GP]]</f>
        <v>0</v>
      </c>
      <c r="AG397">
        <v>20</v>
      </c>
      <c r="AH397" s="1">
        <f>knicks_players_all_stats[[#This Row],[BLK2]]/10</f>
        <v>2</v>
      </c>
      <c r="AI397" s="4">
        <f>knicks_players_all_stats[[#This Row],[BLK]]/knicks_players_all_stats[[#This Row],[GP]]</f>
        <v>0.25</v>
      </c>
      <c r="AJ397">
        <v>20</v>
      </c>
      <c r="AK397" s="4">
        <f>knicks_players_all_stats[[#This Row],[BLKPG]]+knicks_players_all_stats[[#This Row],[STLPG]]+knicks_players_all_stats[[#This Row],[REBPG]]</f>
        <v>0.5</v>
      </c>
      <c r="AL397" s="1">
        <f>knicks_players_all_stats[[#This Row],[TOV2]]/10</f>
        <v>2</v>
      </c>
      <c r="AM397" s="4">
        <f>knicks_players_all_stats[[#This Row],[TOV]]/knicks_players_all_stats[[#This Row],[GP]]</f>
        <v>0.25</v>
      </c>
      <c r="AN397" s="1">
        <v>5</v>
      </c>
      <c r="AO397" s="1">
        <f>knicks_players_all_stats[[#This Row],[PF]]/knicks_players_all_stats[[#This Row],[GP]]</f>
        <v>0.625</v>
      </c>
      <c r="AP397" s="1">
        <v>6</v>
      </c>
      <c r="AQ397" s="4">
        <f>knicks_players_all_stats[[#This Row],[PTS]]/knicks_players_all_stats[[#This Row],[GP]]</f>
        <v>0.75</v>
      </c>
    </row>
    <row r="398" spans="1:43" x14ac:dyDescent="0.3">
      <c r="A398" s="1" t="s">
        <v>1800</v>
      </c>
      <c r="B398" s="1" t="s">
        <v>1293</v>
      </c>
      <c r="C398" s="1" t="str">
        <f>knicks_players_all_stats[[#This Row],[NAME]]&amp;" ("&amp;knicks_players_all_stats[[#This Row],[SEASON]]&amp;")"</f>
        <v>Cezary Trybanski (2003-04)</v>
      </c>
      <c r="D398" s="1">
        <f>knicks_players_all_stats[[#This Row],[PLAYER_AGE]]/10</f>
        <v>24</v>
      </c>
      <c r="E398">
        <v>240</v>
      </c>
      <c r="F398" s="1">
        <v>3</v>
      </c>
      <c r="G398" s="1">
        <v>50</v>
      </c>
      <c r="H39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398" s="4">
        <f>knicks_players_all_stats[[#This Row],[VALORATION]]/knicks_players_all_stats[[#This Row],[GP]]</f>
        <v>-1</v>
      </c>
      <c r="J398" s="1">
        <v>0</v>
      </c>
      <c r="K398" s="1">
        <v>2</v>
      </c>
      <c r="L398" s="1">
        <v>0</v>
      </c>
      <c r="M398" s="4">
        <f>knicks_players_all_stats[[#This Row],[FG3M2]]/10</f>
        <v>0</v>
      </c>
      <c r="N398" s="1">
        <v>0</v>
      </c>
      <c r="O398" s="1">
        <f>knicks_players_all_stats[[#This Row],[FG3A2]]/10</f>
        <v>0</v>
      </c>
      <c r="P398" s="1">
        <v>0</v>
      </c>
      <c r="Q398" s="2" t="e">
        <f>knicks_players_all_stats[[#This Row],[FG3M2]]/knicks_players_all_stats[[#This Row],[FG3A2]]</f>
        <v>#DIV/0!</v>
      </c>
      <c r="R398" s="1">
        <v>1</v>
      </c>
      <c r="S398" s="1">
        <v>2</v>
      </c>
      <c r="T398" s="3">
        <f>knicks_players_all_stats[[#This Row],[FTM]]/knicks_players_all_stats[[#This Row],[FTA]]</f>
        <v>0.5</v>
      </c>
      <c r="U398" s="1">
        <f>knicks_players_all_stats[[#This Row],[OREB22]]/10</f>
        <v>0</v>
      </c>
      <c r="V398" s="1">
        <f>knicks_players_all_stats[[#This Row],[DREB33]]/10</f>
        <v>0</v>
      </c>
      <c r="W398" s="1">
        <f>knicks_players_all_stats[[#This Row],[REB44]]/10</f>
        <v>0</v>
      </c>
      <c r="X398">
        <v>0</v>
      </c>
      <c r="Y398">
        <v>0</v>
      </c>
      <c r="Z398">
        <v>0</v>
      </c>
      <c r="AA398" s="14">
        <f>knicks_players_all_stats[[#This Row],[REB]]/knicks_players_all_stats[[#This Row],[GP]]</f>
        <v>0</v>
      </c>
      <c r="AB398" s="1">
        <v>0</v>
      </c>
      <c r="AC398" s="4">
        <f>knicks_players_all_stats[[#This Row],[AST]]/knicks_players_all_stats[[#This Row],[GP]]</f>
        <v>0</v>
      </c>
      <c r="AD398" s="1">
        <f>knicks_players_all_stats[[#This Row],[STL2]]/10</f>
        <v>1</v>
      </c>
      <c r="AE398" s="1">
        <v>10</v>
      </c>
      <c r="AF398" s="4">
        <f>knicks_players_all_stats[[#This Row],[STL]]/knicks_players_all_stats[[#This Row],[GP]]</f>
        <v>0.33333333333333331</v>
      </c>
      <c r="AG398">
        <v>0</v>
      </c>
      <c r="AH398" s="1">
        <f>knicks_players_all_stats[[#This Row],[BLK2]]/10</f>
        <v>0</v>
      </c>
      <c r="AI398" s="4">
        <f>knicks_players_all_stats[[#This Row],[BLK]]/knicks_players_all_stats[[#This Row],[GP]]</f>
        <v>0</v>
      </c>
      <c r="AJ398">
        <v>0</v>
      </c>
      <c r="AK398" s="4">
        <f>knicks_players_all_stats[[#This Row],[BLKPG]]+knicks_players_all_stats[[#This Row],[STLPG]]+knicks_players_all_stats[[#This Row],[REBPG]]</f>
        <v>0.33333333333333331</v>
      </c>
      <c r="AL398" s="1">
        <f>knicks_players_all_stats[[#This Row],[TOV2]]/10</f>
        <v>0</v>
      </c>
      <c r="AM398" s="4">
        <f>knicks_players_all_stats[[#This Row],[TOV]]/knicks_players_all_stats[[#This Row],[GP]]</f>
        <v>0</v>
      </c>
      <c r="AN398" s="1">
        <v>2</v>
      </c>
      <c r="AO398" s="1">
        <f>knicks_players_all_stats[[#This Row],[PF]]/knicks_players_all_stats[[#This Row],[GP]]</f>
        <v>0.66666666666666663</v>
      </c>
      <c r="AP398" s="1">
        <v>1</v>
      </c>
      <c r="AQ398" s="4">
        <f>knicks_players_all_stats[[#This Row],[PTS]]/knicks_players_all_stats[[#This Row],[GP]]</f>
        <v>0.33333333333333331</v>
      </c>
    </row>
    <row r="399" spans="1:43" customFormat="1" x14ac:dyDescent="0.3">
      <c r="A399" s="1" t="s">
        <v>1723</v>
      </c>
      <c r="B399" s="1" t="s">
        <v>1337</v>
      </c>
      <c r="C399" s="1" t="str">
        <f>knicks_players_all_stats[[#This Row],[NAME]]&amp;" ("&amp;knicks_players_all_stats[[#This Row],[SEASON]]&amp;")"</f>
        <v>Chris Smith (2013-14)</v>
      </c>
      <c r="D399" s="1">
        <f>knicks_players_all_stats[[#This Row],[PLAYER_AGE]]/10</f>
        <v>26</v>
      </c>
      <c r="E399">
        <v>260</v>
      </c>
      <c r="F399" s="1">
        <v>2</v>
      </c>
      <c r="G399" s="1">
        <v>20</v>
      </c>
      <c r="H39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0</v>
      </c>
      <c r="I399" s="4">
        <f>knicks_players_all_stats[[#This Row],[VALORATION]]/knicks_players_all_stats[[#This Row],[GP]]</f>
        <v>0</v>
      </c>
      <c r="J399" s="1">
        <v>0</v>
      </c>
      <c r="K399" s="1">
        <v>0</v>
      </c>
      <c r="L399" s="1">
        <v>0</v>
      </c>
      <c r="M399" s="4">
        <f>knicks_players_all_stats[[#This Row],[FG3M2]]/10</f>
        <v>0</v>
      </c>
      <c r="N399" s="1">
        <v>0</v>
      </c>
      <c r="O399" s="1">
        <f>knicks_players_all_stats[[#This Row],[FG3A2]]/10</f>
        <v>0</v>
      </c>
      <c r="P399" s="1">
        <v>0</v>
      </c>
      <c r="Q399" s="2" t="e">
        <f>knicks_players_all_stats[[#This Row],[FG3M2]]/knicks_players_all_stats[[#This Row],[FG3A2]]</f>
        <v>#DIV/0!</v>
      </c>
      <c r="R399" s="1">
        <v>0</v>
      </c>
      <c r="S399" s="1">
        <v>0</v>
      </c>
      <c r="T399" s="3" t="e">
        <f>knicks_players_all_stats[[#This Row],[FTM]]/knicks_players_all_stats[[#This Row],[FTA]]</f>
        <v>#DIV/0!</v>
      </c>
      <c r="U399" s="1">
        <f>knicks_players_all_stats[[#This Row],[OREB22]]/10</f>
        <v>0</v>
      </c>
      <c r="V399" s="1">
        <f>knicks_players_all_stats[[#This Row],[DREB33]]/10</f>
        <v>0</v>
      </c>
      <c r="W399" s="1">
        <f>knicks_players_all_stats[[#This Row],[REB44]]/10</f>
        <v>0</v>
      </c>
      <c r="X399">
        <v>0</v>
      </c>
      <c r="Y399">
        <v>0</v>
      </c>
      <c r="Z399">
        <v>0</v>
      </c>
      <c r="AA399" s="14">
        <f>knicks_players_all_stats[[#This Row],[REB]]/knicks_players_all_stats[[#This Row],[GP]]</f>
        <v>0</v>
      </c>
      <c r="AB399" s="1">
        <v>0</v>
      </c>
      <c r="AC399" s="4">
        <f>knicks_players_all_stats[[#This Row],[AST]]/knicks_players_all_stats[[#This Row],[GP]]</f>
        <v>0</v>
      </c>
      <c r="AD399" s="1">
        <f>knicks_players_all_stats[[#This Row],[STL2]]/10</f>
        <v>0</v>
      </c>
      <c r="AE399" s="1">
        <v>0</v>
      </c>
      <c r="AF399" s="4">
        <f>knicks_players_all_stats[[#This Row],[STL]]/knicks_players_all_stats[[#This Row],[GP]]</f>
        <v>0</v>
      </c>
      <c r="AG399">
        <v>0</v>
      </c>
      <c r="AH399" s="1">
        <f>knicks_players_all_stats[[#This Row],[BLK2]]/10</f>
        <v>0</v>
      </c>
      <c r="AI399" s="4">
        <f>knicks_players_all_stats[[#This Row],[BLK]]/knicks_players_all_stats[[#This Row],[GP]]</f>
        <v>0</v>
      </c>
      <c r="AJ399">
        <v>0</v>
      </c>
      <c r="AK399" s="4">
        <f>knicks_players_all_stats[[#This Row],[BLKPG]]+knicks_players_all_stats[[#This Row],[STLPG]]+knicks_players_all_stats[[#This Row],[REBPG]]</f>
        <v>0</v>
      </c>
      <c r="AL399" s="1">
        <f>knicks_players_all_stats[[#This Row],[TOV2]]/10</f>
        <v>0</v>
      </c>
      <c r="AM399" s="4">
        <f>knicks_players_all_stats[[#This Row],[TOV]]/knicks_players_all_stats[[#This Row],[GP]]</f>
        <v>0</v>
      </c>
      <c r="AN399" s="1">
        <v>0</v>
      </c>
      <c r="AO399" s="1">
        <f>knicks_players_all_stats[[#This Row],[PF]]/knicks_players_all_stats[[#This Row],[GP]]</f>
        <v>0</v>
      </c>
      <c r="AP399" s="1">
        <v>0</v>
      </c>
      <c r="AQ399" s="4">
        <f>knicks_players_all_stats[[#This Row],[PTS]]/knicks_players_all_stats[[#This Row],[GP]]</f>
        <v>0</v>
      </c>
    </row>
    <row r="400" spans="1:43" customFormat="1" x14ac:dyDescent="0.3">
      <c r="A400" s="1" t="s">
        <v>1617</v>
      </c>
      <c r="B400" s="1" t="s">
        <v>1308</v>
      </c>
      <c r="C400" s="1" t="str">
        <f>knicks_players_all_stats[[#This Row],[NAME]]&amp;" ("&amp;knicks_players_all_stats[[#This Row],[SEASON]]&amp;")"</f>
        <v>Tyler Hall (2021-22)</v>
      </c>
      <c r="D400" s="1">
        <f>knicks_players_all_stats[[#This Row],[PLAYER_AGE]]/10</f>
        <v>25</v>
      </c>
      <c r="E400">
        <v>250</v>
      </c>
      <c r="F400" s="1">
        <v>1</v>
      </c>
      <c r="G400" s="1">
        <v>20</v>
      </c>
      <c r="H400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0</v>
      </c>
      <c r="I400" s="4">
        <f>knicks_players_all_stats[[#This Row],[VALORATION]]/knicks_players_all_stats[[#This Row],[GP]]</f>
        <v>0</v>
      </c>
      <c r="J400" s="1">
        <v>0</v>
      </c>
      <c r="K400" s="1">
        <v>0</v>
      </c>
      <c r="L400" s="2" t="e">
        <f>knicks_players_all_stats[[#This Row],[FGM]]/knicks_players_all_stats[[#This Row],[FGA]]</f>
        <v>#DIV/0!</v>
      </c>
      <c r="M400" s="16">
        <f>knicks_players_all_stats[[#This Row],[FG3M2]]/10</f>
        <v>0</v>
      </c>
      <c r="N400" s="1">
        <v>0</v>
      </c>
      <c r="O400" s="1">
        <f>knicks_players_all_stats[[#This Row],[FG3A2]]/10</f>
        <v>0</v>
      </c>
      <c r="P400" s="1">
        <v>0</v>
      </c>
      <c r="Q400" s="2" t="e">
        <f>knicks_players_all_stats[[#This Row],[FG3M2]]/knicks_players_all_stats[[#This Row],[FG3A2]]</f>
        <v>#DIV/0!</v>
      </c>
      <c r="R400" s="1">
        <v>0</v>
      </c>
      <c r="S400" s="1">
        <v>0</v>
      </c>
      <c r="T400" s="3" t="e">
        <f>knicks_players_all_stats[[#This Row],[FTM]]/knicks_players_all_stats[[#This Row],[FTA]]</f>
        <v>#DIV/0!</v>
      </c>
      <c r="U400" s="1">
        <f>knicks_players_all_stats[[#This Row],[OREB22]]/10</f>
        <v>0</v>
      </c>
      <c r="V400" s="1">
        <f>knicks_players_all_stats[[#This Row],[DREB33]]/10</f>
        <v>0</v>
      </c>
      <c r="W400" s="1">
        <f>knicks_players_all_stats[[#This Row],[REB44]]/10</f>
        <v>0</v>
      </c>
      <c r="X400">
        <v>0</v>
      </c>
      <c r="Y400">
        <v>0</v>
      </c>
      <c r="Z400">
        <v>0</v>
      </c>
      <c r="AA400" s="14">
        <f>knicks_players_all_stats[[#This Row],[REB]]/knicks_players_all_stats[[#This Row],[GP]]</f>
        <v>0</v>
      </c>
      <c r="AB400" s="1">
        <v>0</v>
      </c>
      <c r="AC400" s="4">
        <f>knicks_players_all_stats[[#This Row],[AST]]/knicks_players_all_stats[[#This Row],[GP]]</f>
        <v>0</v>
      </c>
      <c r="AD400" s="1">
        <f>knicks_players_all_stats[[#This Row],[STL2]]/10</f>
        <v>0</v>
      </c>
      <c r="AE400" s="1">
        <v>0</v>
      </c>
      <c r="AF400" s="4">
        <f>knicks_players_all_stats[[#This Row],[STL]]/knicks_players_all_stats[[#This Row],[GP]]</f>
        <v>0</v>
      </c>
      <c r="AG400">
        <v>0</v>
      </c>
      <c r="AH400" s="1">
        <f>knicks_players_all_stats[[#This Row],[BLK2]]/10</f>
        <v>0</v>
      </c>
      <c r="AI400" s="4">
        <f>knicks_players_all_stats[[#This Row],[BLK]]/knicks_players_all_stats[[#This Row],[GP]]</f>
        <v>0</v>
      </c>
      <c r="AJ400">
        <v>0</v>
      </c>
      <c r="AK400" s="4">
        <f>knicks_players_all_stats[[#This Row],[BLKPG]]+knicks_players_all_stats[[#This Row],[STLPG]]+knicks_players_all_stats[[#This Row],[REBPG]]</f>
        <v>0</v>
      </c>
      <c r="AL400" s="1">
        <f>knicks_players_all_stats[[#This Row],[TOV2]]/10</f>
        <v>0</v>
      </c>
      <c r="AM400" s="4">
        <f>knicks_players_all_stats[[#This Row],[TOV]]/knicks_players_all_stats[[#This Row],[GP]]</f>
        <v>0</v>
      </c>
      <c r="AN400" s="1">
        <v>0</v>
      </c>
      <c r="AO400" s="1">
        <f>knicks_players_all_stats[[#This Row],[PF]]/knicks_players_all_stats[[#This Row],[GP]]</f>
        <v>0</v>
      </c>
      <c r="AP400" s="1">
        <v>0</v>
      </c>
      <c r="AQ400" s="4">
        <f>knicks_players_all_stats[[#This Row],[PTS]]/knicks_players_all_stats[[#This Row],[GP]]</f>
        <v>0</v>
      </c>
    </row>
    <row r="401" spans="1:43" customFormat="1" x14ac:dyDescent="0.3">
      <c r="A401" s="1" t="s">
        <v>1613</v>
      </c>
      <c r="B401" s="1" t="s">
        <v>1369</v>
      </c>
      <c r="C401" s="1" t="str">
        <f>knicks_players_all_stats[[#This Row],[NAME]]&amp;" ("&amp;knicks_players_all_stats[[#This Row],[SEASON]]&amp;")"</f>
        <v>Mamadi Diakite (2023-24)</v>
      </c>
      <c r="D401" s="1">
        <f>knicks_players_all_stats[[#This Row],[PLAYER_AGE]]/10</f>
        <v>27</v>
      </c>
      <c r="E401">
        <v>270</v>
      </c>
      <c r="F401" s="1">
        <v>3</v>
      </c>
      <c r="G401" s="1">
        <v>80</v>
      </c>
      <c r="H401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1" s="4">
        <f>knicks_players_all_stats[[#This Row],[VALORATION]]/knicks_players_all_stats[[#This Row],[GP]]</f>
        <v>-0.33333333333333331</v>
      </c>
      <c r="J401" s="1">
        <v>0</v>
      </c>
      <c r="K401" s="1">
        <v>1</v>
      </c>
      <c r="L401" s="2">
        <f>knicks_players_all_stats[[#This Row],[FGM]]/knicks_players_all_stats[[#This Row],[FGA]]</f>
        <v>0</v>
      </c>
      <c r="M401" s="16">
        <f>knicks_players_all_stats[[#This Row],[FG3M2]]/10</f>
        <v>0</v>
      </c>
      <c r="N401" s="1">
        <v>0</v>
      </c>
      <c r="O401" s="1">
        <f>knicks_players_all_stats[[#This Row],[FG3A2]]/10</f>
        <v>1</v>
      </c>
      <c r="P401" s="1">
        <v>10</v>
      </c>
      <c r="Q401" s="2">
        <f>knicks_players_all_stats[[#This Row],[FG3M2]]/knicks_players_all_stats[[#This Row],[FG3A2]]</f>
        <v>0</v>
      </c>
      <c r="R401" s="1">
        <v>0</v>
      </c>
      <c r="S401" s="1">
        <v>0</v>
      </c>
      <c r="T401" s="3" t="e">
        <f>knicks_players_all_stats[[#This Row],[FTM]]/knicks_players_all_stats[[#This Row],[FTA]]</f>
        <v>#DIV/0!</v>
      </c>
      <c r="U401" s="1">
        <f>knicks_players_all_stats[[#This Row],[OREB22]]/10</f>
        <v>0</v>
      </c>
      <c r="V401" s="1">
        <f>knicks_players_all_stats[[#This Row],[DREB33]]/10</f>
        <v>1</v>
      </c>
      <c r="W401" s="1">
        <f>knicks_players_all_stats[[#This Row],[REB44]]/10</f>
        <v>1</v>
      </c>
      <c r="X401">
        <v>0</v>
      </c>
      <c r="Y401">
        <v>10</v>
      </c>
      <c r="Z401">
        <v>10</v>
      </c>
      <c r="AA401" s="14">
        <f>knicks_players_all_stats[[#This Row],[REB]]/knicks_players_all_stats[[#This Row],[GP]]</f>
        <v>0.33333333333333331</v>
      </c>
      <c r="AB401" s="1">
        <v>0</v>
      </c>
      <c r="AC401" s="4">
        <f>knicks_players_all_stats[[#This Row],[AST]]/knicks_players_all_stats[[#This Row],[GP]]</f>
        <v>0</v>
      </c>
      <c r="AD401" s="1">
        <f>knicks_players_all_stats[[#This Row],[STL2]]/10</f>
        <v>1</v>
      </c>
      <c r="AE401" s="1">
        <v>10</v>
      </c>
      <c r="AF401" s="4">
        <f>knicks_players_all_stats[[#This Row],[STL]]/knicks_players_all_stats[[#This Row],[GP]]</f>
        <v>0.33333333333333331</v>
      </c>
      <c r="AG401">
        <v>0</v>
      </c>
      <c r="AH401" s="1">
        <f>knicks_players_all_stats[[#This Row],[BLK2]]/10</f>
        <v>0</v>
      </c>
      <c r="AI401" s="4">
        <f>knicks_players_all_stats[[#This Row],[BLK]]/knicks_players_all_stats[[#This Row],[GP]]</f>
        <v>0</v>
      </c>
      <c r="AJ401">
        <v>10</v>
      </c>
      <c r="AK401" s="4">
        <f>knicks_players_all_stats[[#This Row],[BLKPG]]+knicks_players_all_stats[[#This Row],[STLPG]]+knicks_players_all_stats[[#This Row],[REBPG]]</f>
        <v>0.66666666666666663</v>
      </c>
      <c r="AL401" s="1">
        <f>knicks_players_all_stats[[#This Row],[TOV2]]/10</f>
        <v>1</v>
      </c>
      <c r="AM401" s="4">
        <f>knicks_players_all_stats[[#This Row],[TOV]]/knicks_players_all_stats[[#This Row],[GP]]</f>
        <v>0.33333333333333331</v>
      </c>
      <c r="AN401" s="1">
        <v>1</v>
      </c>
      <c r="AO401" s="1">
        <f>knicks_players_all_stats[[#This Row],[PF]]/knicks_players_all_stats[[#This Row],[GP]]</f>
        <v>0.33333333333333331</v>
      </c>
      <c r="AP401" s="1">
        <v>0</v>
      </c>
      <c r="AQ401" s="4">
        <f>knicks_players_all_stats[[#This Row],[PTS]]/knicks_players_all_stats[[#This Row],[GP]]</f>
        <v>0</v>
      </c>
    </row>
    <row r="402" spans="1:43" customFormat="1" x14ac:dyDescent="0.3">
      <c r="A402" s="1" t="s">
        <v>1579</v>
      </c>
      <c r="B402" s="1" t="s">
        <v>1369</v>
      </c>
      <c r="C402" s="1" t="str">
        <f>knicks_players_all_stats[[#This Row],[NAME]]&amp;" ("&amp;knicks_players_all_stats[[#This Row],[SEASON]]&amp;")"</f>
        <v>Dmytro Skapintsev (2023-24)</v>
      </c>
      <c r="D402" s="1">
        <f>knicks_players_all_stats[[#This Row],[PLAYER_AGE]]/10</f>
        <v>26</v>
      </c>
      <c r="E402">
        <v>260</v>
      </c>
      <c r="F402" s="1">
        <v>2</v>
      </c>
      <c r="G402" s="1">
        <v>20</v>
      </c>
      <c r="H402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2" s="4">
        <f>knicks_players_all_stats[[#This Row],[VALORATION]]/knicks_players_all_stats[[#This Row],[GP]]</f>
        <v>-0.5</v>
      </c>
      <c r="J402" s="1">
        <v>0</v>
      </c>
      <c r="K402" s="1">
        <v>1</v>
      </c>
      <c r="L402" s="2">
        <f>knicks_players_all_stats[[#This Row],[FGM]]/knicks_players_all_stats[[#This Row],[FGA]]</f>
        <v>0</v>
      </c>
      <c r="M402" s="16">
        <f>knicks_players_all_stats[[#This Row],[FG3M2]]/10</f>
        <v>0</v>
      </c>
      <c r="N402" s="1">
        <v>0</v>
      </c>
      <c r="O402" s="1">
        <f>knicks_players_all_stats[[#This Row],[FG3A2]]/10</f>
        <v>0</v>
      </c>
      <c r="P402" s="1">
        <v>0</v>
      </c>
      <c r="Q402" s="2" t="e">
        <f>knicks_players_all_stats[[#This Row],[FG3M2]]/knicks_players_all_stats[[#This Row],[FG3A2]]</f>
        <v>#DIV/0!</v>
      </c>
      <c r="R402" s="1">
        <v>0</v>
      </c>
      <c r="S402" s="1">
        <v>0</v>
      </c>
      <c r="T402" s="3" t="e">
        <f>knicks_players_all_stats[[#This Row],[FTM]]/knicks_players_all_stats[[#This Row],[FTA]]</f>
        <v>#DIV/0!</v>
      </c>
      <c r="U402" s="1">
        <f>knicks_players_all_stats[[#This Row],[OREB22]]/10</f>
        <v>0</v>
      </c>
      <c r="V402" s="1">
        <f>knicks_players_all_stats[[#This Row],[DREB33]]/10</f>
        <v>0</v>
      </c>
      <c r="W402" s="1">
        <f>knicks_players_all_stats[[#This Row],[REB44]]/10</f>
        <v>0</v>
      </c>
      <c r="X402">
        <v>0</v>
      </c>
      <c r="Y402">
        <v>0</v>
      </c>
      <c r="Z402">
        <v>0</v>
      </c>
      <c r="AA402" s="14">
        <f>knicks_players_all_stats[[#This Row],[REB]]/knicks_players_all_stats[[#This Row],[GP]]</f>
        <v>0</v>
      </c>
      <c r="AB402" s="1">
        <v>0</v>
      </c>
      <c r="AC402" s="4">
        <f>knicks_players_all_stats[[#This Row],[AST]]/knicks_players_all_stats[[#This Row],[GP]]</f>
        <v>0</v>
      </c>
      <c r="AD402" s="1">
        <f>knicks_players_all_stats[[#This Row],[STL2]]/10</f>
        <v>0</v>
      </c>
      <c r="AE402" s="1">
        <v>0</v>
      </c>
      <c r="AF402" s="4">
        <f>knicks_players_all_stats[[#This Row],[STL]]/knicks_players_all_stats[[#This Row],[GP]]</f>
        <v>0</v>
      </c>
      <c r="AG402">
        <v>0</v>
      </c>
      <c r="AH402" s="1">
        <f>knicks_players_all_stats[[#This Row],[BLK2]]/10</f>
        <v>0</v>
      </c>
      <c r="AI402" s="4">
        <f>knicks_players_all_stats[[#This Row],[BLK]]/knicks_players_all_stats[[#This Row],[GP]]</f>
        <v>0</v>
      </c>
      <c r="AJ402">
        <v>0</v>
      </c>
      <c r="AK402" s="4">
        <f>knicks_players_all_stats[[#This Row],[BLKPG]]+knicks_players_all_stats[[#This Row],[STLPG]]+knicks_players_all_stats[[#This Row],[REBPG]]</f>
        <v>0</v>
      </c>
      <c r="AL402" s="1">
        <f>knicks_players_all_stats[[#This Row],[TOV2]]/10</f>
        <v>0</v>
      </c>
      <c r="AM402" s="4">
        <f>knicks_players_all_stats[[#This Row],[TOV]]/knicks_players_all_stats[[#This Row],[GP]]</f>
        <v>0</v>
      </c>
      <c r="AN402" s="1">
        <v>0</v>
      </c>
      <c r="AO402" s="1">
        <f>knicks_players_all_stats[[#This Row],[PF]]/knicks_players_all_stats[[#This Row],[GP]]</f>
        <v>0</v>
      </c>
      <c r="AP402" s="1">
        <v>0</v>
      </c>
      <c r="AQ402" s="4">
        <f>knicks_players_all_stats[[#This Row],[PTS]]/knicks_players_all_stats[[#This Row],[GP]]</f>
        <v>0</v>
      </c>
    </row>
    <row r="403" spans="1:43" x14ac:dyDescent="0.3">
      <c r="A403" s="1" t="s">
        <v>1754</v>
      </c>
      <c r="B403" s="1" t="s">
        <v>1290</v>
      </c>
      <c r="C403" s="1" t="str">
        <f>knicks_players_all_stats[[#This Row],[NAME]]&amp;" ("&amp;knicks_players_all_stats[[#This Row],[SEASON]]&amp;")"</f>
        <v>Dan Gadzuric (2011-12)</v>
      </c>
      <c r="D403" s="1">
        <f>knicks_players_all_stats[[#This Row],[PLAYER_AGE]]/10</f>
        <v>34</v>
      </c>
      <c r="E403">
        <v>340</v>
      </c>
      <c r="F403" s="1">
        <v>2</v>
      </c>
      <c r="G403" s="1">
        <v>130</v>
      </c>
      <c r="H403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-2</v>
      </c>
      <c r="I403" s="4">
        <f>knicks_players_all_stats[[#This Row],[VALORATION]]/knicks_players_all_stats[[#This Row],[GP]]</f>
        <v>-1</v>
      </c>
      <c r="J403" s="1">
        <v>0</v>
      </c>
      <c r="K403" s="1">
        <v>2</v>
      </c>
      <c r="L403" s="1">
        <v>0</v>
      </c>
      <c r="M403" s="4">
        <f>knicks_players_all_stats[[#This Row],[FG3M2]]/10</f>
        <v>0</v>
      </c>
      <c r="N403" s="1">
        <v>0</v>
      </c>
      <c r="O403" s="1">
        <f>knicks_players_all_stats[[#This Row],[FG3A2]]/10</f>
        <v>0</v>
      </c>
      <c r="P403" s="1">
        <v>0</v>
      </c>
      <c r="Q403" s="2" t="e">
        <f>knicks_players_all_stats[[#This Row],[FG3M2]]/knicks_players_all_stats[[#This Row],[FG3A2]]</f>
        <v>#DIV/0!</v>
      </c>
      <c r="R403" s="1">
        <v>0</v>
      </c>
      <c r="S403" s="1">
        <v>2</v>
      </c>
      <c r="T403" s="3">
        <f>knicks_players_all_stats[[#This Row],[FTM]]/knicks_players_all_stats[[#This Row],[FTA]]</f>
        <v>0</v>
      </c>
      <c r="U403" s="1">
        <f>knicks_players_all_stats[[#This Row],[OREB22]]/10</f>
        <v>1</v>
      </c>
      <c r="V403" s="1">
        <f>knicks_players_all_stats[[#This Row],[DREB33]]/10</f>
        <v>4</v>
      </c>
      <c r="W403" s="1">
        <f>knicks_players_all_stats[[#This Row],[REB44]]/10</f>
        <v>5</v>
      </c>
      <c r="X403">
        <v>10</v>
      </c>
      <c r="Y403">
        <v>40</v>
      </c>
      <c r="Z403">
        <v>50</v>
      </c>
      <c r="AA403" s="14">
        <f>knicks_players_all_stats[[#This Row],[REB]]/knicks_players_all_stats[[#This Row],[GP]]</f>
        <v>2.5</v>
      </c>
      <c r="AB403" s="1">
        <v>0</v>
      </c>
      <c r="AC403" s="4">
        <f>knicks_players_all_stats[[#This Row],[AST]]/knicks_players_all_stats[[#This Row],[GP]]</f>
        <v>0</v>
      </c>
      <c r="AD403" s="1">
        <f>knicks_players_all_stats[[#This Row],[STL2]]/10</f>
        <v>1</v>
      </c>
      <c r="AE403" s="1">
        <v>10</v>
      </c>
      <c r="AF403" s="4">
        <f>knicks_players_all_stats[[#This Row],[STL]]/knicks_players_all_stats[[#This Row],[GP]]</f>
        <v>0.5</v>
      </c>
      <c r="AG403">
        <v>10</v>
      </c>
      <c r="AH403" s="1">
        <f>knicks_players_all_stats[[#This Row],[BLK2]]/10</f>
        <v>1</v>
      </c>
      <c r="AI403" s="4">
        <f>knicks_players_all_stats[[#This Row],[BLK]]/knicks_players_all_stats[[#This Row],[GP]]</f>
        <v>0.5</v>
      </c>
      <c r="AJ403">
        <v>10</v>
      </c>
      <c r="AK403" s="4">
        <f>knicks_players_all_stats[[#This Row],[BLKPG]]+knicks_players_all_stats[[#This Row],[STLPG]]+knicks_players_all_stats[[#This Row],[REBPG]]</f>
        <v>3.5</v>
      </c>
      <c r="AL403" s="1">
        <f>knicks_players_all_stats[[#This Row],[TOV2]]/10</f>
        <v>1</v>
      </c>
      <c r="AM403" s="4">
        <f>knicks_players_all_stats[[#This Row],[TOV]]/knicks_players_all_stats[[#This Row],[GP]]</f>
        <v>0.5</v>
      </c>
      <c r="AN403" s="1">
        <v>4</v>
      </c>
      <c r="AO403" s="1">
        <f>knicks_players_all_stats[[#This Row],[PF]]/knicks_players_all_stats[[#This Row],[GP]]</f>
        <v>2</v>
      </c>
      <c r="AP403" s="1">
        <v>0</v>
      </c>
      <c r="AQ403" s="4">
        <f>knicks_players_all_stats[[#This Row],[PTS]]/knicks_players_all_stats[[#This Row],[GP]]</f>
        <v>0</v>
      </c>
    </row>
    <row r="404" spans="1:43" x14ac:dyDescent="0.3">
      <c r="A404" s="1" t="s">
        <v>1353</v>
      </c>
      <c r="B404" s="1" t="s">
        <v>1308</v>
      </c>
      <c r="C404" s="1" t="str">
        <f>knicks_players_all_stats[[#This Row],[NAME]]&amp;" ("&amp;knicks_players_all_stats[[#This Row],[SEASON]]&amp;")"</f>
        <v>Matt Mooney (2021-22)</v>
      </c>
      <c r="D404" s="1">
        <f>knicks_players_all_stats[[#This Row],[PLAYER_AGE]]/10</f>
        <v>27</v>
      </c>
      <c r="E404">
        <v>270</v>
      </c>
      <c r="F404" s="1">
        <v>1</v>
      </c>
      <c r="G404" s="1">
        <v>20</v>
      </c>
      <c r="H404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4" s="4">
        <f>knicks_players_all_stats[[#This Row],[VALORATION]]/knicks_players_all_stats[[#This Row],[GP]]</f>
        <v>-1</v>
      </c>
      <c r="J404" s="1">
        <v>0</v>
      </c>
      <c r="K404" s="1">
        <v>1</v>
      </c>
      <c r="L404" s="2">
        <f>knicks_players_all_stats[[#This Row],[FGM]]/knicks_players_all_stats[[#This Row],[FGA]]</f>
        <v>0</v>
      </c>
      <c r="M404" s="16">
        <f>knicks_players_all_stats[[#This Row],[FG3M2]]/10</f>
        <v>0</v>
      </c>
      <c r="N404" s="1">
        <v>0</v>
      </c>
      <c r="O404" s="1">
        <f>knicks_players_all_stats[[#This Row],[FG3A2]]/10</f>
        <v>1</v>
      </c>
      <c r="P404" s="1">
        <v>10</v>
      </c>
      <c r="Q404" s="2">
        <f>knicks_players_all_stats[[#This Row],[FG3M2]]/knicks_players_all_stats[[#This Row],[FG3A2]]</f>
        <v>0</v>
      </c>
      <c r="R404" s="1">
        <v>0</v>
      </c>
      <c r="S404" s="1">
        <v>0</v>
      </c>
      <c r="T404" s="3" t="e">
        <f>knicks_players_all_stats[[#This Row],[FTM]]/knicks_players_all_stats[[#This Row],[FTA]]</f>
        <v>#DIV/0!</v>
      </c>
      <c r="U404" s="1">
        <f>knicks_players_all_stats[[#This Row],[OREB22]]/10</f>
        <v>0</v>
      </c>
      <c r="V404" s="1">
        <f>knicks_players_all_stats[[#This Row],[DREB33]]/10</f>
        <v>0</v>
      </c>
      <c r="W404" s="1">
        <f>knicks_players_all_stats[[#This Row],[REB44]]/10</f>
        <v>0</v>
      </c>
      <c r="X404">
        <v>0</v>
      </c>
      <c r="Y404">
        <v>0</v>
      </c>
      <c r="Z404">
        <v>0</v>
      </c>
      <c r="AA404" s="14">
        <f>knicks_players_all_stats[[#This Row],[REB]]/knicks_players_all_stats[[#This Row],[GP]]</f>
        <v>0</v>
      </c>
      <c r="AB404" s="1">
        <v>0</v>
      </c>
      <c r="AC404" s="4">
        <f>knicks_players_all_stats[[#This Row],[AST]]/knicks_players_all_stats[[#This Row],[GP]]</f>
        <v>0</v>
      </c>
      <c r="AD404" s="1">
        <f>knicks_players_all_stats[[#This Row],[STL2]]/10</f>
        <v>1</v>
      </c>
      <c r="AE404" s="1">
        <v>10</v>
      </c>
      <c r="AF404" s="4">
        <f>knicks_players_all_stats[[#This Row],[STL]]/knicks_players_all_stats[[#This Row],[GP]]</f>
        <v>1</v>
      </c>
      <c r="AG404">
        <v>0</v>
      </c>
      <c r="AH404" s="1">
        <f>knicks_players_all_stats[[#This Row],[BLK2]]/10</f>
        <v>0</v>
      </c>
      <c r="AI404" s="4">
        <f>knicks_players_all_stats[[#This Row],[BLK]]/knicks_players_all_stats[[#This Row],[GP]]</f>
        <v>0</v>
      </c>
      <c r="AJ404">
        <v>10</v>
      </c>
      <c r="AK404" s="4">
        <f>knicks_players_all_stats[[#This Row],[BLKPG]]+knicks_players_all_stats[[#This Row],[STLPG]]+knicks_players_all_stats[[#This Row],[REBPG]]</f>
        <v>1</v>
      </c>
      <c r="AL404" s="1">
        <f>knicks_players_all_stats[[#This Row],[TOV2]]/10</f>
        <v>1</v>
      </c>
      <c r="AM404" s="4">
        <f>knicks_players_all_stats[[#This Row],[TOV]]/knicks_players_all_stats[[#This Row],[GP]]</f>
        <v>1</v>
      </c>
      <c r="AN404" s="1">
        <v>0</v>
      </c>
      <c r="AO404" s="1">
        <f>knicks_players_all_stats[[#This Row],[PF]]/knicks_players_all_stats[[#This Row],[GP]]</f>
        <v>0</v>
      </c>
      <c r="AP404" s="1">
        <v>0</v>
      </c>
      <c r="AQ404" s="4">
        <f>knicks_players_all_stats[[#This Row],[PTS]]/knicks_players_all_stats[[#This Row],[GP]]</f>
        <v>0</v>
      </c>
    </row>
    <row r="405" spans="1:43" customFormat="1" x14ac:dyDescent="0.3">
      <c r="A405" s="1" t="s">
        <v>1472</v>
      </c>
      <c r="B405" s="1" t="s">
        <v>1308</v>
      </c>
      <c r="C405" s="1" t="str">
        <f>knicks_players_all_stats[[#This Row],[NAME]]&amp;" ("&amp;knicks_players_all_stats[[#This Row],[SEASON]]&amp;")"</f>
        <v>Danuel House Jr. (2021-22)</v>
      </c>
      <c r="D405" s="1">
        <f>knicks_players_all_stats[[#This Row],[PLAYER_AGE]]/10</f>
        <v>29</v>
      </c>
      <c r="E405">
        <v>290</v>
      </c>
      <c r="F405" s="1">
        <v>1</v>
      </c>
      <c r="G405" s="1">
        <v>30</v>
      </c>
      <c r="H405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-1</v>
      </c>
      <c r="I405" s="4">
        <f>knicks_players_all_stats[[#This Row],[VALORATION]]/knicks_players_all_stats[[#This Row],[GP]]</f>
        <v>-1</v>
      </c>
      <c r="J405" s="1">
        <v>0</v>
      </c>
      <c r="K405" s="1">
        <v>1</v>
      </c>
      <c r="L405" s="2">
        <f>knicks_players_all_stats[[#This Row],[FGM]]/knicks_players_all_stats[[#This Row],[FGA]]</f>
        <v>0</v>
      </c>
      <c r="M405" s="16">
        <f>knicks_players_all_stats[[#This Row],[FG3M2]]/10</f>
        <v>0</v>
      </c>
      <c r="N405" s="1">
        <v>0</v>
      </c>
      <c r="O405" s="1">
        <f>knicks_players_all_stats[[#This Row],[FG3A2]]/10</f>
        <v>1</v>
      </c>
      <c r="P405" s="1">
        <v>10</v>
      </c>
      <c r="Q405" s="2">
        <f>knicks_players_all_stats[[#This Row],[FG3M2]]/knicks_players_all_stats[[#This Row],[FG3A2]]</f>
        <v>0</v>
      </c>
      <c r="R405" s="1">
        <v>0</v>
      </c>
      <c r="S405" s="1">
        <v>0</v>
      </c>
      <c r="T405" s="3" t="e">
        <f>knicks_players_all_stats[[#This Row],[FTM]]/knicks_players_all_stats[[#This Row],[FTA]]</f>
        <v>#DIV/0!</v>
      </c>
      <c r="U405" s="1">
        <f>knicks_players_all_stats[[#This Row],[OREB22]]/10</f>
        <v>0</v>
      </c>
      <c r="V405" s="1">
        <f>knicks_players_all_stats[[#This Row],[DREB33]]/10</f>
        <v>0</v>
      </c>
      <c r="W405" s="1">
        <f>knicks_players_all_stats[[#This Row],[REB44]]/10</f>
        <v>0</v>
      </c>
      <c r="X405">
        <v>0</v>
      </c>
      <c r="Y405">
        <v>0</v>
      </c>
      <c r="Z405">
        <v>0</v>
      </c>
      <c r="AA405" s="14">
        <f>knicks_players_all_stats[[#This Row],[REB]]/knicks_players_all_stats[[#This Row],[GP]]</f>
        <v>0</v>
      </c>
      <c r="AB405" s="1">
        <v>0</v>
      </c>
      <c r="AC405" s="4">
        <f>knicks_players_all_stats[[#This Row],[AST]]/knicks_players_all_stats[[#This Row],[GP]]</f>
        <v>0</v>
      </c>
      <c r="AD405" s="1">
        <f>knicks_players_all_stats[[#This Row],[STL2]]/10</f>
        <v>0</v>
      </c>
      <c r="AE405" s="1">
        <v>0</v>
      </c>
      <c r="AF405" s="4">
        <f>knicks_players_all_stats[[#This Row],[STL]]/knicks_players_all_stats[[#This Row],[GP]]</f>
        <v>0</v>
      </c>
      <c r="AG405">
        <v>0</v>
      </c>
      <c r="AH405" s="1">
        <f>knicks_players_all_stats[[#This Row],[BLK2]]/10</f>
        <v>0</v>
      </c>
      <c r="AI405" s="4">
        <f>knicks_players_all_stats[[#This Row],[BLK]]/knicks_players_all_stats[[#This Row],[GP]]</f>
        <v>0</v>
      </c>
      <c r="AJ405">
        <v>0</v>
      </c>
      <c r="AK405" s="4">
        <f>knicks_players_all_stats[[#This Row],[BLKPG]]+knicks_players_all_stats[[#This Row],[STLPG]]+knicks_players_all_stats[[#This Row],[REBPG]]</f>
        <v>0</v>
      </c>
      <c r="AL405" s="1">
        <f>knicks_players_all_stats[[#This Row],[TOV2]]/10</f>
        <v>0</v>
      </c>
      <c r="AM405" s="4">
        <f>knicks_players_all_stats[[#This Row],[TOV]]/knicks_players_all_stats[[#This Row],[GP]]</f>
        <v>0</v>
      </c>
      <c r="AN405" s="1">
        <v>0</v>
      </c>
      <c r="AO405" s="1">
        <f>knicks_players_all_stats[[#This Row],[PF]]/knicks_players_all_stats[[#This Row],[GP]]</f>
        <v>0</v>
      </c>
      <c r="AP405" s="1">
        <v>0</v>
      </c>
      <c r="AQ405" s="4">
        <f>knicks_players_all_stats[[#This Row],[PTS]]/knicks_players_all_stats[[#This Row],[GP]]</f>
        <v>0</v>
      </c>
    </row>
    <row r="406" spans="1:43" customFormat="1" x14ac:dyDescent="0.3">
      <c r="A406" s="1" t="s">
        <v>1470</v>
      </c>
      <c r="B406" s="1" t="s">
        <v>1304</v>
      </c>
      <c r="C406" s="1" t="str">
        <f>knicks_players_all_stats[[#This Row],[NAME]]&amp;" ("&amp;knicks_players_all_stats[[#This Row],[SEASON]]&amp;")"</f>
        <v>Cheikh Samb (2008-09)</v>
      </c>
      <c r="D406" s="1">
        <f>knicks_players_all_stats[[#This Row],[PLAYER_AGE]]/10</f>
        <v>24</v>
      </c>
      <c r="E406">
        <v>240</v>
      </c>
      <c r="F406" s="1">
        <v>2</v>
      </c>
      <c r="G406" s="1">
        <v>80</v>
      </c>
      <c r="H406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406" s="4">
        <f>knicks_players_all_stats[[#This Row],[VALORATION]]/knicks_players_all_stats[[#This Row],[GP]]</f>
        <v>-1.5</v>
      </c>
      <c r="J406" s="1">
        <v>0</v>
      </c>
      <c r="K406" s="1">
        <v>3</v>
      </c>
      <c r="L406" s="2">
        <f>knicks_players_all_stats[[#This Row],[FGM]]/knicks_players_all_stats[[#This Row],[FGA]]</f>
        <v>0</v>
      </c>
      <c r="M406" s="16">
        <f>knicks_players_all_stats[[#This Row],[FG3M2]]/10</f>
        <v>0</v>
      </c>
      <c r="N406" s="1">
        <v>0</v>
      </c>
      <c r="O406" s="1">
        <f>knicks_players_all_stats[[#This Row],[FG3A2]]/10</f>
        <v>0</v>
      </c>
      <c r="P406" s="1">
        <v>0</v>
      </c>
      <c r="Q406" s="2" t="e">
        <f>knicks_players_all_stats[[#This Row],[FG3M2]]/knicks_players_all_stats[[#This Row],[FG3A2]]</f>
        <v>#DIV/0!</v>
      </c>
      <c r="R406" s="1">
        <v>0</v>
      </c>
      <c r="S406" s="1">
        <v>2</v>
      </c>
      <c r="T406" s="3">
        <f>knicks_players_all_stats[[#This Row],[FTM]]/knicks_players_all_stats[[#This Row],[FTA]]</f>
        <v>0</v>
      </c>
      <c r="U406" s="1">
        <f>knicks_players_all_stats[[#This Row],[OREB22]]/10</f>
        <v>1</v>
      </c>
      <c r="V406" s="1">
        <f>knicks_players_all_stats[[#This Row],[DREB33]]/10</f>
        <v>1</v>
      </c>
      <c r="W406" s="1">
        <f>knicks_players_all_stats[[#This Row],[REB44]]/10</f>
        <v>2</v>
      </c>
      <c r="X406">
        <v>10</v>
      </c>
      <c r="Y406">
        <v>10</v>
      </c>
      <c r="Z406">
        <v>20</v>
      </c>
      <c r="AA406" s="14">
        <f>knicks_players_all_stats[[#This Row],[REB]]/knicks_players_all_stats[[#This Row],[GP]]</f>
        <v>1</v>
      </c>
      <c r="AB406" s="1">
        <v>0</v>
      </c>
      <c r="AC406" s="4">
        <f>knicks_players_all_stats[[#This Row],[AST]]/knicks_players_all_stats[[#This Row],[GP]]</f>
        <v>0</v>
      </c>
      <c r="AD406" s="1">
        <f>knicks_players_all_stats[[#This Row],[STL2]]/10</f>
        <v>0</v>
      </c>
      <c r="AE406" s="1">
        <v>0</v>
      </c>
      <c r="AF406" s="4">
        <f>knicks_players_all_stats[[#This Row],[STL]]/knicks_players_all_stats[[#This Row],[GP]]</f>
        <v>0</v>
      </c>
      <c r="AG406">
        <v>0</v>
      </c>
      <c r="AH406" s="1">
        <f>knicks_players_all_stats[[#This Row],[BLK2]]/10</f>
        <v>0</v>
      </c>
      <c r="AI406" s="4">
        <f>knicks_players_all_stats[[#This Row],[BLK]]/knicks_players_all_stats[[#This Row],[GP]]</f>
        <v>0</v>
      </c>
      <c r="AJ406">
        <v>0</v>
      </c>
      <c r="AK406" s="4">
        <f>knicks_players_all_stats[[#This Row],[BLKPG]]+knicks_players_all_stats[[#This Row],[STLPG]]+knicks_players_all_stats[[#This Row],[REBPG]]</f>
        <v>1</v>
      </c>
      <c r="AL406" s="1">
        <f>knicks_players_all_stats[[#This Row],[TOV2]]/10</f>
        <v>0</v>
      </c>
      <c r="AM406" s="4">
        <f>knicks_players_all_stats[[#This Row],[TOV]]/knicks_players_all_stats[[#This Row],[GP]]</f>
        <v>0</v>
      </c>
      <c r="AN406" s="1">
        <v>0</v>
      </c>
      <c r="AO406" s="1">
        <f>knicks_players_all_stats[[#This Row],[PF]]/knicks_players_all_stats[[#This Row],[GP]]</f>
        <v>0</v>
      </c>
      <c r="AP406" s="1">
        <v>0</v>
      </c>
      <c r="AQ406" s="4">
        <f>knicks_players_all_stats[[#This Row],[PTS]]/knicks_players_all_stats[[#This Row],[GP]]</f>
        <v>0</v>
      </c>
    </row>
    <row r="407" spans="1:43" customFormat="1" x14ac:dyDescent="0.3">
      <c r="A407" s="1" t="s">
        <v>1695</v>
      </c>
      <c r="B407" s="1" t="s">
        <v>1292</v>
      </c>
      <c r="C407" s="1" t="str">
        <f>knicks_players_all_stats[[#This Row],[NAME]]&amp;" ("&amp;knicks_players_all_stats[[#This Row],[SEASON]]&amp;")"</f>
        <v>Solomon Jones (2012-13)</v>
      </c>
      <c r="D407" s="1">
        <f>knicks_players_all_stats[[#This Row],[PLAYER_AGE]]/10</f>
        <v>28</v>
      </c>
      <c r="E407">
        <v>280</v>
      </c>
      <c r="F407" s="1">
        <v>2</v>
      </c>
      <c r="G407" s="1">
        <v>260</v>
      </c>
      <c r="H407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-3</v>
      </c>
      <c r="I407" s="4">
        <f>knicks_players_all_stats[[#This Row],[VALORATION]]/knicks_players_all_stats[[#This Row],[GP]]</f>
        <v>-1.5</v>
      </c>
      <c r="J407" s="1">
        <v>0</v>
      </c>
      <c r="K407" s="1">
        <v>1</v>
      </c>
      <c r="L407" s="1">
        <v>0</v>
      </c>
      <c r="M407" s="4">
        <f>knicks_players_all_stats[[#This Row],[FG3M2]]/10</f>
        <v>0</v>
      </c>
      <c r="N407" s="1">
        <v>0</v>
      </c>
      <c r="O407" s="1">
        <f>knicks_players_all_stats[[#This Row],[FG3A2]]/10</f>
        <v>0</v>
      </c>
      <c r="P407" s="1">
        <v>0</v>
      </c>
      <c r="Q407" s="2" t="e">
        <f>knicks_players_all_stats[[#This Row],[FG3M2]]/knicks_players_all_stats[[#This Row],[FG3A2]]</f>
        <v>#DIV/0!</v>
      </c>
      <c r="R407" s="1">
        <v>0</v>
      </c>
      <c r="S407" s="1">
        <v>0</v>
      </c>
      <c r="T407" s="3" t="e">
        <f>knicks_players_all_stats[[#This Row],[FTM]]/knicks_players_all_stats[[#This Row],[FTA]]</f>
        <v>#DIV/0!</v>
      </c>
      <c r="U407" s="1">
        <f>knicks_players_all_stats[[#This Row],[OREB22]]/10</f>
        <v>1</v>
      </c>
      <c r="V407" s="1">
        <f>knicks_players_all_stats[[#This Row],[DREB33]]/10</f>
        <v>2</v>
      </c>
      <c r="W407" s="1">
        <f>knicks_players_all_stats[[#This Row],[REB44]]/10</f>
        <v>3</v>
      </c>
      <c r="X407">
        <v>10</v>
      </c>
      <c r="Y407">
        <v>20</v>
      </c>
      <c r="Z407">
        <v>30</v>
      </c>
      <c r="AA407" s="14">
        <f>knicks_players_all_stats[[#This Row],[REB]]/knicks_players_all_stats[[#This Row],[GP]]</f>
        <v>1.5</v>
      </c>
      <c r="AB407" s="1">
        <v>0</v>
      </c>
      <c r="AC407" s="4">
        <f>knicks_players_all_stats[[#This Row],[AST]]/knicks_players_all_stats[[#This Row],[GP]]</f>
        <v>0</v>
      </c>
      <c r="AD407" s="1">
        <f>knicks_players_all_stats[[#This Row],[STL2]]/10</f>
        <v>0</v>
      </c>
      <c r="AE407" s="1">
        <v>0</v>
      </c>
      <c r="AF407" s="4">
        <f>knicks_players_all_stats[[#This Row],[STL]]/knicks_players_all_stats[[#This Row],[GP]]</f>
        <v>0</v>
      </c>
      <c r="AG407">
        <v>10</v>
      </c>
      <c r="AH407" s="1">
        <f>knicks_players_all_stats[[#This Row],[BLK2]]/10</f>
        <v>1</v>
      </c>
      <c r="AI407" s="4">
        <f>knicks_players_all_stats[[#This Row],[BLK]]/knicks_players_all_stats[[#This Row],[GP]]</f>
        <v>0.5</v>
      </c>
      <c r="AJ407">
        <v>30</v>
      </c>
      <c r="AK407" s="4">
        <f>knicks_players_all_stats[[#This Row],[BLKPG]]+knicks_players_all_stats[[#This Row],[STLPG]]+knicks_players_all_stats[[#This Row],[REBPG]]</f>
        <v>2</v>
      </c>
      <c r="AL407" s="1">
        <f>knicks_players_all_stats[[#This Row],[TOV2]]/10</f>
        <v>3</v>
      </c>
      <c r="AM407" s="4">
        <f>knicks_players_all_stats[[#This Row],[TOV]]/knicks_players_all_stats[[#This Row],[GP]]</f>
        <v>1.5</v>
      </c>
      <c r="AN407" s="1">
        <v>3</v>
      </c>
      <c r="AO407" s="1">
        <f>knicks_players_all_stats[[#This Row],[PF]]/knicks_players_all_stats[[#This Row],[GP]]</f>
        <v>1.5</v>
      </c>
      <c r="AP407" s="1">
        <v>0</v>
      </c>
      <c r="AQ407" s="4">
        <f>knicks_players_all_stats[[#This Row],[PTS]]/knicks_players_all_stats[[#This Row],[GP]]</f>
        <v>0</v>
      </c>
    </row>
    <row r="408" spans="1:43" customFormat="1" x14ac:dyDescent="0.3">
      <c r="A408" s="1" t="s">
        <v>1588</v>
      </c>
      <c r="B408" s="1" t="s">
        <v>1259</v>
      </c>
      <c r="C408" s="1" t="str">
        <f>knicks_players_all_stats[[#This Row],[NAME]]&amp;" ("&amp;knicks_players_all_stats[[#This Row],[SEASON]]&amp;")"</f>
        <v>Mindaugas Kuzminskas (2017-18)</v>
      </c>
      <c r="D408" s="1">
        <f>knicks_players_all_stats[[#This Row],[PLAYER_AGE]]/10</f>
        <v>28</v>
      </c>
      <c r="E408">
        <v>280</v>
      </c>
      <c r="F408" s="1">
        <v>1</v>
      </c>
      <c r="G408" s="1">
        <v>20</v>
      </c>
      <c r="H408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-2</v>
      </c>
      <c r="I408" s="4">
        <f>knicks_players_all_stats[[#This Row],[VALORATION]]/knicks_players_all_stats[[#This Row],[GP]]</f>
        <v>-2</v>
      </c>
      <c r="J408" s="1">
        <v>0</v>
      </c>
      <c r="K408" s="1">
        <v>2</v>
      </c>
      <c r="L408" s="2">
        <f>knicks_players_all_stats[[#This Row],[FGM]]/knicks_players_all_stats[[#This Row],[FGA]]</f>
        <v>0</v>
      </c>
      <c r="M408" s="16">
        <f>knicks_players_all_stats[[#This Row],[FG3M2]]/10</f>
        <v>0</v>
      </c>
      <c r="N408" s="1">
        <v>0</v>
      </c>
      <c r="O408" s="1">
        <f>knicks_players_all_stats[[#This Row],[FG3A2]]/10</f>
        <v>0</v>
      </c>
      <c r="P408" s="1">
        <v>0</v>
      </c>
      <c r="Q408" s="2" t="e">
        <f>knicks_players_all_stats[[#This Row],[FG3M2]]/knicks_players_all_stats[[#This Row],[FG3A2]]</f>
        <v>#DIV/0!</v>
      </c>
      <c r="R408" s="1">
        <v>0</v>
      </c>
      <c r="S408" s="1">
        <v>0</v>
      </c>
      <c r="T408" s="3" t="e">
        <f>knicks_players_all_stats[[#This Row],[FTM]]/knicks_players_all_stats[[#This Row],[FTA]]</f>
        <v>#DIV/0!</v>
      </c>
      <c r="U408" s="1">
        <f>knicks_players_all_stats[[#This Row],[OREB22]]/10</f>
        <v>0</v>
      </c>
      <c r="V408" s="1">
        <f>knicks_players_all_stats[[#This Row],[DREB33]]/10</f>
        <v>0</v>
      </c>
      <c r="W408" s="1">
        <f>knicks_players_all_stats[[#This Row],[REB44]]/10</f>
        <v>0</v>
      </c>
      <c r="X408">
        <v>0</v>
      </c>
      <c r="Y408">
        <v>0</v>
      </c>
      <c r="Z408">
        <v>0</v>
      </c>
      <c r="AA408" s="14">
        <f>knicks_players_all_stats[[#This Row],[REB]]/knicks_players_all_stats[[#This Row],[GP]]</f>
        <v>0</v>
      </c>
      <c r="AB408" s="1">
        <v>0</v>
      </c>
      <c r="AC408" s="4">
        <f>knicks_players_all_stats[[#This Row],[AST]]/knicks_players_all_stats[[#This Row],[GP]]</f>
        <v>0</v>
      </c>
      <c r="AD408" s="1">
        <f>knicks_players_all_stats[[#This Row],[STL2]]/10</f>
        <v>0</v>
      </c>
      <c r="AE408" s="1">
        <v>0</v>
      </c>
      <c r="AF408" s="4">
        <f>knicks_players_all_stats[[#This Row],[STL]]/knicks_players_all_stats[[#This Row],[GP]]</f>
        <v>0</v>
      </c>
      <c r="AG408">
        <v>0</v>
      </c>
      <c r="AH408" s="1">
        <f>knicks_players_all_stats[[#This Row],[BLK2]]/10</f>
        <v>0</v>
      </c>
      <c r="AI408" s="4">
        <f>knicks_players_all_stats[[#This Row],[BLK]]/knicks_players_all_stats[[#This Row],[GP]]</f>
        <v>0</v>
      </c>
      <c r="AJ408">
        <v>0</v>
      </c>
      <c r="AK408" s="4">
        <f>knicks_players_all_stats[[#This Row],[BLKPG]]+knicks_players_all_stats[[#This Row],[STLPG]]+knicks_players_all_stats[[#This Row],[REBPG]]</f>
        <v>0</v>
      </c>
      <c r="AL408" s="1">
        <f>knicks_players_all_stats[[#This Row],[TOV2]]/10</f>
        <v>0</v>
      </c>
      <c r="AM408" s="4">
        <f>knicks_players_all_stats[[#This Row],[TOV]]/knicks_players_all_stats[[#This Row],[GP]]</f>
        <v>0</v>
      </c>
      <c r="AN408" s="1">
        <v>0</v>
      </c>
      <c r="AO408" s="1">
        <f>knicks_players_all_stats[[#This Row],[PF]]/knicks_players_all_stats[[#This Row],[GP]]</f>
        <v>0</v>
      </c>
      <c r="AP408" s="1">
        <v>0</v>
      </c>
      <c r="AQ408" s="4">
        <f>knicks_players_all_stats[[#This Row],[PTS]]/knicks_players_all_stats[[#This Row],[GP]]</f>
        <v>0</v>
      </c>
    </row>
    <row r="409" spans="1:43" customFormat="1" x14ac:dyDescent="0.3">
      <c r="A409" s="1" t="s">
        <v>1632</v>
      </c>
      <c r="B409" s="1" t="s">
        <v>1295</v>
      </c>
      <c r="C409" s="1" t="str">
        <f>knicks_players_all_stats[[#This Row],[NAME]]&amp;" ("&amp;knicks_players_all_stats[[#This Row],[SEASON]]&amp;")"</f>
        <v>Shandon Anderson (2004-05)</v>
      </c>
      <c r="D409" s="1">
        <f>knicks_players_all_stats[[#This Row],[PLAYER_AGE]]/10</f>
        <v>31</v>
      </c>
      <c r="E409">
        <v>310</v>
      </c>
      <c r="F409" s="1">
        <v>1</v>
      </c>
      <c r="G409" s="1">
        <v>200</v>
      </c>
      <c r="H409" s="1">
        <f>(knicks_players_all_stats[[#This Row],[PTS]]+knicks_players_all_stats[[#This Row],[BLK]]+knicks_players_all_stats[[#This Row],[STL]]+knicks_players_all_stats[[#This Row],[AST]]+knicks_players_all_stats[[#This Row],[REB]])-((knicks_players_all_stats[[#This Row],[FGA]]-knicks_players_all_stats[[#This Row],[FGM]])+(knicks_players_all_stats[[#This Row],[FTA]]-knicks_players_all_stats[[#This Row],[FTM]])+(knicks_players_all_stats[[#This Row],[TOV]])+(knicks_players_all_stats[[#This Row],[PF]]))</f>
        <v>-4</v>
      </c>
      <c r="I409" s="4">
        <f>knicks_players_all_stats[[#This Row],[VALORATION]]/knicks_players_all_stats[[#This Row],[GP]]</f>
        <v>-4</v>
      </c>
      <c r="J409" s="1">
        <v>0</v>
      </c>
      <c r="K409" s="1">
        <v>2</v>
      </c>
      <c r="L409" s="2">
        <f>knicks_players_all_stats[[#This Row],[FGM]]/knicks_players_all_stats[[#This Row],[FGA]]</f>
        <v>0</v>
      </c>
      <c r="M409" s="16">
        <f>knicks_players_all_stats[[#This Row],[FG3M2]]/10</f>
        <v>0</v>
      </c>
      <c r="N409" s="1">
        <v>0</v>
      </c>
      <c r="O409" s="1">
        <f>knicks_players_all_stats[[#This Row],[FG3A2]]/10</f>
        <v>1</v>
      </c>
      <c r="P409" s="1">
        <v>10</v>
      </c>
      <c r="Q409" s="2">
        <f>knicks_players_all_stats[[#This Row],[FG3M2]]/knicks_players_all_stats[[#This Row],[FG3A2]]</f>
        <v>0</v>
      </c>
      <c r="R409" s="1">
        <v>0</v>
      </c>
      <c r="S409" s="1">
        <v>0</v>
      </c>
      <c r="T409" s="3" t="e">
        <f>knicks_players_all_stats[[#This Row],[FTM]]/knicks_players_all_stats[[#This Row],[FTA]]</f>
        <v>#DIV/0!</v>
      </c>
      <c r="U409" s="1">
        <f>knicks_players_all_stats[[#This Row],[OREB22]]/10</f>
        <v>1</v>
      </c>
      <c r="V409" s="1">
        <f>knicks_players_all_stats[[#This Row],[DREB33]]/10</f>
        <v>0</v>
      </c>
      <c r="W409" s="1">
        <f>knicks_players_all_stats[[#This Row],[REB44]]/10</f>
        <v>1</v>
      </c>
      <c r="X409">
        <v>10</v>
      </c>
      <c r="Y409">
        <v>0</v>
      </c>
      <c r="Z409">
        <v>10</v>
      </c>
      <c r="AA409" s="14">
        <f>knicks_players_all_stats[[#This Row],[REB]]/knicks_players_all_stats[[#This Row],[GP]]</f>
        <v>1</v>
      </c>
      <c r="AB409" s="1">
        <v>0</v>
      </c>
      <c r="AC409" s="4">
        <f>knicks_players_all_stats[[#This Row],[AST]]/knicks_players_all_stats[[#This Row],[GP]]</f>
        <v>0</v>
      </c>
      <c r="AD409" s="1">
        <f>knicks_players_all_stats[[#This Row],[STL2]]/10</f>
        <v>0</v>
      </c>
      <c r="AE409" s="1">
        <v>0</v>
      </c>
      <c r="AF409" s="4">
        <f>knicks_players_all_stats[[#This Row],[STL]]/knicks_players_all_stats[[#This Row],[GP]]</f>
        <v>0</v>
      </c>
      <c r="AG409">
        <v>0</v>
      </c>
      <c r="AH409" s="1">
        <f>knicks_players_all_stats[[#This Row],[BLK2]]/10</f>
        <v>0</v>
      </c>
      <c r="AI409" s="4">
        <f>knicks_players_all_stats[[#This Row],[BLK]]/knicks_players_all_stats[[#This Row],[GP]]</f>
        <v>0</v>
      </c>
      <c r="AJ409">
        <v>10</v>
      </c>
      <c r="AK409" s="4">
        <f>knicks_players_all_stats[[#This Row],[BLKPG]]+knicks_players_all_stats[[#This Row],[STLPG]]+knicks_players_all_stats[[#This Row],[REBPG]]</f>
        <v>1</v>
      </c>
      <c r="AL409" s="1">
        <f>knicks_players_all_stats[[#This Row],[TOV2]]/10</f>
        <v>1</v>
      </c>
      <c r="AM409" s="4">
        <f>knicks_players_all_stats[[#This Row],[TOV]]/knicks_players_all_stats[[#This Row],[GP]]</f>
        <v>1</v>
      </c>
      <c r="AN409" s="1">
        <v>2</v>
      </c>
      <c r="AO409" s="1">
        <f>knicks_players_all_stats[[#This Row],[PF]]/knicks_players_all_stats[[#This Row],[GP]]</f>
        <v>2</v>
      </c>
      <c r="AP409" s="1">
        <v>0</v>
      </c>
      <c r="AQ409" s="4">
        <f>knicks_players_all_stats[[#This Row],[PTS]]/knicks_players_all_stats[[#This Row],[GP]]</f>
        <v>0</v>
      </c>
    </row>
    <row r="410" spans="1:43" customFormat="1" x14ac:dyDescent="0.3">
      <c r="L410" s="10"/>
      <c r="M410" s="17"/>
      <c r="Q410" s="10"/>
      <c r="T410" s="11"/>
      <c r="AA410" s="14"/>
      <c r="AK410" s="4"/>
    </row>
    <row r="411" spans="1:43" customFormat="1" x14ac:dyDescent="0.3">
      <c r="L411" s="10"/>
      <c r="M411" s="17"/>
      <c r="Q411" s="10"/>
      <c r="T411" s="11"/>
      <c r="AA411" s="14"/>
      <c r="AK411" s="4"/>
    </row>
    <row r="412" spans="1:43" x14ac:dyDescent="0.3">
      <c r="A412"/>
      <c r="B412"/>
      <c r="C412"/>
      <c r="D412"/>
      <c r="F412"/>
      <c r="G412"/>
      <c r="H412"/>
      <c r="I412"/>
      <c r="J412"/>
      <c r="K412"/>
      <c r="L412" s="10"/>
      <c r="M412" s="17"/>
      <c r="N412"/>
      <c r="O412"/>
      <c r="P412"/>
      <c r="Q412" s="10"/>
      <c r="R412"/>
      <c r="S412"/>
      <c r="T412" s="11"/>
      <c r="U412"/>
      <c r="V412"/>
      <c r="W412"/>
      <c r="AA412" s="14"/>
      <c r="AB412"/>
      <c r="AC412"/>
      <c r="AD412"/>
      <c r="AE412"/>
      <c r="AF412"/>
      <c r="AH412"/>
      <c r="AI412"/>
      <c r="AK412" s="4"/>
      <c r="AL412"/>
      <c r="AM412"/>
      <c r="AN412"/>
      <c r="AO412"/>
      <c r="AP412"/>
      <c r="AQ412"/>
    </row>
    <row r="413" spans="1:43" customFormat="1" x14ac:dyDescent="0.3">
      <c r="L413" s="10"/>
      <c r="M413" s="17"/>
      <c r="Q413" s="10"/>
      <c r="T413" s="11"/>
      <c r="AA413" s="14"/>
      <c r="AK413" s="4"/>
    </row>
    <row r="414" spans="1:43" customFormat="1" x14ac:dyDescent="0.3">
      <c r="L414" s="10"/>
      <c r="M414" s="17"/>
      <c r="Q414" s="10"/>
      <c r="T414" s="11"/>
      <c r="AA414" s="14"/>
      <c r="AK414" s="4"/>
    </row>
    <row r="415" spans="1:43" customFormat="1" x14ac:dyDescent="0.3">
      <c r="L415" s="10"/>
      <c r="M415" s="17"/>
      <c r="Q415" s="10"/>
      <c r="T415" s="11"/>
      <c r="AA415" s="14"/>
      <c r="AK415" s="4"/>
    </row>
    <row r="416" spans="1:43" customFormat="1" x14ac:dyDescent="0.3">
      <c r="L416" s="10"/>
      <c r="M416" s="17"/>
      <c r="Q416" s="10"/>
      <c r="T416" s="11"/>
      <c r="AA416" s="14"/>
      <c r="AK416" s="4"/>
    </row>
    <row r="417" spans="1:43" customFormat="1" x14ac:dyDescent="0.3">
      <c r="L417" s="10"/>
      <c r="M417" s="17"/>
      <c r="Q417" s="10"/>
      <c r="T417" s="11"/>
      <c r="AA417" s="14"/>
      <c r="AK417" s="4"/>
    </row>
    <row r="418" spans="1:43" customFormat="1" x14ac:dyDescent="0.3">
      <c r="L418" s="10"/>
      <c r="M418" s="17"/>
      <c r="Q418" s="10"/>
      <c r="T418" s="11"/>
      <c r="AA418" s="14"/>
      <c r="AK418" s="4"/>
    </row>
    <row r="419" spans="1:43" customFormat="1" x14ac:dyDescent="0.3">
      <c r="L419" s="10"/>
      <c r="M419" s="17"/>
      <c r="Q419" s="10"/>
      <c r="T419" s="11"/>
      <c r="AA419" s="14"/>
      <c r="AK419" s="4"/>
    </row>
    <row r="420" spans="1:43" customFormat="1" x14ac:dyDescent="0.3">
      <c r="L420" s="10"/>
      <c r="M420" s="17"/>
      <c r="Q420" s="10"/>
      <c r="T420" s="11"/>
      <c r="AA420" s="14"/>
      <c r="AK420" s="4"/>
    </row>
    <row r="421" spans="1:43" customFormat="1" x14ac:dyDescent="0.3">
      <c r="L421" s="10"/>
      <c r="M421" s="17"/>
      <c r="Q421" s="10"/>
      <c r="T421" s="11"/>
      <c r="AA421" s="14"/>
      <c r="AK421" s="4"/>
    </row>
    <row r="422" spans="1:43" customFormat="1" x14ac:dyDescent="0.3">
      <c r="L422" s="10"/>
      <c r="M422" s="17"/>
      <c r="Q422" s="10"/>
      <c r="T422" s="11"/>
      <c r="AA422" s="14"/>
      <c r="AK422" s="4"/>
    </row>
    <row r="423" spans="1:43" customFormat="1" x14ac:dyDescent="0.3">
      <c r="L423" s="10"/>
      <c r="M423" s="17"/>
      <c r="Q423" s="10"/>
      <c r="T423" s="11"/>
      <c r="AA423" s="14"/>
      <c r="AK423" s="4"/>
    </row>
    <row r="424" spans="1:43" customFormat="1" x14ac:dyDescent="0.3">
      <c r="L424" s="10"/>
      <c r="M424" s="17"/>
      <c r="Q424" s="10"/>
      <c r="T424" s="11"/>
      <c r="AA424" s="14"/>
      <c r="AK424" s="4"/>
    </row>
    <row r="425" spans="1:43" customFormat="1" x14ac:dyDescent="0.3">
      <c r="L425" s="10"/>
      <c r="M425" s="17"/>
      <c r="Q425" s="10"/>
      <c r="T425" s="11"/>
      <c r="AA425" s="14"/>
      <c r="AK425" s="4"/>
    </row>
    <row r="426" spans="1:43" customFormat="1" x14ac:dyDescent="0.3">
      <c r="L426" s="10"/>
      <c r="M426" s="17"/>
      <c r="Q426" s="10"/>
      <c r="T426" s="11"/>
      <c r="AA426" s="14"/>
      <c r="AK426" s="4"/>
    </row>
    <row r="427" spans="1:43" customFormat="1" x14ac:dyDescent="0.3">
      <c r="L427" s="10"/>
      <c r="M427" s="17"/>
      <c r="Q427" s="10"/>
      <c r="T427" s="11"/>
      <c r="AA427" s="14"/>
      <c r="AK427" s="4"/>
    </row>
    <row r="428" spans="1:43" x14ac:dyDescent="0.3">
      <c r="A428"/>
      <c r="B428"/>
      <c r="C428"/>
      <c r="D428"/>
      <c r="F428"/>
      <c r="G428"/>
      <c r="H428"/>
      <c r="I428"/>
      <c r="J428"/>
      <c r="K428"/>
      <c r="L428" s="10"/>
      <c r="M428" s="17"/>
      <c r="N428"/>
      <c r="O428"/>
      <c r="P428"/>
      <c r="Q428" s="10"/>
      <c r="R428"/>
      <c r="S428"/>
      <c r="T428" s="11"/>
      <c r="U428"/>
      <c r="V428"/>
      <c r="W428"/>
      <c r="AA428" s="14"/>
      <c r="AB428"/>
      <c r="AC428"/>
      <c r="AD428"/>
      <c r="AE428"/>
      <c r="AF428"/>
      <c r="AH428"/>
      <c r="AI428"/>
      <c r="AK428" s="4"/>
      <c r="AL428"/>
      <c r="AM428"/>
      <c r="AN428"/>
      <c r="AO428"/>
      <c r="AP428"/>
      <c r="AQ428"/>
    </row>
    <row r="429" spans="1:43" x14ac:dyDescent="0.3">
      <c r="A429"/>
      <c r="B429"/>
      <c r="C429"/>
      <c r="D429"/>
      <c r="F429"/>
      <c r="G429"/>
      <c r="H429"/>
      <c r="I429"/>
      <c r="J429"/>
      <c r="K429"/>
      <c r="L429" s="10"/>
      <c r="M429" s="17"/>
      <c r="N429"/>
      <c r="O429"/>
      <c r="P429"/>
      <c r="Q429" s="10"/>
      <c r="R429"/>
      <c r="S429"/>
      <c r="T429" s="11"/>
      <c r="U429"/>
      <c r="V429"/>
      <c r="W429"/>
      <c r="AA429" s="14"/>
      <c r="AB429"/>
      <c r="AC429"/>
      <c r="AD429"/>
      <c r="AE429"/>
      <c r="AF429"/>
      <c r="AH429"/>
      <c r="AI429"/>
      <c r="AK429" s="4"/>
      <c r="AL429"/>
      <c r="AM429"/>
      <c r="AN429"/>
      <c r="AO429"/>
      <c r="AP429"/>
      <c r="AQ429"/>
    </row>
    <row r="430" spans="1:43" customFormat="1" x14ac:dyDescent="0.3">
      <c r="L430" s="10"/>
      <c r="M430" s="17"/>
      <c r="Q430" s="10"/>
      <c r="T430" s="11"/>
      <c r="AA430" s="14"/>
      <c r="AK430" s="4"/>
    </row>
    <row r="431" spans="1:43" customFormat="1" x14ac:dyDescent="0.3">
      <c r="L431" s="10"/>
      <c r="M431" s="17"/>
      <c r="Q431" s="10"/>
      <c r="T431" s="11"/>
      <c r="AA431" s="14"/>
      <c r="AK431" s="4"/>
    </row>
    <row r="432" spans="1:43" customFormat="1" x14ac:dyDescent="0.3">
      <c r="L432" s="10"/>
      <c r="M432" s="17"/>
      <c r="Q432" s="10"/>
      <c r="T432" s="11"/>
      <c r="AA432" s="14"/>
      <c r="AK432" s="4"/>
    </row>
    <row r="433" spans="1:43" customFormat="1" x14ac:dyDescent="0.3">
      <c r="L433" s="10"/>
      <c r="M433" s="17"/>
      <c r="Q433" s="10"/>
      <c r="T433" s="11"/>
      <c r="AA433" s="14"/>
      <c r="AK433" s="4"/>
    </row>
    <row r="434" spans="1:43" customFormat="1" x14ac:dyDescent="0.3">
      <c r="L434" s="10"/>
      <c r="M434" s="17"/>
      <c r="Q434" s="10"/>
      <c r="T434" s="11"/>
      <c r="AA434" s="14"/>
      <c r="AK434" s="4"/>
    </row>
    <row r="435" spans="1:43" customFormat="1" x14ac:dyDescent="0.3">
      <c r="L435" s="10"/>
      <c r="M435" s="17"/>
      <c r="Q435" s="10"/>
      <c r="T435" s="11"/>
      <c r="AA435" s="14"/>
      <c r="AK435" s="4"/>
    </row>
    <row r="436" spans="1:43" customFormat="1" x14ac:dyDescent="0.3">
      <c r="L436" s="10"/>
      <c r="M436" s="17"/>
      <c r="Q436" s="10"/>
      <c r="T436" s="11"/>
      <c r="AA436" s="14"/>
      <c r="AK436" s="4"/>
    </row>
    <row r="437" spans="1:43" customFormat="1" x14ac:dyDescent="0.3">
      <c r="L437" s="10"/>
      <c r="M437" s="17"/>
      <c r="Q437" s="10"/>
      <c r="T437" s="11"/>
      <c r="AA437" s="14"/>
      <c r="AK437" s="4"/>
    </row>
    <row r="438" spans="1:43" x14ac:dyDescent="0.3">
      <c r="A438"/>
      <c r="B438"/>
      <c r="C438"/>
      <c r="D438"/>
      <c r="F438"/>
      <c r="G438"/>
      <c r="H438"/>
      <c r="I438"/>
      <c r="J438"/>
      <c r="K438"/>
      <c r="L438" s="10"/>
      <c r="M438" s="17"/>
      <c r="N438"/>
      <c r="O438"/>
      <c r="P438"/>
      <c r="Q438" s="10"/>
      <c r="R438"/>
      <c r="S438"/>
      <c r="T438" s="11"/>
      <c r="U438"/>
      <c r="V438"/>
      <c r="W438"/>
      <c r="AA438" s="14"/>
      <c r="AB438"/>
      <c r="AC438"/>
      <c r="AD438"/>
      <c r="AE438"/>
      <c r="AF438"/>
      <c r="AH438"/>
      <c r="AI438"/>
      <c r="AK438" s="4"/>
      <c r="AL438"/>
      <c r="AM438"/>
      <c r="AN438"/>
      <c r="AO438"/>
      <c r="AP438"/>
      <c r="AQ438"/>
    </row>
    <row r="439" spans="1:43" x14ac:dyDescent="0.3">
      <c r="A439"/>
      <c r="B439"/>
      <c r="C439"/>
      <c r="D439"/>
      <c r="F439"/>
      <c r="G439"/>
      <c r="H439"/>
      <c r="I439"/>
      <c r="J439"/>
      <c r="K439"/>
      <c r="L439" s="10"/>
      <c r="M439" s="17"/>
      <c r="N439"/>
      <c r="O439"/>
      <c r="P439"/>
      <c r="Q439" s="10"/>
      <c r="R439"/>
      <c r="S439"/>
      <c r="T439" s="11"/>
      <c r="U439"/>
      <c r="V439"/>
      <c r="W439"/>
      <c r="AA439" s="14"/>
      <c r="AB439"/>
      <c r="AC439"/>
      <c r="AD439"/>
      <c r="AE439"/>
      <c r="AF439"/>
      <c r="AH439"/>
      <c r="AI439"/>
      <c r="AK439" s="4"/>
      <c r="AL439"/>
      <c r="AM439"/>
      <c r="AN439"/>
      <c r="AO439"/>
      <c r="AP439"/>
      <c r="AQ439"/>
    </row>
    <row r="440" spans="1:43" customFormat="1" x14ac:dyDescent="0.3">
      <c r="A440" s="1"/>
      <c r="B440" s="1"/>
      <c r="C440" s="1"/>
      <c r="D440" s="1"/>
      <c r="F440" s="1"/>
      <c r="G440" s="1"/>
      <c r="H440" s="1"/>
      <c r="I440" s="4"/>
      <c r="J440" s="1"/>
      <c r="K440" s="1"/>
      <c r="L440" s="1"/>
      <c r="M440" s="4"/>
      <c r="N440" s="1"/>
      <c r="O440" s="1"/>
      <c r="P440" s="1"/>
      <c r="Q440" s="12"/>
      <c r="R440" s="1"/>
      <c r="S440" s="1"/>
      <c r="T440" s="13"/>
      <c r="U440" s="1"/>
      <c r="V440" s="1"/>
      <c r="W440" s="1"/>
      <c r="AA440" s="14"/>
      <c r="AB440" s="1"/>
      <c r="AC440" s="1"/>
      <c r="AD440" s="1"/>
      <c r="AE440" s="1"/>
      <c r="AF440" s="1"/>
      <c r="AH440" s="1"/>
      <c r="AI440" s="1"/>
      <c r="AK440" s="4"/>
      <c r="AL440" s="1"/>
      <c r="AM440" s="1"/>
      <c r="AN440" s="1"/>
      <c r="AO440" s="1"/>
      <c r="AP440" s="1"/>
      <c r="AQ440" s="1"/>
    </row>
    <row r="441" spans="1:43" customFormat="1" x14ac:dyDescent="0.3">
      <c r="A441" s="1"/>
      <c r="B441" s="1"/>
      <c r="C441" s="1"/>
      <c r="D441" s="1"/>
      <c r="F441" s="1"/>
      <c r="G441" s="1"/>
      <c r="H441" s="1"/>
      <c r="I441" s="4"/>
      <c r="J441" s="1"/>
      <c r="K441" s="1"/>
      <c r="L441" s="12"/>
      <c r="M441" s="18"/>
      <c r="N441" s="1"/>
      <c r="O441" s="1"/>
      <c r="P441" s="1"/>
      <c r="Q441" s="12"/>
      <c r="R441" s="1"/>
      <c r="S441" s="1"/>
      <c r="T441" s="13"/>
      <c r="U441" s="1"/>
      <c r="V441" s="1"/>
      <c r="W441" s="1"/>
      <c r="AA441" s="14"/>
      <c r="AB441" s="1"/>
      <c r="AC441" s="1"/>
      <c r="AD441" s="1"/>
      <c r="AE441" s="1"/>
      <c r="AF441" s="1"/>
      <c r="AH441" s="1"/>
      <c r="AI441" s="1"/>
      <c r="AK441" s="4"/>
      <c r="AL441" s="1"/>
      <c r="AM441" s="1"/>
      <c r="AN441" s="1"/>
      <c r="AO441" s="1"/>
      <c r="AP441" s="1"/>
      <c r="AQ441" s="1"/>
    </row>
    <row r="442" spans="1:43" x14ac:dyDescent="0.3">
      <c r="I442" s="4"/>
      <c r="Q442" s="12"/>
      <c r="T442" s="13"/>
      <c r="AA442" s="14"/>
      <c r="AK442" s="4"/>
    </row>
    <row r="443" spans="1:43" customFormat="1" x14ac:dyDescent="0.3">
      <c r="L443" s="10"/>
      <c r="M443" s="17"/>
      <c r="Q443" s="10"/>
      <c r="T443" s="11"/>
      <c r="AA443" s="14"/>
      <c r="AK443" s="4"/>
    </row>
    <row r="444" spans="1:43" customFormat="1" x14ac:dyDescent="0.3">
      <c r="L444" s="10"/>
      <c r="M444" s="17"/>
      <c r="Q444" s="10"/>
      <c r="T444" s="11"/>
      <c r="AA444" s="14"/>
      <c r="AK444" s="4"/>
    </row>
    <row r="445" spans="1:43" customFormat="1" x14ac:dyDescent="0.3">
      <c r="L445" s="10"/>
      <c r="M445" s="17"/>
      <c r="Q445" s="10"/>
      <c r="T445" s="11"/>
      <c r="AA445" s="14"/>
      <c r="AK445" s="4"/>
    </row>
    <row r="446" spans="1:43" x14ac:dyDescent="0.3">
      <c r="A446"/>
      <c r="B446"/>
      <c r="C446"/>
      <c r="D446"/>
      <c r="F446"/>
      <c r="G446"/>
      <c r="H446"/>
      <c r="I446"/>
      <c r="J446"/>
      <c r="K446"/>
      <c r="L446" s="10"/>
      <c r="M446" s="17"/>
      <c r="N446"/>
      <c r="O446"/>
      <c r="P446"/>
      <c r="Q446" s="10"/>
      <c r="R446"/>
      <c r="S446"/>
      <c r="T446" s="11"/>
      <c r="U446"/>
      <c r="V446"/>
      <c r="W446"/>
      <c r="AA446" s="14"/>
      <c r="AB446"/>
      <c r="AC446"/>
      <c r="AD446"/>
      <c r="AE446"/>
      <c r="AF446"/>
      <c r="AH446"/>
      <c r="AI446"/>
      <c r="AK446" s="4"/>
      <c r="AL446"/>
      <c r="AM446"/>
      <c r="AN446"/>
      <c r="AO446"/>
      <c r="AP446"/>
      <c r="AQ446"/>
    </row>
    <row r="447" spans="1:43" x14ac:dyDescent="0.3">
      <c r="A447"/>
      <c r="B447"/>
      <c r="C447"/>
      <c r="D447"/>
      <c r="F447"/>
      <c r="G447"/>
      <c r="H447"/>
      <c r="I447"/>
      <c r="J447"/>
      <c r="K447"/>
      <c r="L447" s="10"/>
      <c r="M447" s="17"/>
      <c r="N447"/>
      <c r="O447"/>
      <c r="P447"/>
      <c r="Q447" s="10"/>
      <c r="R447"/>
      <c r="S447"/>
      <c r="T447" s="11"/>
      <c r="U447"/>
      <c r="V447"/>
      <c r="W447"/>
      <c r="AA447" s="14"/>
      <c r="AB447"/>
      <c r="AC447"/>
      <c r="AD447"/>
      <c r="AE447"/>
      <c r="AF447"/>
      <c r="AH447"/>
      <c r="AI447"/>
      <c r="AK447" s="4"/>
      <c r="AL447"/>
      <c r="AM447"/>
      <c r="AN447"/>
      <c r="AO447"/>
      <c r="AP447"/>
      <c r="AQ447"/>
    </row>
    <row r="448" spans="1:43" x14ac:dyDescent="0.3">
      <c r="A448"/>
      <c r="B448"/>
      <c r="C448"/>
      <c r="D448"/>
      <c r="F448"/>
      <c r="G448"/>
      <c r="H448"/>
      <c r="I448"/>
      <c r="J448"/>
      <c r="K448"/>
      <c r="L448" s="10"/>
      <c r="M448" s="17"/>
      <c r="N448"/>
      <c r="O448"/>
      <c r="P448"/>
      <c r="Q448" s="10"/>
      <c r="R448"/>
      <c r="S448"/>
      <c r="T448" s="11"/>
      <c r="U448"/>
      <c r="V448"/>
      <c r="W448"/>
      <c r="AA448" s="14"/>
      <c r="AB448"/>
      <c r="AC448"/>
      <c r="AD448"/>
      <c r="AE448"/>
      <c r="AF448"/>
      <c r="AH448"/>
      <c r="AI448"/>
      <c r="AK448" s="4"/>
      <c r="AL448"/>
      <c r="AM448"/>
      <c r="AN448"/>
      <c r="AO448"/>
      <c r="AP448"/>
      <c r="AQ448"/>
    </row>
    <row r="449" spans="1:43" x14ac:dyDescent="0.3">
      <c r="A449"/>
      <c r="B449"/>
      <c r="C449"/>
      <c r="D449"/>
      <c r="F449"/>
      <c r="G449"/>
      <c r="H449"/>
      <c r="I449"/>
      <c r="J449"/>
      <c r="K449"/>
      <c r="L449" s="10"/>
      <c r="M449" s="17"/>
      <c r="N449"/>
      <c r="O449"/>
      <c r="P449"/>
      <c r="Q449" s="10"/>
      <c r="R449"/>
      <c r="S449"/>
      <c r="T449" s="11"/>
      <c r="U449"/>
      <c r="V449"/>
      <c r="W449"/>
      <c r="AA449" s="14"/>
      <c r="AB449"/>
      <c r="AC449"/>
      <c r="AD449"/>
      <c r="AE449"/>
      <c r="AF449"/>
      <c r="AH449"/>
      <c r="AI449"/>
      <c r="AK449" s="4"/>
      <c r="AL449"/>
      <c r="AM449"/>
      <c r="AN449"/>
      <c r="AO449"/>
      <c r="AP449"/>
      <c r="AQ449"/>
    </row>
    <row r="450" spans="1:43" customFormat="1" x14ac:dyDescent="0.3">
      <c r="L450" s="10"/>
      <c r="M450" s="17"/>
      <c r="Q450" s="10"/>
      <c r="T450" s="11"/>
      <c r="AA450" s="14"/>
      <c r="AK450" s="4"/>
    </row>
    <row r="451" spans="1:43" customFormat="1" x14ac:dyDescent="0.3">
      <c r="L451" s="10"/>
      <c r="M451" s="17"/>
      <c r="Q451" s="10"/>
      <c r="T451" s="11"/>
      <c r="AA451" s="14"/>
      <c r="AK451" s="4"/>
    </row>
    <row r="452" spans="1:43" x14ac:dyDescent="0.3">
      <c r="A452"/>
      <c r="B452"/>
      <c r="C452"/>
      <c r="D452"/>
      <c r="F452"/>
      <c r="G452"/>
      <c r="H452"/>
      <c r="I452"/>
      <c r="J452"/>
      <c r="K452"/>
      <c r="L452" s="10"/>
      <c r="M452" s="17"/>
      <c r="N452"/>
      <c r="O452"/>
      <c r="P452"/>
      <c r="Q452" s="10"/>
      <c r="R452"/>
      <c r="S452"/>
      <c r="T452" s="11"/>
      <c r="U452"/>
      <c r="V452"/>
      <c r="W452"/>
      <c r="AA452" s="14"/>
      <c r="AB452"/>
      <c r="AC452"/>
      <c r="AD452"/>
      <c r="AE452"/>
      <c r="AF452"/>
      <c r="AH452"/>
      <c r="AI452"/>
      <c r="AK452" s="4"/>
      <c r="AL452"/>
      <c r="AM452"/>
      <c r="AN452"/>
      <c r="AO452"/>
      <c r="AP452"/>
      <c r="AQ452"/>
    </row>
    <row r="453" spans="1:43" x14ac:dyDescent="0.3">
      <c r="A453"/>
      <c r="B453"/>
      <c r="C453"/>
      <c r="D453"/>
      <c r="F453"/>
      <c r="G453"/>
      <c r="H453"/>
      <c r="I453"/>
      <c r="J453"/>
      <c r="K453"/>
      <c r="L453" s="10"/>
      <c r="M453" s="17"/>
      <c r="N453"/>
      <c r="O453"/>
      <c r="P453"/>
      <c r="Q453" s="10"/>
      <c r="R453"/>
      <c r="S453"/>
      <c r="T453" s="11"/>
      <c r="U453"/>
      <c r="V453"/>
      <c r="W453"/>
      <c r="AA453" s="14"/>
      <c r="AB453"/>
      <c r="AC453"/>
      <c r="AD453"/>
      <c r="AE453"/>
      <c r="AF453"/>
      <c r="AH453"/>
      <c r="AI453"/>
      <c r="AK453" s="4"/>
      <c r="AL453"/>
      <c r="AM453"/>
      <c r="AN453"/>
      <c r="AO453"/>
      <c r="AP453"/>
      <c r="AQ453"/>
    </row>
    <row r="454" spans="1:43" x14ac:dyDescent="0.3">
      <c r="A454"/>
      <c r="B454"/>
      <c r="C454"/>
      <c r="D454"/>
      <c r="F454"/>
      <c r="G454"/>
      <c r="H454"/>
      <c r="I454"/>
      <c r="J454"/>
      <c r="K454"/>
      <c r="L454" s="10"/>
      <c r="M454" s="17"/>
      <c r="N454"/>
      <c r="O454"/>
      <c r="P454"/>
      <c r="Q454" s="10"/>
      <c r="R454"/>
      <c r="S454"/>
      <c r="T454" s="11"/>
      <c r="U454"/>
      <c r="V454"/>
      <c r="W454"/>
      <c r="AA454" s="14"/>
      <c r="AB454"/>
      <c r="AC454"/>
      <c r="AD454"/>
      <c r="AE454"/>
      <c r="AF454"/>
      <c r="AH454"/>
      <c r="AI454"/>
      <c r="AK454" s="4"/>
      <c r="AL454"/>
      <c r="AM454"/>
      <c r="AN454"/>
      <c r="AO454"/>
      <c r="AP454"/>
      <c r="AQ454"/>
    </row>
    <row r="455" spans="1:43" x14ac:dyDescent="0.3">
      <c r="A455"/>
      <c r="B455"/>
      <c r="C455"/>
      <c r="D455"/>
      <c r="F455"/>
      <c r="G455"/>
      <c r="H455"/>
      <c r="I455"/>
      <c r="J455"/>
      <c r="K455"/>
      <c r="L455" s="10"/>
      <c r="M455" s="17"/>
      <c r="N455"/>
      <c r="O455"/>
      <c r="P455"/>
      <c r="Q455" s="10"/>
      <c r="R455"/>
      <c r="S455"/>
      <c r="T455" s="11"/>
      <c r="U455"/>
      <c r="V455"/>
      <c r="W455"/>
      <c r="AA455" s="14"/>
      <c r="AB455"/>
      <c r="AC455"/>
      <c r="AD455"/>
      <c r="AE455"/>
      <c r="AF455"/>
      <c r="AH455"/>
      <c r="AI455"/>
      <c r="AK455" s="4"/>
      <c r="AL455"/>
      <c r="AM455"/>
      <c r="AN455"/>
      <c r="AO455"/>
      <c r="AP455"/>
      <c r="AQ455"/>
    </row>
    <row r="456" spans="1:43" x14ac:dyDescent="0.3">
      <c r="A456"/>
      <c r="B456"/>
      <c r="C456"/>
      <c r="D456"/>
      <c r="F456"/>
      <c r="G456"/>
      <c r="H456"/>
      <c r="I456"/>
      <c r="J456"/>
      <c r="K456"/>
      <c r="L456" s="10"/>
      <c r="M456" s="17"/>
      <c r="N456"/>
      <c r="O456"/>
      <c r="P456"/>
      <c r="Q456" s="10"/>
      <c r="R456"/>
      <c r="S456"/>
      <c r="T456" s="11"/>
      <c r="U456"/>
      <c r="V456"/>
      <c r="W456"/>
      <c r="AA456" s="14"/>
      <c r="AB456"/>
      <c r="AC456"/>
      <c r="AD456"/>
      <c r="AE456"/>
      <c r="AF456"/>
      <c r="AH456"/>
      <c r="AI456"/>
      <c r="AK456" s="4"/>
      <c r="AL456"/>
      <c r="AM456"/>
      <c r="AN456"/>
      <c r="AO456"/>
      <c r="AP456"/>
      <c r="AQ456"/>
    </row>
    <row r="457" spans="1:43" x14ac:dyDescent="0.3">
      <c r="A457"/>
      <c r="B457"/>
      <c r="C457"/>
      <c r="D457"/>
      <c r="F457"/>
      <c r="G457"/>
      <c r="H457"/>
      <c r="I457"/>
      <c r="J457"/>
      <c r="K457"/>
      <c r="L457" s="10"/>
      <c r="M457" s="17"/>
      <c r="N457"/>
      <c r="O457"/>
      <c r="P457"/>
      <c r="Q457" s="10"/>
      <c r="R457"/>
      <c r="S457"/>
      <c r="T457" s="11"/>
      <c r="U457"/>
      <c r="V457"/>
      <c r="W457"/>
      <c r="AA457" s="14"/>
      <c r="AB457"/>
      <c r="AC457"/>
      <c r="AD457"/>
      <c r="AE457"/>
      <c r="AF457"/>
      <c r="AH457"/>
      <c r="AI457"/>
      <c r="AK457" s="4"/>
      <c r="AL457"/>
      <c r="AM457"/>
      <c r="AN457"/>
      <c r="AO457"/>
      <c r="AP457"/>
      <c r="AQ457"/>
    </row>
    <row r="458" spans="1:43" x14ac:dyDescent="0.3">
      <c r="A458"/>
      <c r="B458"/>
      <c r="C458"/>
      <c r="D458"/>
      <c r="F458"/>
      <c r="G458"/>
      <c r="H458"/>
      <c r="I458"/>
      <c r="J458"/>
      <c r="K458"/>
      <c r="L458" s="10"/>
      <c r="M458" s="17"/>
      <c r="N458"/>
      <c r="O458"/>
      <c r="P458"/>
      <c r="Q458" s="10"/>
      <c r="R458"/>
      <c r="S458"/>
      <c r="T458" s="11"/>
      <c r="U458"/>
      <c r="V458"/>
      <c r="W458"/>
      <c r="AA458" s="14"/>
      <c r="AB458"/>
      <c r="AC458"/>
      <c r="AD458"/>
      <c r="AE458"/>
      <c r="AF458"/>
      <c r="AH458"/>
      <c r="AI458"/>
      <c r="AK458" s="4"/>
      <c r="AL458"/>
      <c r="AM458"/>
      <c r="AN458"/>
      <c r="AO458"/>
      <c r="AP458"/>
      <c r="AQ458"/>
    </row>
    <row r="459" spans="1:43" x14ac:dyDescent="0.3">
      <c r="A459"/>
      <c r="B459"/>
      <c r="C459"/>
      <c r="D459"/>
      <c r="F459"/>
      <c r="G459"/>
      <c r="H459"/>
      <c r="I459"/>
      <c r="J459"/>
      <c r="K459"/>
      <c r="L459" s="10"/>
      <c r="M459" s="17"/>
      <c r="N459"/>
      <c r="O459"/>
      <c r="P459"/>
      <c r="Q459" s="10"/>
      <c r="R459"/>
      <c r="S459"/>
      <c r="T459" s="11"/>
      <c r="U459"/>
      <c r="V459"/>
      <c r="W459"/>
      <c r="AA459" s="14"/>
      <c r="AB459"/>
      <c r="AC459"/>
      <c r="AD459"/>
      <c r="AE459"/>
      <c r="AF459"/>
      <c r="AH459"/>
      <c r="AI459"/>
      <c r="AK459" s="4"/>
      <c r="AL459"/>
      <c r="AM459"/>
      <c r="AN459"/>
      <c r="AO459"/>
      <c r="AP459"/>
      <c r="AQ459"/>
    </row>
    <row r="460" spans="1:43" x14ac:dyDescent="0.3">
      <c r="A460"/>
      <c r="B460"/>
      <c r="C460"/>
      <c r="D460"/>
      <c r="F460"/>
      <c r="G460"/>
      <c r="H460"/>
      <c r="I460"/>
      <c r="J460"/>
      <c r="K460"/>
      <c r="L460" s="10"/>
      <c r="M460" s="17"/>
      <c r="N460"/>
      <c r="O460"/>
      <c r="P460"/>
      <c r="Q460" s="10"/>
      <c r="R460"/>
      <c r="S460"/>
      <c r="T460" s="11"/>
      <c r="U460"/>
      <c r="V460"/>
      <c r="W460"/>
      <c r="AA460" s="14"/>
      <c r="AB460"/>
      <c r="AC460"/>
      <c r="AD460"/>
      <c r="AE460"/>
      <c r="AF460"/>
      <c r="AH460"/>
      <c r="AI460"/>
      <c r="AK460" s="4"/>
      <c r="AL460"/>
      <c r="AM460"/>
      <c r="AN460"/>
      <c r="AO460"/>
      <c r="AP460"/>
      <c r="AQ460"/>
    </row>
    <row r="461" spans="1:43" x14ac:dyDescent="0.3">
      <c r="A461"/>
      <c r="B461"/>
      <c r="C461"/>
      <c r="D461"/>
      <c r="F461"/>
      <c r="G461"/>
      <c r="H461"/>
      <c r="I461"/>
      <c r="J461"/>
      <c r="K461"/>
      <c r="L461" s="10"/>
      <c r="M461" s="17"/>
      <c r="N461"/>
      <c r="O461"/>
      <c r="P461"/>
      <c r="Q461" s="10"/>
      <c r="R461"/>
      <c r="S461"/>
      <c r="T461" s="11"/>
      <c r="U461"/>
      <c r="V461"/>
      <c r="W461"/>
      <c r="AA461" s="14"/>
      <c r="AB461"/>
      <c r="AC461"/>
      <c r="AD461"/>
      <c r="AE461"/>
      <c r="AF461"/>
      <c r="AH461"/>
      <c r="AI461"/>
      <c r="AK461" s="4"/>
      <c r="AL461"/>
      <c r="AM461"/>
      <c r="AN461"/>
      <c r="AO461"/>
      <c r="AP461"/>
      <c r="AQ461"/>
    </row>
    <row r="462" spans="1:43" x14ac:dyDescent="0.3">
      <c r="A462"/>
      <c r="B462"/>
      <c r="C462"/>
      <c r="D462"/>
      <c r="F462"/>
      <c r="G462"/>
      <c r="H462"/>
      <c r="I462"/>
      <c r="J462"/>
      <c r="K462"/>
      <c r="L462" s="10"/>
      <c r="M462" s="17"/>
      <c r="N462"/>
      <c r="O462"/>
      <c r="P462"/>
      <c r="Q462" s="10"/>
      <c r="R462"/>
      <c r="S462"/>
      <c r="T462" s="11"/>
      <c r="U462"/>
      <c r="V462"/>
      <c r="W462"/>
      <c r="AA462" s="14"/>
      <c r="AB462"/>
      <c r="AC462"/>
      <c r="AD462"/>
      <c r="AE462"/>
      <c r="AF462"/>
      <c r="AH462"/>
      <c r="AI462"/>
      <c r="AK462" s="4"/>
      <c r="AL462"/>
      <c r="AM462"/>
      <c r="AN462"/>
      <c r="AO462"/>
      <c r="AP462"/>
      <c r="AQ462"/>
    </row>
    <row r="463" spans="1:43" x14ac:dyDescent="0.3">
      <c r="I463" s="4"/>
      <c r="L463" s="12"/>
      <c r="M463" s="18"/>
      <c r="Q463" s="12"/>
      <c r="T463" s="13"/>
      <c r="AA463" s="14"/>
      <c r="AK463" s="4"/>
    </row>
    <row r="464" spans="1:43" customFormat="1" x14ac:dyDescent="0.3">
      <c r="L464" s="10"/>
      <c r="M464" s="17"/>
      <c r="Q464" s="10"/>
      <c r="T464" s="11"/>
      <c r="AA464" s="14"/>
      <c r="AK464" s="4"/>
    </row>
    <row r="465" spans="1:43" customFormat="1" x14ac:dyDescent="0.3">
      <c r="L465" s="10"/>
      <c r="M465" s="17"/>
      <c r="Q465" s="10"/>
      <c r="T465" s="11"/>
      <c r="AA465" s="14"/>
      <c r="AK465" s="4"/>
    </row>
    <row r="466" spans="1:43" customFormat="1" x14ac:dyDescent="0.3">
      <c r="L466" s="10"/>
      <c r="M466" s="17"/>
      <c r="Q466" s="10"/>
      <c r="T466" s="11"/>
      <c r="AA466" s="14"/>
      <c r="AK466" s="4"/>
    </row>
    <row r="467" spans="1:43" customFormat="1" x14ac:dyDescent="0.3">
      <c r="L467" s="10"/>
      <c r="M467" s="17"/>
      <c r="Q467" s="10"/>
      <c r="T467" s="11"/>
      <c r="AA467" s="14"/>
      <c r="AK467" s="4"/>
    </row>
    <row r="468" spans="1:43" customFormat="1" x14ac:dyDescent="0.3">
      <c r="L468" s="10"/>
      <c r="M468" s="17"/>
      <c r="Q468" s="10"/>
      <c r="T468" s="11"/>
      <c r="AA468" s="14"/>
      <c r="AK468" s="4"/>
    </row>
    <row r="469" spans="1:43" customFormat="1" x14ac:dyDescent="0.3">
      <c r="L469" s="10"/>
      <c r="M469" s="17"/>
      <c r="Q469" s="10"/>
      <c r="T469" s="11"/>
      <c r="AA469" s="14"/>
      <c r="AK469" s="4"/>
    </row>
    <row r="470" spans="1:43" customFormat="1" x14ac:dyDescent="0.3">
      <c r="L470" s="10"/>
      <c r="M470" s="17"/>
      <c r="Q470" s="10"/>
      <c r="T470" s="11"/>
      <c r="AA470" s="14"/>
      <c r="AK470" s="4"/>
    </row>
    <row r="471" spans="1:43" x14ac:dyDescent="0.3">
      <c r="A471"/>
      <c r="B471"/>
      <c r="C471"/>
      <c r="D471"/>
      <c r="F471"/>
      <c r="G471"/>
      <c r="H471"/>
      <c r="I471"/>
      <c r="J471"/>
      <c r="K471"/>
      <c r="L471" s="10"/>
      <c r="M471" s="17"/>
      <c r="N471"/>
      <c r="O471"/>
      <c r="P471"/>
      <c r="Q471" s="10"/>
      <c r="R471"/>
      <c r="S471"/>
      <c r="T471" s="11"/>
      <c r="U471"/>
      <c r="V471"/>
      <c r="W471"/>
      <c r="AA471" s="14"/>
      <c r="AB471"/>
      <c r="AC471"/>
      <c r="AD471"/>
      <c r="AE471"/>
      <c r="AF471"/>
      <c r="AH471"/>
      <c r="AI471"/>
      <c r="AK471" s="4"/>
      <c r="AL471"/>
      <c r="AM471"/>
      <c r="AN471"/>
      <c r="AO471"/>
      <c r="AP471"/>
      <c r="AQ471"/>
    </row>
    <row r="472" spans="1:43" customFormat="1" x14ac:dyDescent="0.3">
      <c r="L472" s="10"/>
      <c r="M472" s="17"/>
      <c r="Q472" s="10"/>
      <c r="T472" s="11"/>
      <c r="AA472" s="14"/>
      <c r="AK472" s="4"/>
    </row>
    <row r="473" spans="1:43" customFormat="1" x14ac:dyDescent="0.3">
      <c r="L473" s="10"/>
      <c r="M473" s="17"/>
      <c r="Q473" s="10"/>
      <c r="T473" s="11"/>
      <c r="AA473" s="14"/>
      <c r="AK473" s="4"/>
    </row>
    <row r="474" spans="1:43" customFormat="1" x14ac:dyDescent="0.3">
      <c r="L474" s="10"/>
      <c r="M474" s="17"/>
      <c r="Q474" s="10"/>
      <c r="T474" s="11"/>
      <c r="AA474" s="14"/>
      <c r="AK474" s="4"/>
    </row>
    <row r="475" spans="1:43" customFormat="1" x14ac:dyDescent="0.3">
      <c r="A475" s="1"/>
      <c r="B475" s="1"/>
      <c r="C475" s="1"/>
      <c r="D475" s="1"/>
      <c r="F475" s="1"/>
      <c r="G475" s="1"/>
      <c r="H475" s="1"/>
      <c r="I475" s="4"/>
      <c r="J475" s="1"/>
      <c r="K475" s="1"/>
      <c r="L475" s="12"/>
      <c r="M475" s="18"/>
      <c r="N475" s="1"/>
      <c r="O475" s="1"/>
      <c r="P475" s="1"/>
      <c r="Q475" s="12"/>
      <c r="R475" s="1"/>
      <c r="S475" s="1"/>
      <c r="T475" s="13"/>
      <c r="U475" s="1"/>
      <c r="V475" s="1"/>
      <c r="W475" s="1"/>
      <c r="AA475" s="14"/>
      <c r="AB475" s="1"/>
      <c r="AC475" s="1"/>
      <c r="AD475" s="1"/>
      <c r="AE475" s="1"/>
      <c r="AF475" s="1"/>
      <c r="AH475" s="1"/>
      <c r="AI475" s="1"/>
      <c r="AK475" s="4"/>
      <c r="AL475" s="1"/>
      <c r="AM475" s="1"/>
      <c r="AN475" s="1"/>
      <c r="AO475" s="1"/>
      <c r="AP475" s="1"/>
      <c r="AQ475" s="1"/>
    </row>
    <row r="476" spans="1:43" customFormat="1" x14ac:dyDescent="0.3">
      <c r="L476" s="10"/>
      <c r="M476" s="17"/>
      <c r="Q476" s="10"/>
      <c r="T476" s="11"/>
      <c r="AA476" s="14"/>
      <c r="AK476" s="4"/>
    </row>
    <row r="477" spans="1:43" x14ac:dyDescent="0.3">
      <c r="A477"/>
      <c r="B477"/>
      <c r="C477"/>
      <c r="D477"/>
      <c r="F477"/>
      <c r="G477"/>
      <c r="H477"/>
      <c r="I477"/>
      <c r="J477"/>
      <c r="K477"/>
      <c r="L477" s="10"/>
      <c r="M477" s="17"/>
      <c r="N477"/>
      <c r="O477"/>
      <c r="P477"/>
      <c r="Q477" s="10"/>
      <c r="R477"/>
      <c r="S477"/>
      <c r="T477" s="11"/>
      <c r="U477"/>
      <c r="V477"/>
      <c r="W477"/>
      <c r="AA477" s="14"/>
      <c r="AB477"/>
      <c r="AC477"/>
      <c r="AD477"/>
      <c r="AE477"/>
      <c r="AF477"/>
      <c r="AH477"/>
      <c r="AI477"/>
      <c r="AK477" s="4"/>
      <c r="AL477"/>
      <c r="AM477"/>
      <c r="AN477"/>
      <c r="AO477"/>
      <c r="AP477"/>
      <c r="AQ477"/>
    </row>
    <row r="478" spans="1:43" x14ac:dyDescent="0.3">
      <c r="A478"/>
      <c r="B478"/>
      <c r="C478"/>
      <c r="D478"/>
      <c r="F478"/>
      <c r="G478"/>
      <c r="H478"/>
      <c r="I478"/>
      <c r="J478"/>
      <c r="K478"/>
      <c r="L478" s="10"/>
      <c r="M478" s="17"/>
      <c r="N478"/>
      <c r="O478"/>
      <c r="P478"/>
      <c r="Q478" s="10"/>
      <c r="R478"/>
      <c r="S478"/>
      <c r="T478" s="11"/>
      <c r="U478"/>
      <c r="V478"/>
      <c r="W478"/>
      <c r="AA478" s="14"/>
      <c r="AB478"/>
      <c r="AC478"/>
      <c r="AD478"/>
      <c r="AE478"/>
      <c r="AF478"/>
      <c r="AH478"/>
      <c r="AI478"/>
      <c r="AK478" s="4"/>
      <c r="AL478"/>
      <c r="AM478"/>
      <c r="AN478"/>
      <c r="AO478"/>
      <c r="AP478"/>
      <c r="AQ478"/>
    </row>
    <row r="479" spans="1:43" x14ac:dyDescent="0.3">
      <c r="A479"/>
      <c r="B479"/>
      <c r="C479"/>
      <c r="D479"/>
      <c r="F479"/>
      <c r="G479"/>
      <c r="H479"/>
      <c r="I479"/>
      <c r="J479"/>
      <c r="K479"/>
      <c r="L479" s="10"/>
      <c r="M479" s="17"/>
      <c r="N479"/>
      <c r="O479"/>
      <c r="P479"/>
      <c r="Q479" s="10"/>
      <c r="R479"/>
      <c r="S479"/>
      <c r="T479" s="11"/>
      <c r="U479"/>
      <c r="V479"/>
      <c r="W479"/>
      <c r="AA479" s="14"/>
      <c r="AB479"/>
      <c r="AC479"/>
      <c r="AD479"/>
      <c r="AE479"/>
      <c r="AF479"/>
      <c r="AH479"/>
      <c r="AI479"/>
      <c r="AK479" s="4"/>
      <c r="AL479"/>
      <c r="AM479"/>
      <c r="AN479"/>
      <c r="AO479"/>
      <c r="AP479"/>
      <c r="AQ479"/>
    </row>
    <row r="480" spans="1:43" x14ac:dyDescent="0.3">
      <c r="A480"/>
      <c r="B480"/>
      <c r="C480"/>
      <c r="D480"/>
      <c r="F480"/>
      <c r="G480"/>
      <c r="H480"/>
      <c r="I480"/>
      <c r="J480"/>
      <c r="K480"/>
      <c r="L480" s="10"/>
      <c r="M480" s="17"/>
      <c r="N480"/>
      <c r="O480"/>
      <c r="P480"/>
      <c r="Q480" s="10"/>
      <c r="R480"/>
      <c r="S480"/>
      <c r="T480" s="11"/>
      <c r="U480"/>
      <c r="V480"/>
      <c r="W480"/>
      <c r="AA480" s="14"/>
      <c r="AB480"/>
      <c r="AC480"/>
      <c r="AD480"/>
      <c r="AE480"/>
      <c r="AF480"/>
      <c r="AH480"/>
      <c r="AI480"/>
      <c r="AK480" s="4"/>
      <c r="AL480"/>
      <c r="AM480"/>
      <c r="AN480"/>
      <c r="AO480"/>
      <c r="AP480"/>
      <c r="AQ480"/>
    </row>
    <row r="481" spans="1:43" x14ac:dyDescent="0.3">
      <c r="A481"/>
      <c r="B481"/>
      <c r="C481"/>
      <c r="D481"/>
      <c r="F481"/>
      <c r="G481"/>
      <c r="H481"/>
      <c r="I481"/>
      <c r="J481"/>
      <c r="K481"/>
      <c r="L481" s="10"/>
      <c r="M481" s="17"/>
      <c r="N481"/>
      <c r="O481"/>
      <c r="P481"/>
      <c r="Q481" s="10"/>
      <c r="R481"/>
      <c r="S481"/>
      <c r="T481" s="11"/>
      <c r="U481"/>
      <c r="V481"/>
      <c r="W481"/>
      <c r="AA481" s="14"/>
      <c r="AB481"/>
      <c r="AC481"/>
      <c r="AD481"/>
      <c r="AE481"/>
      <c r="AF481"/>
      <c r="AH481"/>
      <c r="AI481"/>
      <c r="AK481" s="4"/>
      <c r="AL481"/>
      <c r="AM481"/>
      <c r="AN481"/>
      <c r="AO481"/>
      <c r="AP481"/>
      <c r="AQ481"/>
    </row>
    <row r="482" spans="1:43" x14ac:dyDescent="0.3">
      <c r="I482" s="4"/>
      <c r="L482" s="12"/>
      <c r="M482" s="18"/>
      <c r="Q482" s="12"/>
      <c r="T482" s="13"/>
      <c r="AA482" s="14"/>
      <c r="AK482" s="4"/>
    </row>
    <row r="483" spans="1:43" customFormat="1" x14ac:dyDescent="0.3">
      <c r="L483" s="10"/>
      <c r="M483" s="17"/>
      <c r="Q483" s="10"/>
      <c r="T483" s="11"/>
      <c r="AA483" s="14"/>
      <c r="AK483" s="4"/>
    </row>
    <row r="484" spans="1:43" customFormat="1" x14ac:dyDescent="0.3">
      <c r="L484" s="10"/>
      <c r="M484" s="17"/>
      <c r="Q484" s="10"/>
      <c r="T484" s="11"/>
      <c r="AA484" s="14"/>
      <c r="AK484" s="4"/>
    </row>
    <row r="485" spans="1:43" customFormat="1" x14ac:dyDescent="0.3">
      <c r="L485" s="10"/>
      <c r="M485" s="17"/>
      <c r="Q485" s="10"/>
      <c r="T485" s="11"/>
      <c r="AA485" s="14"/>
      <c r="AK485" s="4"/>
    </row>
    <row r="486" spans="1:43" x14ac:dyDescent="0.3">
      <c r="A486"/>
      <c r="B486"/>
      <c r="C486"/>
      <c r="D486"/>
      <c r="F486"/>
      <c r="G486"/>
      <c r="H486"/>
      <c r="I486"/>
      <c r="J486"/>
      <c r="K486"/>
      <c r="L486" s="10"/>
      <c r="M486" s="17"/>
      <c r="N486"/>
      <c r="O486"/>
      <c r="P486"/>
      <c r="Q486" s="10"/>
      <c r="R486"/>
      <c r="S486"/>
      <c r="T486" s="11"/>
      <c r="U486"/>
      <c r="V486"/>
      <c r="W486"/>
      <c r="AA486" s="14"/>
      <c r="AB486"/>
      <c r="AC486"/>
      <c r="AD486"/>
      <c r="AE486"/>
      <c r="AF486"/>
      <c r="AH486"/>
      <c r="AI486"/>
      <c r="AK486" s="4"/>
      <c r="AL486"/>
      <c r="AM486"/>
      <c r="AN486"/>
      <c r="AO486"/>
      <c r="AP486"/>
      <c r="AQ486"/>
    </row>
    <row r="487" spans="1:43" x14ac:dyDescent="0.3">
      <c r="A487"/>
      <c r="B487"/>
      <c r="C487"/>
      <c r="D487"/>
      <c r="F487"/>
      <c r="G487"/>
      <c r="H487"/>
      <c r="I487"/>
      <c r="J487"/>
      <c r="K487"/>
      <c r="L487" s="10"/>
      <c r="M487" s="17"/>
      <c r="N487"/>
      <c r="O487"/>
      <c r="P487"/>
      <c r="Q487" s="10"/>
      <c r="R487"/>
      <c r="S487"/>
      <c r="T487" s="11"/>
      <c r="U487"/>
      <c r="V487"/>
      <c r="W487"/>
      <c r="AA487" s="14"/>
      <c r="AB487"/>
      <c r="AC487"/>
      <c r="AD487"/>
      <c r="AE487"/>
      <c r="AF487"/>
      <c r="AH487"/>
      <c r="AI487"/>
      <c r="AK487" s="4"/>
      <c r="AL487"/>
      <c r="AM487"/>
      <c r="AN487"/>
      <c r="AO487"/>
      <c r="AP487"/>
      <c r="AQ487"/>
    </row>
    <row r="488" spans="1:43" x14ac:dyDescent="0.3">
      <c r="A488"/>
      <c r="B488"/>
      <c r="C488"/>
      <c r="D488"/>
      <c r="F488"/>
      <c r="G488"/>
      <c r="H488"/>
      <c r="I488"/>
      <c r="J488"/>
      <c r="K488"/>
      <c r="L488" s="10"/>
      <c r="M488" s="17"/>
      <c r="N488"/>
      <c r="O488"/>
      <c r="P488"/>
      <c r="Q488" s="10"/>
      <c r="R488"/>
      <c r="S488"/>
      <c r="T488" s="11"/>
      <c r="U488"/>
      <c r="V488"/>
      <c r="W488"/>
      <c r="AA488" s="14"/>
      <c r="AB488"/>
      <c r="AC488"/>
      <c r="AD488"/>
      <c r="AE488"/>
      <c r="AF488"/>
      <c r="AH488"/>
      <c r="AI488"/>
      <c r="AK488" s="4"/>
      <c r="AL488"/>
      <c r="AM488"/>
      <c r="AN488"/>
      <c r="AO488"/>
      <c r="AP488"/>
      <c r="AQ488"/>
    </row>
    <row r="489" spans="1:43" x14ac:dyDescent="0.3">
      <c r="A489"/>
      <c r="B489"/>
      <c r="C489"/>
      <c r="D489"/>
      <c r="F489"/>
      <c r="G489"/>
      <c r="H489"/>
      <c r="I489"/>
      <c r="J489"/>
      <c r="K489"/>
      <c r="L489" s="10"/>
      <c r="M489" s="17"/>
      <c r="N489"/>
      <c r="O489"/>
      <c r="P489"/>
      <c r="Q489" s="10"/>
      <c r="R489"/>
      <c r="S489"/>
      <c r="T489" s="11"/>
      <c r="U489"/>
      <c r="V489"/>
      <c r="W489"/>
      <c r="AA489" s="14"/>
      <c r="AB489"/>
      <c r="AC489"/>
      <c r="AD489"/>
      <c r="AE489"/>
      <c r="AF489"/>
      <c r="AH489"/>
      <c r="AI489"/>
      <c r="AK489" s="4"/>
      <c r="AL489"/>
      <c r="AM489"/>
      <c r="AN489"/>
      <c r="AO489"/>
      <c r="AP489"/>
      <c r="AQ489"/>
    </row>
    <row r="490" spans="1:43" x14ac:dyDescent="0.3">
      <c r="A490"/>
      <c r="B490"/>
      <c r="C490"/>
      <c r="D490"/>
      <c r="F490"/>
      <c r="G490"/>
      <c r="H490"/>
      <c r="I490"/>
      <c r="J490"/>
      <c r="K490"/>
      <c r="L490" s="10"/>
      <c r="M490" s="17"/>
      <c r="N490"/>
      <c r="O490"/>
      <c r="P490"/>
      <c r="Q490" s="10"/>
      <c r="R490"/>
      <c r="S490"/>
      <c r="T490" s="11"/>
      <c r="U490"/>
      <c r="V490"/>
      <c r="W490"/>
      <c r="AA490" s="14"/>
      <c r="AB490"/>
      <c r="AC490"/>
      <c r="AD490"/>
      <c r="AE490"/>
      <c r="AF490"/>
      <c r="AH490"/>
      <c r="AI490"/>
      <c r="AK490" s="4"/>
      <c r="AL490"/>
      <c r="AM490"/>
      <c r="AN490"/>
      <c r="AO490"/>
      <c r="AP490"/>
      <c r="AQ490"/>
    </row>
    <row r="491" spans="1:43" customFormat="1" x14ac:dyDescent="0.3">
      <c r="L491" s="10"/>
      <c r="M491" s="17"/>
      <c r="Q491" s="10"/>
      <c r="T491" s="11"/>
      <c r="AA491" s="14"/>
      <c r="AK491" s="4"/>
    </row>
    <row r="492" spans="1:43" customFormat="1" x14ac:dyDescent="0.3">
      <c r="L492" s="10"/>
      <c r="M492" s="17"/>
      <c r="Q492" s="10"/>
      <c r="T492" s="11"/>
      <c r="AA492" s="14"/>
      <c r="AK492" s="4"/>
    </row>
    <row r="493" spans="1:43" customFormat="1" x14ac:dyDescent="0.3">
      <c r="L493" s="10"/>
      <c r="M493" s="17"/>
      <c r="Q493" s="10"/>
      <c r="T493" s="11"/>
      <c r="AA493" s="14"/>
      <c r="AK493" s="4"/>
    </row>
    <row r="494" spans="1:43" customFormat="1" x14ac:dyDescent="0.3">
      <c r="L494" s="10"/>
      <c r="M494" s="17"/>
      <c r="Q494" s="10"/>
      <c r="T494" s="11"/>
      <c r="AA494" s="14"/>
      <c r="AK494" s="4"/>
    </row>
    <row r="495" spans="1:43" customFormat="1" x14ac:dyDescent="0.3">
      <c r="L495" s="10"/>
      <c r="M495" s="17"/>
      <c r="Q495" s="10"/>
      <c r="T495" s="11"/>
      <c r="AA495" s="14"/>
      <c r="AK495" s="4"/>
    </row>
    <row r="496" spans="1:43" customFormat="1" x14ac:dyDescent="0.3">
      <c r="L496" s="10"/>
      <c r="M496" s="17"/>
      <c r="Q496" s="10"/>
      <c r="T496" s="11"/>
      <c r="AA496" s="14"/>
      <c r="AK496" s="4"/>
    </row>
    <row r="497" spans="1:43" customFormat="1" x14ac:dyDescent="0.3">
      <c r="L497" s="10"/>
      <c r="M497" s="17"/>
      <c r="Q497" s="10"/>
      <c r="T497" s="11"/>
      <c r="AA497" s="14"/>
      <c r="AK497" s="4"/>
    </row>
    <row r="498" spans="1:43" customFormat="1" x14ac:dyDescent="0.3">
      <c r="L498" s="10"/>
      <c r="M498" s="17"/>
      <c r="Q498" s="10"/>
      <c r="T498" s="11"/>
      <c r="AA498" s="14"/>
      <c r="AK498" s="4"/>
    </row>
    <row r="499" spans="1:43" x14ac:dyDescent="0.3">
      <c r="A499"/>
      <c r="B499"/>
      <c r="C499"/>
      <c r="D499"/>
      <c r="F499"/>
      <c r="G499"/>
      <c r="H499"/>
      <c r="I499"/>
      <c r="J499"/>
      <c r="K499"/>
      <c r="L499" s="10"/>
      <c r="M499" s="17"/>
      <c r="N499"/>
      <c r="O499"/>
      <c r="P499"/>
      <c r="Q499" s="10"/>
      <c r="R499"/>
      <c r="S499"/>
      <c r="T499" s="11"/>
      <c r="U499"/>
      <c r="V499"/>
      <c r="W499"/>
      <c r="AA499" s="14"/>
      <c r="AB499"/>
      <c r="AC499"/>
      <c r="AD499"/>
      <c r="AE499"/>
      <c r="AF499"/>
      <c r="AH499"/>
      <c r="AI499"/>
      <c r="AK499" s="4"/>
      <c r="AL499"/>
      <c r="AM499"/>
      <c r="AN499"/>
      <c r="AO499"/>
      <c r="AP499"/>
      <c r="AQ499"/>
    </row>
    <row r="500" spans="1:43" x14ac:dyDescent="0.3">
      <c r="A500"/>
      <c r="B500"/>
      <c r="C500"/>
      <c r="D500"/>
      <c r="F500"/>
      <c r="G500"/>
      <c r="H500"/>
      <c r="I500"/>
      <c r="J500"/>
      <c r="K500"/>
      <c r="L500" s="10"/>
      <c r="M500" s="17"/>
      <c r="N500"/>
      <c r="O500"/>
      <c r="P500"/>
      <c r="Q500" s="10"/>
      <c r="R500"/>
      <c r="S500"/>
      <c r="T500" s="11"/>
      <c r="U500"/>
      <c r="V500"/>
      <c r="W500"/>
      <c r="AA500" s="14"/>
      <c r="AB500"/>
      <c r="AC500"/>
      <c r="AD500"/>
      <c r="AE500"/>
      <c r="AF500"/>
      <c r="AH500"/>
      <c r="AI500"/>
      <c r="AK500" s="4"/>
      <c r="AL500"/>
      <c r="AM500"/>
      <c r="AN500"/>
      <c r="AO500"/>
      <c r="AP500"/>
      <c r="AQ500"/>
    </row>
    <row r="501" spans="1:43" x14ac:dyDescent="0.3">
      <c r="A501"/>
      <c r="B501"/>
      <c r="C501"/>
      <c r="D501"/>
      <c r="F501"/>
      <c r="G501"/>
      <c r="H501"/>
      <c r="I501"/>
      <c r="J501"/>
      <c r="K501"/>
      <c r="L501" s="10"/>
      <c r="M501" s="17"/>
      <c r="N501"/>
      <c r="O501"/>
      <c r="P501"/>
      <c r="Q501" s="10"/>
      <c r="R501"/>
      <c r="S501"/>
      <c r="T501" s="11"/>
      <c r="U501"/>
      <c r="V501"/>
      <c r="W501"/>
      <c r="AA501" s="14"/>
      <c r="AB501"/>
      <c r="AC501"/>
      <c r="AD501"/>
      <c r="AE501"/>
      <c r="AF501"/>
      <c r="AH501"/>
      <c r="AI501"/>
      <c r="AK501" s="4"/>
      <c r="AL501"/>
      <c r="AM501"/>
      <c r="AN501"/>
      <c r="AO501"/>
      <c r="AP501"/>
      <c r="AQ501"/>
    </row>
    <row r="502" spans="1:43" x14ac:dyDescent="0.3">
      <c r="A502"/>
      <c r="B502"/>
      <c r="C502"/>
      <c r="D502"/>
      <c r="F502"/>
      <c r="G502"/>
      <c r="H502"/>
      <c r="I502"/>
      <c r="J502"/>
      <c r="K502"/>
      <c r="L502" s="10"/>
      <c r="M502" s="17"/>
      <c r="N502"/>
      <c r="O502"/>
      <c r="P502"/>
      <c r="Q502" s="10"/>
      <c r="R502"/>
      <c r="S502"/>
      <c r="T502" s="11"/>
      <c r="U502"/>
      <c r="V502"/>
      <c r="W502"/>
      <c r="AA502" s="14"/>
      <c r="AB502"/>
      <c r="AC502"/>
      <c r="AD502"/>
      <c r="AE502"/>
      <c r="AF502"/>
      <c r="AH502"/>
      <c r="AI502"/>
      <c r="AK502" s="4"/>
      <c r="AL502"/>
      <c r="AM502"/>
      <c r="AN502"/>
      <c r="AO502"/>
      <c r="AP502"/>
      <c r="AQ502"/>
    </row>
    <row r="503" spans="1:43" x14ac:dyDescent="0.3">
      <c r="A503"/>
      <c r="B503"/>
      <c r="C503"/>
      <c r="D503"/>
      <c r="F503"/>
      <c r="G503"/>
      <c r="H503"/>
      <c r="I503"/>
      <c r="J503"/>
      <c r="K503"/>
      <c r="L503" s="10"/>
      <c r="M503" s="17"/>
      <c r="N503"/>
      <c r="O503"/>
      <c r="P503"/>
      <c r="Q503" s="10"/>
      <c r="R503"/>
      <c r="S503"/>
      <c r="T503" s="11"/>
      <c r="U503"/>
      <c r="V503"/>
      <c r="W503"/>
      <c r="AA503" s="14"/>
      <c r="AB503"/>
      <c r="AC503"/>
      <c r="AD503"/>
      <c r="AE503"/>
      <c r="AF503"/>
      <c r="AH503"/>
      <c r="AI503"/>
      <c r="AK503" s="4"/>
      <c r="AL503"/>
      <c r="AM503"/>
      <c r="AN503"/>
      <c r="AO503"/>
      <c r="AP503"/>
      <c r="AQ503"/>
    </row>
    <row r="504" spans="1:43" x14ac:dyDescent="0.3">
      <c r="A504"/>
      <c r="B504"/>
      <c r="C504"/>
      <c r="D504"/>
      <c r="F504"/>
      <c r="G504"/>
      <c r="H504"/>
      <c r="I504"/>
      <c r="J504"/>
      <c r="K504"/>
      <c r="L504" s="10"/>
      <c r="M504" s="17"/>
      <c r="N504"/>
      <c r="O504"/>
      <c r="P504"/>
      <c r="Q504" s="10"/>
      <c r="R504"/>
      <c r="S504"/>
      <c r="T504" s="11"/>
      <c r="U504"/>
      <c r="V504"/>
      <c r="W504"/>
      <c r="AA504" s="14"/>
      <c r="AB504"/>
      <c r="AC504"/>
      <c r="AD504"/>
      <c r="AE504"/>
      <c r="AF504"/>
      <c r="AH504"/>
      <c r="AI504"/>
      <c r="AK504" s="4"/>
      <c r="AL504"/>
      <c r="AM504"/>
      <c r="AN504"/>
      <c r="AO504"/>
      <c r="AP504"/>
      <c r="AQ504"/>
    </row>
    <row r="505" spans="1:43" x14ac:dyDescent="0.3">
      <c r="A505"/>
      <c r="B505"/>
      <c r="C505"/>
      <c r="D505"/>
      <c r="F505"/>
      <c r="G505"/>
      <c r="H505"/>
      <c r="I505"/>
      <c r="J505"/>
      <c r="K505"/>
      <c r="L505" s="10"/>
      <c r="M505" s="17"/>
      <c r="N505"/>
      <c r="O505"/>
      <c r="P505"/>
      <c r="Q505" s="10"/>
      <c r="R505"/>
      <c r="S505"/>
      <c r="T505" s="11"/>
      <c r="U505"/>
      <c r="V505"/>
      <c r="W505"/>
      <c r="AA505" s="14"/>
      <c r="AB505"/>
      <c r="AC505"/>
      <c r="AD505"/>
      <c r="AE505"/>
      <c r="AF505"/>
      <c r="AH505"/>
      <c r="AI505"/>
      <c r="AK505" s="4"/>
      <c r="AL505"/>
      <c r="AM505"/>
      <c r="AN505"/>
      <c r="AO505"/>
      <c r="AP505"/>
      <c r="AQ505"/>
    </row>
    <row r="506" spans="1:43" x14ac:dyDescent="0.3">
      <c r="A506"/>
      <c r="B506"/>
      <c r="C506"/>
      <c r="D506"/>
      <c r="F506"/>
      <c r="G506"/>
      <c r="H506"/>
      <c r="I506"/>
      <c r="J506"/>
      <c r="K506"/>
      <c r="L506" s="10"/>
      <c r="M506" s="17"/>
      <c r="N506"/>
      <c r="O506"/>
      <c r="P506"/>
      <c r="Q506" s="10"/>
      <c r="R506"/>
      <c r="S506"/>
      <c r="T506" s="11"/>
      <c r="U506"/>
      <c r="V506"/>
      <c r="W506"/>
      <c r="AA506" s="14"/>
      <c r="AB506"/>
      <c r="AC506"/>
      <c r="AD506"/>
      <c r="AE506"/>
      <c r="AF506"/>
      <c r="AH506"/>
      <c r="AI506"/>
      <c r="AK506" s="4"/>
      <c r="AL506"/>
      <c r="AM506"/>
      <c r="AN506"/>
      <c r="AO506"/>
      <c r="AP506"/>
      <c r="AQ506"/>
    </row>
    <row r="507" spans="1:43" customFormat="1" x14ac:dyDescent="0.3">
      <c r="L507" s="10"/>
      <c r="M507" s="17"/>
      <c r="Q507" s="10"/>
      <c r="T507" s="11"/>
      <c r="AA507" s="14"/>
      <c r="AK507" s="4"/>
    </row>
    <row r="508" spans="1:43" customFormat="1" x14ac:dyDescent="0.3">
      <c r="L508" s="10"/>
      <c r="M508" s="17"/>
      <c r="Q508" s="10"/>
      <c r="T508" s="11"/>
      <c r="AA508" s="14"/>
      <c r="AK508" s="4"/>
    </row>
    <row r="509" spans="1:43" customFormat="1" x14ac:dyDescent="0.3">
      <c r="L509" s="10"/>
      <c r="M509" s="17"/>
      <c r="Q509" s="10"/>
      <c r="T509" s="11"/>
      <c r="AA509" s="14"/>
      <c r="AK509" s="4"/>
    </row>
    <row r="510" spans="1:43" customFormat="1" x14ac:dyDescent="0.3">
      <c r="L510" s="10"/>
      <c r="M510" s="17"/>
      <c r="Q510" s="10"/>
      <c r="T510" s="11"/>
      <c r="AA510" s="14"/>
      <c r="AK510" s="4"/>
    </row>
    <row r="511" spans="1:43" x14ac:dyDescent="0.3">
      <c r="A511"/>
      <c r="B511"/>
      <c r="C511"/>
      <c r="D511"/>
      <c r="F511"/>
      <c r="G511"/>
      <c r="H511"/>
      <c r="I511"/>
      <c r="J511"/>
      <c r="K511"/>
      <c r="L511" s="10"/>
      <c r="M511" s="17"/>
      <c r="N511"/>
      <c r="O511"/>
      <c r="P511"/>
      <c r="Q511" s="10"/>
      <c r="R511"/>
      <c r="S511"/>
      <c r="T511" s="11"/>
      <c r="U511"/>
      <c r="V511"/>
      <c r="W511"/>
      <c r="AA511" s="14"/>
      <c r="AB511"/>
      <c r="AC511"/>
      <c r="AD511"/>
      <c r="AE511"/>
      <c r="AF511"/>
      <c r="AH511"/>
      <c r="AI511"/>
      <c r="AK511" s="4"/>
      <c r="AL511"/>
      <c r="AM511"/>
      <c r="AN511"/>
      <c r="AO511"/>
      <c r="AP511"/>
      <c r="AQ511"/>
    </row>
    <row r="512" spans="1:43" x14ac:dyDescent="0.3">
      <c r="A512"/>
      <c r="B512"/>
      <c r="C512"/>
      <c r="D512"/>
      <c r="F512"/>
      <c r="G512"/>
      <c r="H512"/>
      <c r="I512"/>
      <c r="J512"/>
      <c r="K512"/>
      <c r="L512" s="10"/>
      <c r="M512" s="17"/>
      <c r="N512"/>
      <c r="O512"/>
      <c r="P512"/>
      <c r="Q512" s="10"/>
      <c r="R512"/>
      <c r="S512"/>
      <c r="T512" s="11"/>
      <c r="U512"/>
      <c r="V512"/>
      <c r="W512"/>
      <c r="AA512" s="14"/>
      <c r="AB512"/>
      <c r="AC512"/>
      <c r="AD512"/>
      <c r="AE512"/>
      <c r="AF512"/>
      <c r="AH512"/>
      <c r="AI512"/>
      <c r="AK512" s="4"/>
      <c r="AL512"/>
      <c r="AM512"/>
      <c r="AN512"/>
      <c r="AO512"/>
      <c r="AP512"/>
      <c r="AQ512"/>
    </row>
    <row r="513" spans="1:43" x14ac:dyDescent="0.3">
      <c r="A513"/>
      <c r="B513"/>
      <c r="C513"/>
      <c r="D513"/>
      <c r="F513"/>
      <c r="G513"/>
      <c r="H513"/>
      <c r="I513"/>
      <c r="J513"/>
      <c r="K513"/>
      <c r="L513" s="10"/>
      <c r="M513" s="17"/>
      <c r="N513"/>
      <c r="O513"/>
      <c r="P513"/>
      <c r="Q513" s="10"/>
      <c r="R513"/>
      <c r="S513"/>
      <c r="T513" s="11"/>
      <c r="U513"/>
      <c r="V513"/>
      <c r="W513"/>
      <c r="AA513" s="14"/>
      <c r="AB513"/>
      <c r="AC513"/>
      <c r="AD513"/>
      <c r="AE513"/>
      <c r="AF513"/>
      <c r="AH513"/>
      <c r="AI513"/>
      <c r="AK513" s="4"/>
      <c r="AL513"/>
      <c r="AM513"/>
      <c r="AN513"/>
      <c r="AO513"/>
      <c r="AP513"/>
      <c r="AQ513"/>
    </row>
    <row r="514" spans="1:43" x14ac:dyDescent="0.3">
      <c r="A514"/>
      <c r="B514"/>
      <c r="C514"/>
      <c r="D514"/>
      <c r="F514"/>
      <c r="G514"/>
      <c r="H514"/>
      <c r="I514"/>
      <c r="J514"/>
      <c r="K514"/>
      <c r="L514" s="10"/>
      <c r="M514" s="17"/>
      <c r="N514"/>
      <c r="O514"/>
      <c r="P514"/>
      <c r="Q514" s="10"/>
      <c r="R514"/>
      <c r="S514"/>
      <c r="T514" s="11"/>
      <c r="U514"/>
      <c r="V514"/>
      <c r="W514"/>
      <c r="AA514" s="14"/>
      <c r="AB514"/>
      <c r="AC514"/>
      <c r="AD514"/>
      <c r="AE514"/>
      <c r="AF514"/>
      <c r="AH514"/>
      <c r="AI514"/>
      <c r="AK514" s="4"/>
      <c r="AL514"/>
      <c r="AM514"/>
      <c r="AN514"/>
      <c r="AO514"/>
      <c r="AP514"/>
      <c r="AQ514"/>
    </row>
    <row r="515" spans="1:43" x14ac:dyDescent="0.3">
      <c r="A515"/>
      <c r="B515"/>
      <c r="C515"/>
      <c r="D515"/>
      <c r="F515"/>
      <c r="G515"/>
      <c r="H515"/>
      <c r="I515"/>
      <c r="J515"/>
      <c r="K515"/>
      <c r="L515" s="10"/>
      <c r="M515" s="17"/>
      <c r="N515"/>
      <c r="O515"/>
      <c r="P515"/>
      <c r="Q515" s="10"/>
      <c r="R515"/>
      <c r="S515"/>
      <c r="T515" s="11"/>
      <c r="U515"/>
      <c r="V515"/>
      <c r="W515"/>
      <c r="AA515" s="14"/>
      <c r="AB515"/>
      <c r="AC515"/>
      <c r="AD515"/>
      <c r="AE515"/>
      <c r="AF515"/>
      <c r="AH515"/>
      <c r="AI515"/>
      <c r="AK515" s="4"/>
      <c r="AL515"/>
      <c r="AM515"/>
      <c r="AN515"/>
      <c r="AO515"/>
      <c r="AP515"/>
      <c r="AQ515"/>
    </row>
    <row r="516" spans="1:43" customFormat="1" x14ac:dyDescent="0.3">
      <c r="L516" s="10"/>
      <c r="M516" s="17"/>
      <c r="Q516" s="10"/>
      <c r="T516" s="11"/>
      <c r="AA516" s="14"/>
      <c r="AK516" s="4"/>
    </row>
    <row r="517" spans="1:43" customFormat="1" x14ac:dyDescent="0.3">
      <c r="L517" s="10"/>
      <c r="M517" s="17"/>
      <c r="Q517" s="10"/>
      <c r="T517" s="11"/>
      <c r="AA517" s="14"/>
      <c r="AK517" s="4"/>
    </row>
    <row r="518" spans="1:43" x14ac:dyDescent="0.3">
      <c r="A518"/>
      <c r="B518"/>
      <c r="C518"/>
      <c r="D518"/>
      <c r="F518"/>
      <c r="G518"/>
      <c r="H518"/>
      <c r="I518"/>
      <c r="J518"/>
      <c r="K518"/>
      <c r="L518" s="10"/>
      <c r="M518" s="17"/>
      <c r="N518"/>
      <c r="O518"/>
      <c r="P518"/>
      <c r="Q518" s="10"/>
      <c r="R518"/>
      <c r="S518"/>
      <c r="T518" s="11"/>
      <c r="U518"/>
      <c r="V518"/>
      <c r="W518"/>
      <c r="AA518" s="14"/>
      <c r="AB518"/>
      <c r="AC518"/>
      <c r="AD518"/>
      <c r="AE518"/>
      <c r="AF518"/>
      <c r="AH518"/>
      <c r="AI518"/>
      <c r="AK518" s="4"/>
      <c r="AL518"/>
      <c r="AM518"/>
      <c r="AN518"/>
      <c r="AO518"/>
      <c r="AP518"/>
      <c r="AQ518"/>
    </row>
    <row r="519" spans="1:43" x14ac:dyDescent="0.3">
      <c r="A519"/>
      <c r="B519"/>
      <c r="C519"/>
      <c r="D519"/>
      <c r="F519"/>
      <c r="G519"/>
      <c r="H519"/>
      <c r="I519"/>
      <c r="J519"/>
      <c r="K519"/>
      <c r="L519" s="10"/>
      <c r="M519" s="17"/>
      <c r="N519"/>
      <c r="O519"/>
      <c r="P519"/>
      <c r="Q519" s="10"/>
      <c r="R519"/>
      <c r="S519"/>
      <c r="T519" s="11"/>
      <c r="U519"/>
      <c r="V519"/>
      <c r="W519"/>
      <c r="AA519" s="14"/>
      <c r="AB519"/>
      <c r="AC519"/>
      <c r="AD519"/>
      <c r="AE519"/>
      <c r="AF519"/>
      <c r="AH519"/>
      <c r="AI519"/>
      <c r="AK519" s="4"/>
      <c r="AL519"/>
      <c r="AM519"/>
      <c r="AN519"/>
      <c r="AO519"/>
      <c r="AP519"/>
      <c r="AQ519"/>
    </row>
    <row r="520" spans="1:43" customFormat="1" x14ac:dyDescent="0.3">
      <c r="L520" s="10"/>
      <c r="M520" s="17"/>
      <c r="Q520" s="10"/>
      <c r="T520" s="11"/>
      <c r="AA520" s="14"/>
      <c r="AK520" s="4"/>
    </row>
    <row r="521" spans="1:43" x14ac:dyDescent="0.3">
      <c r="A521"/>
      <c r="B521"/>
      <c r="C521"/>
      <c r="D521"/>
      <c r="F521"/>
      <c r="G521"/>
      <c r="H521"/>
      <c r="I521"/>
      <c r="J521"/>
      <c r="K521"/>
      <c r="L521" s="10"/>
      <c r="M521" s="17"/>
      <c r="N521"/>
      <c r="O521"/>
      <c r="P521"/>
      <c r="Q521" s="10"/>
      <c r="R521"/>
      <c r="S521"/>
      <c r="T521" s="11"/>
      <c r="U521"/>
      <c r="V521"/>
      <c r="W521"/>
      <c r="AA521" s="14"/>
      <c r="AB521"/>
      <c r="AC521"/>
      <c r="AD521"/>
      <c r="AE521"/>
      <c r="AF521"/>
      <c r="AH521"/>
      <c r="AI521"/>
      <c r="AK521" s="4"/>
      <c r="AL521"/>
      <c r="AM521"/>
      <c r="AN521"/>
      <c r="AO521"/>
      <c r="AP521"/>
      <c r="AQ521"/>
    </row>
    <row r="522" spans="1:43" x14ac:dyDescent="0.3">
      <c r="A522"/>
      <c r="B522"/>
      <c r="C522"/>
      <c r="D522"/>
      <c r="F522"/>
      <c r="G522"/>
      <c r="H522"/>
      <c r="I522"/>
      <c r="J522"/>
      <c r="K522"/>
      <c r="L522" s="10"/>
      <c r="M522" s="17"/>
      <c r="N522"/>
      <c r="O522"/>
      <c r="P522"/>
      <c r="Q522" s="10"/>
      <c r="R522"/>
      <c r="S522"/>
      <c r="T522" s="11"/>
      <c r="U522"/>
      <c r="V522"/>
      <c r="W522"/>
      <c r="AA522" s="14"/>
      <c r="AB522"/>
      <c r="AC522"/>
      <c r="AD522"/>
      <c r="AE522"/>
      <c r="AF522"/>
      <c r="AH522"/>
      <c r="AI522"/>
      <c r="AK522" s="4"/>
      <c r="AL522"/>
      <c r="AM522"/>
      <c r="AN522"/>
      <c r="AO522"/>
      <c r="AP522"/>
      <c r="AQ522"/>
    </row>
    <row r="523" spans="1:43" customFormat="1" x14ac:dyDescent="0.3">
      <c r="L523" s="10"/>
      <c r="M523" s="17"/>
      <c r="Q523" s="10"/>
      <c r="T523" s="11"/>
      <c r="AA523" s="14"/>
      <c r="AK523" s="4"/>
    </row>
    <row r="524" spans="1:43" x14ac:dyDescent="0.3">
      <c r="A524"/>
      <c r="B524"/>
      <c r="C524"/>
      <c r="D524"/>
      <c r="F524"/>
      <c r="G524"/>
      <c r="H524"/>
      <c r="I524"/>
      <c r="J524"/>
      <c r="K524"/>
      <c r="L524" s="10"/>
      <c r="M524" s="17"/>
      <c r="N524"/>
      <c r="O524"/>
      <c r="P524"/>
      <c r="Q524" s="10"/>
      <c r="R524"/>
      <c r="S524"/>
      <c r="T524" s="11"/>
      <c r="U524"/>
      <c r="V524"/>
      <c r="W524"/>
      <c r="AA524" s="14"/>
      <c r="AB524"/>
      <c r="AC524"/>
      <c r="AD524"/>
      <c r="AE524"/>
      <c r="AF524"/>
      <c r="AH524"/>
      <c r="AI524"/>
      <c r="AK524" s="4"/>
      <c r="AL524"/>
      <c r="AM524"/>
      <c r="AN524"/>
      <c r="AO524"/>
      <c r="AP524"/>
      <c r="AQ524"/>
    </row>
    <row r="525" spans="1:43" x14ac:dyDescent="0.3">
      <c r="A525"/>
      <c r="B525"/>
      <c r="C525"/>
      <c r="D525"/>
      <c r="F525"/>
      <c r="G525"/>
      <c r="H525"/>
      <c r="I525"/>
      <c r="J525"/>
      <c r="K525"/>
      <c r="L525" s="10"/>
      <c r="M525" s="17"/>
      <c r="N525"/>
      <c r="O525"/>
      <c r="P525"/>
      <c r="Q525" s="10"/>
      <c r="R525"/>
      <c r="S525"/>
      <c r="T525" s="11"/>
      <c r="U525"/>
      <c r="V525"/>
      <c r="W525"/>
      <c r="AA525" s="14"/>
      <c r="AB525"/>
      <c r="AC525"/>
      <c r="AD525"/>
      <c r="AE525"/>
      <c r="AF525"/>
      <c r="AH525"/>
      <c r="AI525"/>
      <c r="AK525" s="4"/>
      <c r="AL525"/>
      <c r="AM525"/>
      <c r="AN525"/>
      <c r="AO525"/>
      <c r="AP525"/>
      <c r="AQ525"/>
    </row>
    <row r="526" spans="1:43" x14ac:dyDescent="0.3">
      <c r="A526"/>
      <c r="B526"/>
      <c r="C526"/>
      <c r="D526"/>
      <c r="F526"/>
      <c r="G526"/>
      <c r="H526"/>
      <c r="I526"/>
      <c r="J526"/>
      <c r="K526"/>
      <c r="L526" s="10"/>
      <c r="M526" s="17"/>
      <c r="N526"/>
      <c r="O526"/>
      <c r="P526"/>
      <c r="Q526" s="10"/>
      <c r="R526"/>
      <c r="S526"/>
      <c r="T526" s="11"/>
      <c r="U526"/>
      <c r="V526"/>
      <c r="W526"/>
      <c r="AA526" s="14"/>
      <c r="AB526"/>
      <c r="AC526"/>
      <c r="AD526"/>
      <c r="AE526"/>
      <c r="AF526"/>
      <c r="AH526"/>
      <c r="AI526"/>
      <c r="AK526" s="4"/>
      <c r="AL526"/>
      <c r="AM526"/>
      <c r="AN526"/>
      <c r="AO526"/>
      <c r="AP526"/>
      <c r="AQ526"/>
    </row>
    <row r="527" spans="1:43" x14ac:dyDescent="0.3">
      <c r="A527"/>
      <c r="B527"/>
      <c r="C527"/>
      <c r="D527"/>
      <c r="F527"/>
      <c r="G527"/>
      <c r="H527"/>
      <c r="I527"/>
      <c r="J527"/>
      <c r="K527"/>
      <c r="L527" s="10"/>
      <c r="M527" s="17"/>
      <c r="N527"/>
      <c r="O527"/>
      <c r="P527"/>
      <c r="Q527" s="10"/>
      <c r="R527"/>
      <c r="S527"/>
      <c r="T527" s="11"/>
      <c r="U527"/>
      <c r="V527"/>
      <c r="W527"/>
      <c r="AA527" s="14"/>
      <c r="AB527"/>
      <c r="AC527"/>
      <c r="AD527"/>
      <c r="AE527"/>
      <c r="AF527"/>
      <c r="AH527"/>
      <c r="AI527"/>
      <c r="AK527" s="4"/>
      <c r="AL527"/>
      <c r="AM527"/>
      <c r="AN527"/>
      <c r="AO527"/>
      <c r="AP527"/>
      <c r="AQ527"/>
    </row>
    <row r="528" spans="1:43" x14ac:dyDescent="0.3">
      <c r="A528"/>
      <c r="B528"/>
      <c r="C528"/>
      <c r="D528"/>
      <c r="F528"/>
      <c r="G528"/>
      <c r="H528"/>
      <c r="I528"/>
      <c r="J528"/>
      <c r="K528"/>
      <c r="L528" s="10"/>
      <c r="M528" s="17"/>
      <c r="N528"/>
      <c r="O528"/>
      <c r="P528"/>
      <c r="Q528" s="10"/>
      <c r="R528"/>
      <c r="S528"/>
      <c r="T528" s="11"/>
      <c r="U528"/>
      <c r="V528"/>
      <c r="W528"/>
      <c r="AA528" s="14"/>
      <c r="AB528"/>
      <c r="AC528"/>
      <c r="AD528"/>
      <c r="AE528"/>
      <c r="AF528"/>
      <c r="AH528"/>
      <c r="AI528"/>
      <c r="AK528" s="4"/>
      <c r="AL528"/>
      <c r="AM528"/>
      <c r="AN528"/>
      <c r="AO528"/>
      <c r="AP528"/>
      <c r="AQ528"/>
    </row>
    <row r="529" spans="1:43" x14ac:dyDescent="0.3">
      <c r="A529"/>
      <c r="B529"/>
      <c r="C529"/>
      <c r="D529"/>
      <c r="F529"/>
      <c r="G529"/>
      <c r="H529"/>
      <c r="I529"/>
      <c r="J529"/>
      <c r="K529"/>
      <c r="L529" s="10"/>
      <c r="M529" s="17"/>
      <c r="N529"/>
      <c r="O529"/>
      <c r="P529"/>
      <c r="Q529" s="10"/>
      <c r="R529"/>
      <c r="S529"/>
      <c r="T529" s="11"/>
      <c r="U529"/>
      <c r="V529"/>
      <c r="W529"/>
      <c r="AA529" s="14"/>
      <c r="AB529"/>
      <c r="AC529"/>
      <c r="AD529"/>
      <c r="AE529"/>
      <c r="AF529"/>
      <c r="AH529"/>
      <c r="AI529"/>
      <c r="AK529" s="4"/>
      <c r="AL529"/>
      <c r="AM529"/>
      <c r="AN529"/>
      <c r="AO529"/>
      <c r="AP529"/>
      <c r="AQ529"/>
    </row>
    <row r="530" spans="1:43" customFormat="1" x14ac:dyDescent="0.3">
      <c r="L530" s="10"/>
      <c r="M530" s="17"/>
      <c r="Q530" s="10"/>
      <c r="T530" s="11"/>
      <c r="AA530" s="14"/>
      <c r="AK530" s="4"/>
    </row>
    <row r="531" spans="1:43" customFormat="1" x14ac:dyDescent="0.3">
      <c r="L531" s="10"/>
      <c r="M531" s="17"/>
      <c r="Q531" s="10"/>
      <c r="T531" s="11"/>
      <c r="AA531" s="14"/>
      <c r="AK531" s="4"/>
    </row>
    <row r="532" spans="1:43" customFormat="1" x14ac:dyDescent="0.3">
      <c r="L532" s="10"/>
      <c r="M532" s="17"/>
      <c r="Q532" s="10"/>
      <c r="T532" s="11"/>
      <c r="AA532" s="14"/>
      <c r="AK532" s="4"/>
    </row>
    <row r="533" spans="1:43" customFormat="1" x14ac:dyDescent="0.3">
      <c r="L533" s="10"/>
      <c r="M533" s="17"/>
      <c r="Q533" s="10"/>
      <c r="T533" s="11"/>
      <c r="AA533" s="14"/>
      <c r="AK533" s="4"/>
    </row>
    <row r="534" spans="1:43" customFormat="1" x14ac:dyDescent="0.3">
      <c r="L534" s="10"/>
      <c r="M534" s="17"/>
      <c r="Q534" s="10"/>
      <c r="T534" s="11"/>
      <c r="AA534" s="14"/>
      <c r="AK534" s="4"/>
    </row>
    <row r="535" spans="1:43" customFormat="1" x14ac:dyDescent="0.3">
      <c r="L535" s="10"/>
      <c r="M535" s="17"/>
      <c r="Q535" s="10"/>
      <c r="T535" s="11"/>
      <c r="AA535" s="14"/>
      <c r="AK535" s="4"/>
    </row>
    <row r="536" spans="1:43" customFormat="1" x14ac:dyDescent="0.3">
      <c r="L536" s="10"/>
      <c r="M536" s="17"/>
      <c r="Q536" s="10"/>
      <c r="T536" s="11"/>
      <c r="AA536" s="14"/>
      <c r="AK536" s="4"/>
    </row>
    <row r="537" spans="1:43" x14ac:dyDescent="0.3">
      <c r="A537"/>
      <c r="B537"/>
      <c r="C537"/>
      <c r="D537"/>
      <c r="F537"/>
      <c r="G537"/>
      <c r="H537"/>
      <c r="I537"/>
      <c r="J537"/>
      <c r="K537"/>
      <c r="L537" s="10"/>
      <c r="M537" s="17"/>
      <c r="N537"/>
      <c r="O537"/>
      <c r="P537"/>
      <c r="Q537" s="10"/>
      <c r="R537"/>
      <c r="S537"/>
      <c r="T537" s="11"/>
      <c r="U537"/>
      <c r="V537"/>
      <c r="W537"/>
      <c r="AA537" s="14"/>
      <c r="AB537"/>
      <c r="AC537"/>
      <c r="AD537"/>
      <c r="AE537"/>
      <c r="AF537"/>
      <c r="AH537"/>
      <c r="AI537"/>
      <c r="AK537" s="4"/>
      <c r="AL537"/>
      <c r="AM537"/>
      <c r="AN537"/>
      <c r="AO537"/>
      <c r="AP537"/>
      <c r="AQ537"/>
    </row>
    <row r="538" spans="1:43" x14ac:dyDescent="0.3">
      <c r="A538"/>
      <c r="B538"/>
      <c r="C538"/>
      <c r="D538"/>
      <c r="F538"/>
      <c r="G538"/>
      <c r="H538"/>
      <c r="I538"/>
      <c r="J538"/>
      <c r="K538"/>
      <c r="L538" s="10"/>
      <c r="M538" s="17"/>
      <c r="N538"/>
      <c r="O538"/>
      <c r="P538"/>
      <c r="Q538" s="10"/>
      <c r="R538"/>
      <c r="S538"/>
      <c r="T538" s="11"/>
      <c r="U538"/>
      <c r="V538"/>
      <c r="W538"/>
      <c r="AA538" s="14"/>
      <c r="AB538"/>
      <c r="AC538"/>
      <c r="AD538"/>
      <c r="AE538"/>
      <c r="AF538"/>
      <c r="AH538"/>
      <c r="AI538"/>
      <c r="AK538" s="4"/>
      <c r="AL538"/>
      <c r="AM538"/>
      <c r="AN538"/>
      <c r="AO538"/>
      <c r="AP538"/>
      <c r="AQ538"/>
    </row>
    <row r="539" spans="1:43" x14ac:dyDescent="0.3">
      <c r="A539"/>
      <c r="B539"/>
      <c r="C539"/>
      <c r="D539"/>
      <c r="F539"/>
      <c r="G539"/>
      <c r="H539"/>
      <c r="I539"/>
      <c r="J539"/>
      <c r="K539"/>
      <c r="L539" s="10"/>
      <c r="M539" s="17"/>
      <c r="N539"/>
      <c r="O539"/>
      <c r="P539"/>
      <c r="Q539" s="10"/>
      <c r="R539"/>
      <c r="S539"/>
      <c r="T539" s="11"/>
      <c r="U539"/>
      <c r="V539"/>
      <c r="W539"/>
      <c r="AA539" s="14"/>
      <c r="AB539"/>
      <c r="AC539"/>
      <c r="AD539"/>
      <c r="AE539"/>
      <c r="AF539"/>
      <c r="AH539"/>
      <c r="AI539"/>
      <c r="AK539" s="4"/>
      <c r="AL539"/>
      <c r="AM539"/>
      <c r="AN539"/>
      <c r="AO539"/>
      <c r="AP539"/>
      <c r="AQ539"/>
    </row>
    <row r="540" spans="1:43" customFormat="1" x14ac:dyDescent="0.3">
      <c r="L540" s="10"/>
      <c r="M540" s="17"/>
      <c r="Q540" s="10"/>
      <c r="T540" s="11"/>
      <c r="AA540" s="14"/>
      <c r="AK540" s="4"/>
    </row>
    <row r="541" spans="1:43" customFormat="1" x14ac:dyDescent="0.3">
      <c r="L541" s="10"/>
      <c r="M541" s="17"/>
      <c r="Q541" s="10"/>
      <c r="T541" s="11"/>
      <c r="AA541" s="14"/>
      <c r="AK541" s="4"/>
    </row>
    <row r="542" spans="1:43" customFormat="1" x14ac:dyDescent="0.3">
      <c r="L542" s="10"/>
      <c r="M542" s="17"/>
      <c r="Q542" s="10"/>
      <c r="T542" s="11"/>
      <c r="AA542" s="14"/>
      <c r="AK542" s="4"/>
    </row>
    <row r="543" spans="1:43" customFormat="1" x14ac:dyDescent="0.3">
      <c r="L543" s="10"/>
      <c r="M543" s="17"/>
      <c r="Q543" s="10"/>
      <c r="T543" s="11"/>
      <c r="AA543" s="14"/>
      <c r="AK543" s="4"/>
    </row>
    <row r="544" spans="1:43" customFormat="1" x14ac:dyDescent="0.3">
      <c r="L544" s="10"/>
      <c r="M544" s="17"/>
      <c r="Q544" s="10"/>
      <c r="T544" s="11"/>
      <c r="AA544" s="14"/>
      <c r="AK544" s="4"/>
    </row>
    <row r="545" spans="1:43" customFormat="1" x14ac:dyDescent="0.3">
      <c r="L545" s="10"/>
      <c r="M545" s="17"/>
      <c r="Q545" s="10"/>
      <c r="T545" s="11"/>
      <c r="AA545" s="14"/>
      <c r="AK545" s="4"/>
    </row>
    <row r="546" spans="1:43" customFormat="1" x14ac:dyDescent="0.3">
      <c r="L546" s="10"/>
      <c r="M546" s="17"/>
      <c r="Q546" s="10"/>
      <c r="T546" s="11"/>
      <c r="AA546" s="14"/>
      <c r="AK546" s="4"/>
    </row>
    <row r="547" spans="1:43" x14ac:dyDescent="0.3">
      <c r="A547"/>
      <c r="B547"/>
      <c r="C547"/>
      <c r="D547"/>
      <c r="F547"/>
      <c r="G547"/>
      <c r="H547"/>
      <c r="I547"/>
      <c r="J547"/>
      <c r="K547"/>
      <c r="L547" s="10"/>
      <c r="M547" s="17"/>
      <c r="N547"/>
      <c r="O547"/>
      <c r="P547"/>
      <c r="Q547" s="10"/>
      <c r="R547"/>
      <c r="S547"/>
      <c r="T547" s="11"/>
      <c r="U547"/>
      <c r="V547"/>
      <c r="W547"/>
      <c r="AA547" s="14"/>
      <c r="AB547"/>
      <c r="AC547"/>
      <c r="AD547"/>
      <c r="AE547"/>
      <c r="AF547"/>
      <c r="AH547"/>
      <c r="AI547"/>
      <c r="AK547" s="4"/>
      <c r="AL547"/>
      <c r="AM547"/>
      <c r="AN547"/>
      <c r="AO547"/>
      <c r="AP547"/>
      <c r="AQ547"/>
    </row>
    <row r="548" spans="1:43" x14ac:dyDescent="0.3">
      <c r="A548"/>
      <c r="B548"/>
      <c r="C548"/>
      <c r="D548"/>
      <c r="F548"/>
      <c r="G548"/>
      <c r="H548"/>
      <c r="I548"/>
      <c r="J548"/>
      <c r="K548"/>
      <c r="L548" s="10"/>
      <c r="M548" s="17"/>
      <c r="N548"/>
      <c r="O548"/>
      <c r="P548"/>
      <c r="Q548" s="10"/>
      <c r="R548"/>
      <c r="S548"/>
      <c r="T548" s="11"/>
      <c r="U548"/>
      <c r="V548"/>
      <c r="W548"/>
      <c r="AA548" s="14"/>
      <c r="AB548"/>
      <c r="AC548"/>
      <c r="AD548"/>
      <c r="AE548"/>
      <c r="AF548"/>
      <c r="AH548"/>
      <c r="AI548"/>
      <c r="AK548" s="4"/>
      <c r="AL548"/>
      <c r="AM548"/>
      <c r="AN548"/>
      <c r="AO548"/>
      <c r="AP548"/>
      <c r="AQ548"/>
    </row>
    <row r="549" spans="1:43" x14ac:dyDescent="0.3">
      <c r="A549"/>
      <c r="B549"/>
      <c r="C549"/>
      <c r="D549"/>
      <c r="F549"/>
      <c r="G549"/>
      <c r="H549"/>
      <c r="I549"/>
      <c r="J549"/>
      <c r="K549"/>
      <c r="L549" s="10"/>
      <c r="M549" s="17"/>
      <c r="N549"/>
      <c r="O549"/>
      <c r="P549"/>
      <c r="Q549" s="10"/>
      <c r="R549"/>
      <c r="S549"/>
      <c r="T549" s="11"/>
      <c r="U549"/>
      <c r="V549"/>
      <c r="W549"/>
      <c r="AA549" s="14"/>
      <c r="AB549"/>
      <c r="AC549"/>
      <c r="AD549"/>
      <c r="AE549"/>
      <c r="AF549"/>
      <c r="AH549"/>
      <c r="AI549"/>
      <c r="AK549" s="4"/>
      <c r="AL549"/>
      <c r="AM549"/>
      <c r="AN549"/>
      <c r="AO549"/>
      <c r="AP549"/>
      <c r="AQ549"/>
    </row>
    <row r="550" spans="1:43" x14ac:dyDescent="0.3">
      <c r="A550"/>
      <c r="B550"/>
      <c r="C550"/>
      <c r="D550"/>
      <c r="F550"/>
      <c r="G550"/>
      <c r="H550"/>
      <c r="I550"/>
      <c r="J550"/>
      <c r="K550"/>
      <c r="L550" s="10"/>
      <c r="M550" s="17"/>
      <c r="N550"/>
      <c r="O550"/>
      <c r="P550"/>
      <c r="Q550" s="10"/>
      <c r="R550"/>
      <c r="S550"/>
      <c r="T550" s="11"/>
      <c r="U550"/>
      <c r="V550"/>
      <c r="W550"/>
      <c r="AA550" s="14"/>
      <c r="AB550"/>
      <c r="AC550"/>
      <c r="AD550"/>
      <c r="AE550"/>
      <c r="AF550"/>
      <c r="AH550"/>
      <c r="AI550"/>
      <c r="AK550" s="4"/>
      <c r="AL550"/>
      <c r="AM550"/>
      <c r="AN550"/>
      <c r="AO550"/>
      <c r="AP550"/>
      <c r="AQ550"/>
    </row>
    <row r="551" spans="1:43" customFormat="1" x14ac:dyDescent="0.3">
      <c r="L551" s="10"/>
      <c r="M551" s="17"/>
      <c r="Q551" s="10"/>
      <c r="T551" s="11"/>
      <c r="AA551" s="14"/>
      <c r="AK551" s="4"/>
    </row>
    <row r="552" spans="1:43" customFormat="1" x14ac:dyDescent="0.3">
      <c r="A552" s="1"/>
      <c r="B552" s="1"/>
      <c r="C552" s="1"/>
      <c r="D552" s="1"/>
      <c r="F552" s="1"/>
      <c r="G552" s="1"/>
      <c r="H552" s="1"/>
      <c r="I552" s="4"/>
      <c r="J552" s="1"/>
      <c r="K552" s="1"/>
      <c r="L552" s="12"/>
      <c r="M552" s="18"/>
      <c r="N552" s="1"/>
      <c r="O552" s="1"/>
      <c r="P552" s="1"/>
      <c r="Q552" s="12"/>
      <c r="R552" s="1"/>
      <c r="S552" s="1"/>
      <c r="T552" s="13"/>
      <c r="U552" s="1"/>
      <c r="V552" s="1"/>
      <c r="W552" s="1"/>
      <c r="AA552" s="14"/>
      <c r="AB552" s="1"/>
      <c r="AC552" s="1"/>
      <c r="AD552" s="1"/>
      <c r="AE552" s="1"/>
      <c r="AF552" s="1"/>
      <c r="AH552" s="1"/>
      <c r="AI552" s="1"/>
      <c r="AK552" s="4"/>
      <c r="AL552" s="1"/>
      <c r="AM552" s="1"/>
      <c r="AN552" s="1"/>
      <c r="AO552" s="1"/>
      <c r="AP552" s="1"/>
      <c r="AQ552" s="1"/>
    </row>
    <row r="553" spans="1:43" customFormat="1" x14ac:dyDescent="0.3">
      <c r="L553" s="10"/>
      <c r="M553" s="17"/>
      <c r="Q553" s="10"/>
      <c r="T553" s="11"/>
      <c r="AA553" s="14"/>
      <c r="AK553" s="4"/>
    </row>
    <row r="554" spans="1:43" customFormat="1" x14ac:dyDescent="0.3">
      <c r="L554" s="10"/>
      <c r="M554" s="17"/>
      <c r="Q554" s="10"/>
      <c r="T554" s="11"/>
      <c r="AA554" s="14"/>
      <c r="AK554" s="4"/>
    </row>
    <row r="555" spans="1:43" x14ac:dyDescent="0.3">
      <c r="A555"/>
      <c r="B555"/>
      <c r="C555"/>
      <c r="D555"/>
      <c r="F555"/>
      <c r="G555"/>
      <c r="H555"/>
      <c r="I555"/>
      <c r="J555"/>
      <c r="K555"/>
      <c r="L555" s="10"/>
      <c r="M555" s="17"/>
      <c r="N555"/>
      <c r="O555"/>
      <c r="P555"/>
      <c r="Q555" s="10"/>
      <c r="R555"/>
      <c r="S555"/>
      <c r="T555" s="11"/>
      <c r="U555"/>
      <c r="V555"/>
      <c r="W555"/>
      <c r="AA555" s="14"/>
      <c r="AB555"/>
      <c r="AC555"/>
      <c r="AD555"/>
      <c r="AE555"/>
      <c r="AF555"/>
      <c r="AH555"/>
      <c r="AI555"/>
      <c r="AK555" s="4"/>
      <c r="AL555"/>
      <c r="AM555"/>
      <c r="AN555"/>
      <c r="AO555"/>
      <c r="AP555"/>
      <c r="AQ555"/>
    </row>
    <row r="556" spans="1:43" customFormat="1" x14ac:dyDescent="0.3">
      <c r="L556" s="10"/>
      <c r="M556" s="17"/>
      <c r="Q556" s="10"/>
      <c r="T556" s="11"/>
      <c r="AA556" s="14"/>
      <c r="AK556" s="4"/>
    </row>
    <row r="557" spans="1:43" customFormat="1" x14ac:dyDescent="0.3">
      <c r="L557" s="10"/>
      <c r="M557" s="17"/>
      <c r="Q557" s="10"/>
      <c r="T557" s="11"/>
      <c r="AA557" s="14"/>
      <c r="AK557" s="4"/>
    </row>
    <row r="558" spans="1:43" customFormat="1" x14ac:dyDescent="0.3">
      <c r="L558" s="10"/>
      <c r="M558" s="17"/>
      <c r="Q558" s="10"/>
      <c r="T558" s="11"/>
      <c r="AA558" s="14"/>
      <c r="AK558" s="4"/>
    </row>
    <row r="559" spans="1:43" x14ac:dyDescent="0.3">
      <c r="A559"/>
      <c r="B559"/>
      <c r="C559"/>
      <c r="D559"/>
      <c r="F559"/>
      <c r="G559"/>
      <c r="H559"/>
      <c r="I559"/>
      <c r="J559"/>
      <c r="K559"/>
      <c r="L559" s="10"/>
      <c r="M559" s="17"/>
      <c r="N559"/>
      <c r="O559"/>
      <c r="P559"/>
      <c r="Q559" s="10"/>
      <c r="R559"/>
      <c r="S559"/>
      <c r="T559" s="11"/>
      <c r="U559"/>
      <c r="V559"/>
      <c r="W559"/>
      <c r="AA559" s="14"/>
      <c r="AB559"/>
      <c r="AC559"/>
      <c r="AD559"/>
      <c r="AE559"/>
      <c r="AF559"/>
      <c r="AH559"/>
      <c r="AI559"/>
      <c r="AK559" s="4"/>
      <c r="AL559"/>
      <c r="AM559"/>
      <c r="AN559"/>
      <c r="AO559"/>
      <c r="AP559"/>
      <c r="AQ559"/>
    </row>
    <row r="560" spans="1:43" x14ac:dyDescent="0.3">
      <c r="A560"/>
      <c r="B560"/>
      <c r="C560"/>
      <c r="D560"/>
      <c r="F560"/>
      <c r="G560"/>
      <c r="H560"/>
      <c r="I560"/>
      <c r="J560"/>
      <c r="K560"/>
      <c r="L560" s="10"/>
      <c r="M560" s="17"/>
      <c r="N560"/>
      <c r="O560"/>
      <c r="P560"/>
      <c r="Q560" s="10"/>
      <c r="R560"/>
      <c r="S560"/>
      <c r="T560" s="11"/>
      <c r="U560"/>
      <c r="V560"/>
      <c r="W560"/>
      <c r="AA560" s="14"/>
      <c r="AB560"/>
      <c r="AC560"/>
      <c r="AD560"/>
      <c r="AE560"/>
      <c r="AF560"/>
      <c r="AH560"/>
      <c r="AI560"/>
      <c r="AK560" s="4"/>
      <c r="AL560"/>
      <c r="AM560"/>
      <c r="AN560"/>
      <c r="AO560"/>
      <c r="AP560"/>
      <c r="AQ560"/>
    </row>
    <row r="561" spans="1:43" x14ac:dyDescent="0.3">
      <c r="A561"/>
      <c r="B561"/>
      <c r="C561"/>
      <c r="D561"/>
      <c r="F561"/>
      <c r="G561"/>
      <c r="H561"/>
      <c r="I561"/>
      <c r="J561"/>
      <c r="K561"/>
      <c r="L561" s="10"/>
      <c r="M561" s="17"/>
      <c r="N561"/>
      <c r="O561"/>
      <c r="P561"/>
      <c r="Q561" s="10"/>
      <c r="R561"/>
      <c r="S561"/>
      <c r="T561" s="11"/>
      <c r="U561"/>
      <c r="V561"/>
      <c r="W561"/>
      <c r="AA561" s="14"/>
      <c r="AB561"/>
      <c r="AC561"/>
      <c r="AD561"/>
      <c r="AE561"/>
      <c r="AF561"/>
      <c r="AH561"/>
      <c r="AI561"/>
      <c r="AK561" s="4"/>
      <c r="AL561"/>
      <c r="AM561"/>
      <c r="AN561"/>
      <c r="AO561"/>
      <c r="AP561"/>
      <c r="AQ561"/>
    </row>
    <row r="562" spans="1:43" x14ac:dyDescent="0.3">
      <c r="A562"/>
      <c r="B562"/>
      <c r="C562"/>
      <c r="D562"/>
      <c r="F562"/>
      <c r="G562"/>
      <c r="H562"/>
      <c r="I562"/>
      <c r="J562"/>
      <c r="K562"/>
      <c r="L562" s="10"/>
      <c r="M562" s="17"/>
      <c r="N562"/>
      <c r="O562"/>
      <c r="P562"/>
      <c r="Q562" s="10"/>
      <c r="R562"/>
      <c r="S562"/>
      <c r="T562" s="11"/>
      <c r="U562"/>
      <c r="V562"/>
      <c r="W562"/>
      <c r="AA562" s="14"/>
      <c r="AB562"/>
      <c r="AC562"/>
      <c r="AD562"/>
      <c r="AE562"/>
      <c r="AF562"/>
      <c r="AH562"/>
      <c r="AI562"/>
      <c r="AK562" s="4"/>
      <c r="AL562"/>
      <c r="AM562"/>
      <c r="AN562"/>
      <c r="AO562"/>
      <c r="AP562"/>
      <c r="AQ562"/>
    </row>
    <row r="563" spans="1:43" x14ac:dyDescent="0.3">
      <c r="A563"/>
      <c r="B563"/>
      <c r="C563"/>
      <c r="D563"/>
      <c r="F563"/>
      <c r="G563"/>
      <c r="H563"/>
      <c r="I563"/>
      <c r="J563"/>
      <c r="K563"/>
      <c r="L563" s="10"/>
      <c r="M563" s="17"/>
      <c r="N563"/>
      <c r="O563"/>
      <c r="P563"/>
      <c r="Q563" s="10"/>
      <c r="R563"/>
      <c r="S563"/>
      <c r="T563" s="11"/>
      <c r="U563"/>
      <c r="V563"/>
      <c r="W563"/>
      <c r="AA563" s="14"/>
      <c r="AB563"/>
      <c r="AC563"/>
      <c r="AD563"/>
      <c r="AE563"/>
      <c r="AF563"/>
      <c r="AH563"/>
      <c r="AI563"/>
      <c r="AK563" s="4"/>
      <c r="AL563"/>
      <c r="AM563"/>
      <c r="AN563"/>
      <c r="AO563"/>
      <c r="AP563"/>
      <c r="AQ563"/>
    </row>
    <row r="564" spans="1:43" x14ac:dyDescent="0.3">
      <c r="A564"/>
      <c r="B564"/>
      <c r="C564"/>
      <c r="D564"/>
      <c r="F564"/>
      <c r="G564"/>
      <c r="H564"/>
      <c r="I564"/>
      <c r="J564"/>
      <c r="K564"/>
      <c r="L564" s="10"/>
      <c r="M564" s="17"/>
      <c r="N564"/>
      <c r="O564"/>
      <c r="P564"/>
      <c r="Q564" s="10"/>
      <c r="R564"/>
      <c r="S564"/>
      <c r="T564" s="11"/>
      <c r="U564"/>
      <c r="V564"/>
      <c r="W564"/>
      <c r="AA564" s="14"/>
      <c r="AB564"/>
      <c r="AC564"/>
      <c r="AD564"/>
      <c r="AE564"/>
      <c r="AF564"/>
      <c r="AH564"/>
      <c r="AI564"/>
      <c r="AK564" s="4"/>
      <c r="AL564"/>
      <c r="AM564"/>
      <c r="AN564"/>
      <c r="AO564"/>
      <c r="AP564"/>
      <c r="AQ564"/>
    </row>
    <row r="565" spans="1:43" customFormat="1" x14ac:dyDescent="0.3">
      <c r="L565" s="10"/>
      <c r="M565" s="17"/>
      <c r="Q565" s="10"/>
      <c r="T565" s="11"/>
      <c r="AA565" s="14"/>
      <c r="AK565" s="4"/>
    </row>
    <row r="566" spans="1:43" customFormat="1" x14ac:dyDescent="0.3">
      <c r="L566" s="10"/>
      <c r="M566" s="17"/>
      <c r="Q566" s="10"/>
      <c r="T566" s="11"/>
      <c r="AA566" s="14"/>
      <c r="AK566" s="4"/>
    </row>
    <row r="567" spans="1:43" x14ac:dyDescent="0.3">
      <c r="A567"/>
      <c r="B567"/>
      <c r="C567"/>
      <c r="D567"/>
      <c r="F567"/>
      <c r="G567"/>
      <c r="H567"/>
      <c r="I567"/>
      <c r="J567"/>
      <c r="K567"/>
      <c r="L567" s="10"/>
      <c r="M567" s="17"/>
      <c r="N567"/>
      <c r="O567"/>
      <c r="P567"/>
      <c r="Q567" s="10"/>
      <c r="R567"/>
      <c r="S567"/>
      <c r="T567" s="11"/>
      <c r="U567"/>
      <c r="V567"/>
      <c r="W567"/>
      <c r="AA567" s="14"/>
      <c r="AB567"/>
      <c r="AC567"/>
      <c r="AD567"/>
      <c r="AE567"/>
      <c r="AF567"/>
      <c r="AH567"/>
      <c r="AI567"/>
      <c r="AK567" s="4"/>
      <c r="AL567"/>
      <c r="AM567"/>
      <c r="AN567"/>
      <c r="AO567"/>
      <c r="AP567"/>
      <c r="AQ567"/>
    </row>
    <row r="568" spans="1:43" x14ac:dyDescent="0.3">
      <c r="A568"/>
      <c r="B568"/>
      <c r="C568"/>
      <c r="D568"/>
      <c r="F568"/>
      <c r="G568"/>
      <c r="H568"/>
      <c r="I568"/>
      <c r="J568"/>
      <c r="K568"/>
      <c r="L568" s="10"/>
      <c r="M568" s="17"/>
      <c r="N568"/>
      <c r="O568"/>
      <c r="P568"/>
      <c r="Q568" s="10"/>
      <c r="R568"/>
      <c r="S568"/>
      <c r="T568" s="11"/>
      <c r="U568"/>
      <c r="V568"/>
      <c r="W568"/>
      <c r="AA568" s="14"/>
      <c r="AB568"/>
      <c r="AC568"/>
      <c r="AD568"/>
      <c r="AE568"/>
      <c r="AF568"/>
      <c r="AH568"/>
      <c r="AI568"/>
      <c r="AK568" s="4"/>
      <c r="AL568"/>
      <c r="AM568"/>
      <c r="AN568"/>
      <c r="AO568"/>
      <c r="AP568"/>
      <c r="AQ568"/>
    </row>
    <row r="569" spans="1:43" x14ac:dyDescent="0.3">
      <c r="A569"/>
      <c r="B569"/>
      <c r="C569"/>
      <c r="D569"/>
      <c r="F569"/>
      <c r="G569"/>
      <c r="H569"/>
      <c r="I569"/>
      <c r="J569"/>
      <c r="K569"/>
      <c r="L569" s="10"/>
      <c r="M569" s="17"/>
      <c r="N569"/>
      <c r="O569"/>
      <c r="P569"/>
      <c r="Q569" s="10"/>
      <c r="R569"/>
      <c r="S569"/>
      <c r="T569" s="11"/>
      <c r="U569"/>
      <c r="V569"/>
      <c r="W569"/>
      <c r="AA569" s="14"/>
      <c r="AB569"/>
      <c r="AC569"/>
      <c r="AD569"/>
      <c r="AE569"/>
      <c r="AF569"/>
      <c r="AH569"/>
      <c r="AI569"/>
      <c r="AK569" s="4"/>
      <c r="AL569"/>
      <c r="AM569"/>
      <c r="AN569"/>
      <c r="AO569"/>
      <c r="AP569"/>
      <c r="AQ569"/>
    </row>
    <row r="570" spans="1:43" x14ac:dyDescent="0.3">
      <c r="A570"/>
      <c r="B570"/>
      <c r="C570"/>
      <c r="D570"/>
      <c r="F570"/>
      <c r="G570"/>
      <c r="H570"/>
      <c r="I570"/>
      <c r="J570"/>
      <c r="K570"/>
      <c r="L570" s="10"/>
      <c r="M570" s="17"/>
      <c r="N570"/>
      <c r="O570"/>
      <c r="P570"/>
      <c r="Q570" s="10"/>
      <c r="R570"/>
      <c r="S570"/>
      <c r="T570" s="11"/>
      <c r="U570"/>
      <c r="V570"/>
      <c r="W570"/>
      <c r="AA570" s="14"/>
      <c r="AB570"/>
      <c r="AC570"/>
      <c r="AD570"/>
      <c r="AE570"/>
      <c r="AF570"/>
      <c r="AH570"/>
      <c r="AI570"/>
      <c r="AK570" s="4"/>
      <c r="AL570"/>
      <c r="AM570"/>
      <c r="AN570"/>
      <c r="AO570"/>
      <c r="AP570"/>
      <c r="AQ570"/>
    </row>
    <row r="571" spans="1:43" customFormat="1" x14ac:dyDescent="0.3">
      <c r="L571" s="10"/>
      <c r="M571" s="17"/>
      <c r="Q571" s="10"/>
      <c r="T571" s="11"/>
      <c r="AA571" s="14"/>
      <c r="AK571" s="4"/>
    </row>
    <row r="572" spans="1:43" x14ac:dyDescent="0.3">
      <c r="A572"/>
      <c r="B572"/>
      <c r="C572"/>
      <c r="D572"/>
      <c r="F572"/>
      <c r="G572"/>
      <c r="H572"/>
      <c r="I572"/>
      <c r="J572"/>
      <c r="K572"/>
      <c r="L572" s="10"/>
      <c r="M572" s="17"/>
      <c r="N572"/>
      <c r="O572"/>
      <c r="P572"/>
      <c r="Q572" s="10"/>
      <c r="R572"/>
      <c r="S572"/>
      <c r="T572" s="11"/>
      <c r="U572"/>
      <c r="V572"/>
      <c r="W572"/>
      <c r="AA572" s="14"/>
      <c r="AB572"/>
      <c r="AC572"/>
      <c r="AD572"/>
      <c r="AE572"/>
      <c r="AF572"/>
      <c r="AH572"/>
      <c r="AI572"/>
      <c r="AK572" s="4"/>
      <c r="AL572"/>
      <c r="AM572"/>
      <c r="AN572"/>
      <c r="AO572"/>
      <c r="AP572"/>
      <c r="AQ572"/>
    </row>
    <row r="573" spans="1:43" x14ac:dyDescent="0.3">
      <c r="A573"/>
      <c r="B573"/>
      <c r="C573"/>
      <c r="D573"/>
      <c r="F573"/>
      <c r="G573"/>
      <c r="H573"/>
      <c r="I573"/>
      <c r="J573"/>
      <c r="K573"/>
      <c r="L573" s="10"/>
      <c r="M573" s="17"/>
      <c r="N573"/>
      <c r="O573"/>
      <c r="P573"/>
      <c r="Q573" s="10"/>
      <c r="R573"/>
      <c r="S573"/>
      <c r="T573" s="11"/>
      <c r="U573"/>
      <c r="V573"/>
      <c r="W573"/>
      <c r="AA573" s="14"/>
      <c r="AB573"/>
      <c r="AC573"/>
      <c r="AD573"/>
      <c r="AE573"/>
      <c r="AF573"/>
      <c r="AH573"/>
      <c r="AI573"/>
      <c r="AK573" s="4"/>
      <c r="AL573"/>
      <c r="AM573"/>
      <c r="AN573"/>
      <c r="AO573"/>
      <c r="AP573"/>
      <c r="AQ573"/>
    </row>
    <row r="574" spans="1:43" customFormat="1" x14ac:dyDescent="0.3">
      <c r="L574" s="10"/>
      <c r="M574" s="17"/>
      <c r="Q574" s="10"/>
      <c r="T574" s="11"/>
      <c r="AA574" s="14"/>
      <c r="AK574" s="4"/>
    </row>
    <row r="575" spans="1:43" customFormat="1" x14ac:dyDescent="0.3">
      <c r="L575" s="10"/>
      <c r="M575" s="17"/>
      <c r="Q575" s="10"/>
      <c r="T575" s="11"/>
      <c r="AA575" s="14"/>
      <c r="AK575" s="4"/>
    </row>
    <row r="576" spans="1:43" customFormat="1" x14ac:dyDescent="0.3">
      <c r="L576" s="10"/>
      <c r="M576" s="17"/>
      <c r="Q576" s="10"/>
      <c r="T576" s="11"/>
      <c r="AA576" s="14"/>
      <c r="AK576" s="4"/>
    </row>
    <row r="577" spans="1:43" customFormat="1" x14ac:dyDescent="0.3">
      <c r="L577" s="10"/>
      <c r="M577" s="17"/>
      <c r="Q577" s="10"/>
      <c r="T577" s="11"/>
      <c r="AA577" s="14"/>
      <c r="AK577" s="4"/>
    </row>
    <row r="578" spans="1:43" x14ac:dyDescent="0.3">
      <c r="A578"/>
      <c r="B578"/>
      <c r="C578"/>
      <c r="D578"/>
      <c r="F578"/>
      <c r="G578"/>
      <c r="H578"/>
      <c r="I578"/>
      <c r="J578"/>
      <c r="K578"/>
      <c r="L578" s="10"/>
      <c r="M578" s="17"/>
      <c r="N578"/>
      <c r="O578"/>
      <c r="P578"/>
      <c r="Q578" s="10"/>
      <c r="R578"/>
      <c r="S578"/>
      <c r="T578" s="11"/>
      <c r="U578"/>
      <c r="V578"/>
      <c r="W578"/>
      <c r="AA578" s="14"/>
      <c r="AB578"/>
      <c r="AC578"/>
      <c r="AD578"/>
      <c r="AE578"/>
      <c r="AF578"/>
      <c r="AH578"/>
      <c r="AI578"/>
      <c r="AK578" s="4"/>
      <c r="AL578"/>
      <c r="AM578"/>
      <c r="AN578"/>
      <c r="AO578"/>
      <c r="AP578"/>
      <c r="AQ578"/>
    </row>
    <row r="579" spans="1:43" x14ac:dyDescent="0.3">
      <c r="A579"/>
      <c r="B579"/>
      <c r="C579"/>
      <c r="D579"/>
      <c r="F579"/>
      <c r="G579"/>
      <c r="H579"/>
      <c r="I579"/>
      <c r="J579"/>
      <c r="K579"/>
      <c r="L579" s="10"/>
      <c r="M579" s="17"/>
      <c r="N579"/>
      <c r="O579"/>
      <c r="P579"/>
      <c r="Q579" s="10"/>
      <c r="R579"/>
      <c r="S579"/>
      <c r="T579" s="11"/>
      <c r="U579"/>
      <c r="V579"/>
      <c r="W579"/>
      <c r="AA579" s="14"/>
      <c r="AB579"/>
      <c r="AC579"/>
      <c r="AD579"/>
      <c r="AE579"/>
      <c r="AF579"/>
      <c r="AH579"/>
      <c r="AI579"/>
      <c r="AK579" s="4"/>
      <c r="AL579"/>
      <c r="AM579"/>
      <c r="AN579"/>
      <c r="AO579"/>
      <c r="AP579"/>
      <c r="AQ579"/>
    </row>
    <row r="580" spans="1:43" x14ac:dyDescent="0.3">
      <c r="A580"/>
      <c r="B580"/>
      <c r="C580"/>
      <c r="D580"/>
      <c r="F580"/>
      <c r="G580"/>
      <c r="H580"/>
      <c r="I580"/>
      <c r="J580"/>
      <c r="K580"/>
      <c r="L580" s="10"/>
      <c r="M580" s="17"/>
      <c r="N580"/>
      <c r="O580"/>
      <c r="P580"/>
      <c r="Q580" s="10"/>
      <c r="R580"/>
      <c r="S580"/>
      <c r="T580" s="11"/>
      <c r="U580"/>
      <c r="V580"/>
      <c r="W580"/>
      <c r="AA580" s="14"/>
      <c r="AB580"/>
      <c r="AC580"/>
      <c r="AD580"/>
      <c r="AE580"/>
      <c r="AF580"/>
      <c r="AH580"/>
      <c r="AI580"/>
      <c r="AK580" s="4"/>
      <c r="AL580"/>
      <c r="AM580"/>
      <c r="AN580"/>
      <c r="AO580"/>
      <c r="AP580"/>
      <c r="AQ580"/>
    </row>
    <row r="581" spans="1:43" x14ac:dyDescent="0.3">
      <c r="A581"/>
      <c r="B581"/>
      <c r="C581"/>
      <c r="D581"/>
      <c r="F581"/>
      <c r="G581"/>
      <c r="H581"/>
      <c r="I581"/>
      <c r="J581"/>
      <c r="K581"/>
      <c r="L581" s="10"/>
      <c r="M581" s="17"/>
      <c r="N581"/>
      <c r="O581"/>
      <c r="P581"/>
      <c r="Q581" s="10"/>
      <c r="R581"/>
      <c r="S581"/>
      <c r="T581" s="11"/>
      <c r="U581"/>
      <c r="V581"/>
      <c r="W581"/>
      <c r="AA581" s="14"/>
      <c r="AB581"/>
      <c r="AC581"/>
      <c r="AD581"/>
      <c r="AE581"/>
      <c r="AF581"/>
      <c r="AH581"/>
      <c r="AI581"/>
      <c r="AK581" s="4"/>
      <c r="AL581"/>
      <c r="AM581"/>
      <c r="AN581"/>
      <c r="AO581"/>
      <c r="AP581"/>
      <c r="AQ581"/>
    </row>
    <row r="582" spans="1:43" x14ac:dyDescent="0.3">
      <c r="I582" s="4"/>
      <c r="L582" s="12"/>
      <c r="M582" s="18"/>
      <c r="Q582" s="12"/>
      <c r="T582" s="13"/>
      <c r="AA582" s="14"/>
      <c r="AK582" s="4"/>
    </row>
    <row r="583" spans="1:43" customFormat="1" x14ac:dyDescent="0.3">
      <c r="A583" s="1"/>
      <c r="B583" s="1"/>
      <c r="C583" s="1"/>
      <c r="D583" s="1"/>
      <c r="F583" s="1"/>
      <c r="G583" s="1"/>
      <c r="H583" s="1"/>
      <c r="I583" s="4"/>
      <c r="J583" s="1"/>
      <c r="K583" s="1"/>
      <c r="L583" s="1"/>
      <c r="M583" s="4"/>
      <c r="N583" s="1"/>
      <c r="O583" s="1"/>
      <c r="P583" s="1"/>
      <c r="Q583" s="12"/>
      <c r="R583" s="1"/>
      <c r="S583" s="1"/>
      <c r="T583" s="13"/>
      <c r="U583" s="1"/>
      <c r="V583" s="1"/>
      <c r="W583" s="1"/>
      <c r="AA583" s="14"/>
      <c r="AB583" s="1"/>
      <c r="AC583" s="1"/>
      <c r="AD583" s="1"/>
      <c r="AE583" s="1"/>
      <c r="AF583" s="1"/>
      <c r="AH583" s="1"/>
      <c r="AI583" s="1"/>
      <c r="AK583" s="4"/>
      <c r="AL583" s="1"/>
      <c r="AM583" s="1"/>
      <c r="AN583" s="1"/>
      <c r="AO583" s="1"/>
      <c r="AP583" s="1"/>
      <c r="AQ583" s="1"/>
    </row>
    <row r="584" spans="1:43" customFormat="1" x14ac:dyDescent="0.3">
      <c r="A584" s="1"/>
      <c r="B584" s="1"/>
      <c r="C584" s="1"/>
      <c r="D584" s="1"/>
      <c r="F584" s="1"/>
      <c r="G584" s="1"/>
      <c r="H584" s="1"/>
      <c r="I584" s="4"/>
      <c r="J584" s="1"/>
      <c r="K584" s="1"/>
      <c r="L584" s="12"/>
      <c r="M584" s="18"/>
      <c r="N584" s="1"/>
      <c r="O584" s="1"/>
      <c r="P584" s="1"/>
      <c r="Q584" s="12"/>
      <c r="R584" s="1"/>
      <c r="S584" s="1"/>
      <c r="T584" s="13"/>
      <c r="U584" s="1"/>
      <c r="V584" s="1"/>
      <c r="W584" s="1"/>
      <c r="AA584" s="14"/>
      <c r="AB584" s="1"/>
      <c r="AC584" s="1"/>
      <c r="AD584" s="1"/>
      <c r="AE584" s="1"/>
      <c r="AF584" s="1"/>
      <c r="AH584" s="1"/>
      <c r="AI584" s="1"/>
      <c r="AK584" s="4"/>
      <c r="AL584" s="1"/>
      <c r="AM584" s="1"/>
      <c r="AN584" s="1"/>
      <c r="AO584" s="1"/>
      <c r="AP584" s="1"/>
      <c r="AQ584" s="1"/>
    </row>
    <row r="585" spans="1:43" customFormat="1" x14ac:dyDescent="0.3">
      <c r="L585" s="10"/>
      <c r="M585" s="17"/>
      <c r="Q585" s="10"/>
      <c r="T585" s="11"/>
      <c r="AA585" s="14"/>
      <c r="AK585" s="4"/>
    </row>
    <row r="586" spans="1:43" customFormat="1" x14ac:dyDescent="0.3">
      <c r="L586" s="10"/>
      <c r="M586" s="17"/>
      <c r="Q586" s="10"/>
      <c r="T586" s="11"/>
      <c r="AA586" s="14"/>
      <c r="AK586" s="4"/>
    </row>
    <row r="587" spans="1:43" customFormat="1" x14ac:dyDescent="0.3">
      <c r="L587" s="10"/>
      <c r="M587" s="17"/>
      <c r="Q587" s="10"/>
      <c r="T587" s="11"/>
      <c r="AA587" s="14"/>
      <c r="AK587" s="4"/>
    </row>
    <row r="588" spans="1:43" x14ac:dyDescent="0.3">
      <c r="A588"/>
      <c r="B588"/>
      <c r="C588"/>
      <c r="D588"/>
      <c r="F588"/>
      <c r="G588"/>
      <c r="H588"/>
      <c r="I588"/>
      <c r="J588"/>
      <c r="K588"/>
      <c r="L588" s="10"/>
      <c r="M588" s="17"/>
      <c r="N588"/>
      <c r="O588"/>
      <c r="P588"/>
      <c r="Q588" s="10"/>
      <c r="R588"/>
      <c r="S588"/>
      <c r="T588" s="11"/>
      <c r="U588"/>
      <c r="V588"/>
      <c r="W588"/>
      <c r="AA588" s="14"/>
      <c r="AB588"/>
      <c r="AC588"/>
      <c r="AD588"/>
      <c r="AE588"/>
      <c r="AF588"/>
      <c r="AH588"/>
      <c r="AI588"/>
      <c r="AK588" s="4"/>
      <c r="AL588"/>
      <c r="AM588"/>
      <c r="AN588"/>
      <c r="AO588"/>
      <c r="AP588"/>
      <c r="AQ588"/>
    </row>
    <row r="589" spans="1:43" customFormat="1" x14ac:dyDescent="0.3">
      <c r="L589" s="10"/>
      <c r="M589" s="17"/>
      <c r="Q589" s="10"/>
      <c r="T589" s="11"/>
      <c r="AA589" s="14"/>
      <c r="AK589" s="4"/>
    </row>
    <row r="590" spans="1:43" customFormat="1" x14ac:dyDescent="0.3">
      <c r="L590" s="10"/>
      <c r="M590" s="17"/>
      <c r="Q590" s="10"/>
      <c r="T590" s="11"/>
      <c r="AA590" s="14"/>
      <c r="AK590" s="4"/>
    </row>
    <row r="591" spans="1:43" customFormat="1" x14ac:dyDescent="0.3">
      <c r="L591" s="10"/>
      <c r="M591" s="17"/>
      <c r="Q591" s="10"/>
      <c r="T591" s="11"/>
      <c r="AA591" s="14"/>
      <c r="AK591" s="4"/>
    </row>
    <row r="592" spans="1:43" customFormat="1" x14ac:dyDescent="0.3">
      <c r="L592" s="10"/>
      <c r="M592" s="17"/>
      <c r="Q592" s="10"/>
      <c r="T592" s="11"/>
      <c r="AA592" s="14"/>
      <c r="AK592" s="4"/>
    </row>
    <row r="593" spans="1:43" customFormat="1" x14ac:dyDescent="0.3">
      <c r="L593" s="10"/>
      <c r="M593" s="17"/>
      <c r="Q593" s="10"/>
      <c r="T593" s="11"/>
      <c r="AA593" s="14"/>
      <c r="AK593" s="4"/>
    </row>
    <row r="594" spans="1:43" customFormat="1" x14ac:dyDescent="0.3">
      <c r="L594" s="10"/>
      <c r="M594" s="17"/>
      <c r="Q594" s="10"/>
      <c r="T594" s="11"/>
      <c r="AA594" s="14"/>
      <c r="AK594" s="4"/>
    </row>
    <row r="595" spans="1:43" customFormat="1" x14ac:dyDescent="0.3">
      <c r="L595" s="10"/>
      <c r="M595" s="17"/>
      <c r="Q595" s="10"/>
      <c r="T595" s="11"/>
      <c r="AA595" s="14"/>
      <c r="AK595" s="4"/>
    </row>
    <row r="596" spans="1:43" x14ac:dyDescent="0.3">
      <c r="I596" s="4"/>
      <c r="L596" s="12"/>
      <c r="M596" s="18"/>
      <c r="Q596" s="12"/>
      <c r="T596" s="13"/>
      <c r="AA596" s="14"/>
      <c r="AK596" s="4"/>
    </row>
    <row r="597" spans="1:43" x14ac:dyDescent="0.3">
      <c r="A597"/>
      <c r="B597"/>
      <c r="C597"/>
      <c r="D597"/>
      <c r="F597"/>
      <c r="G597"/>
      <c r="H597"/>
      <c r="I597"/>
      <c r="J597"/>
      <c r="K597"/>
      <c r="L597" s="10"/>
      <c r="M597" s="17"/>
      <c r="N597"/>
      <c r="O597"/>
      <c r="P597"/>
      <c r="Q597" s="10"/>
      <c r="R597"/>
      <c r="S597"/>
      <c r="T597" s="11"/>
      <c r="U597"/>
      <c r="V597"/>
      <c r="W597"/>
      <c r="AA597" s="14"/>
      <c r="AB597"/>
      <c r="AC597"/>
      <c r="AD597"/>
      <c r="AE597"/>
      <c r="AF597"/>
      <c r="AH597"/>
      <c r="AI597"/>
      <c r="AK597" s="4"/>
      <c r="AL597"/>
      <c r="AM597"/>
      <c r="AN597"/>
      <c r="AO597"/>
      <c r="AP597"/>
      <c r="AQ597"/>
    </row>
    <row r="598" spans="1:43" x14ac:dyDescent="0.3">
      <c r="A598"/>
      <c r="B598"/>
      <c r="C598"/>
      <c r="D598"/>
      <c r="F598"/>
      <c r="G598"/>
      <c r="H598"/>
      <c r="I598"/>
      <c r="J598"/>
      <c r="K598"/>
      <c r="L598" s="10"/>
      <c r="M598" s="17"/>
      <c r="N598"/>
      <c r="O598"/>
      <c r="P598"/>
      <c r="Q598" s="10"/>
      <c r="R598"/>
      <c r="S598"/>
      <c r="T598" s="11"/>
      <c r="U598"/>
      <c r="V598"/>
      <c r="W598"/>
      <c r="AA598" s="14"/>
      <c r="AB598"/>
      <c r="AC598"/>
      <c r="AD598"/>
      <c r="AE598"/>
      <c r="AF598"/>
      <c r="AH598"/>
      <c r="AI598"/>
      <c r="AK598" s="4"/>
      <c r="AL598"/>
      <c r="AM598"/>
      <c r="AN598"/>
      <c r="AO598"/>
      <c r="AP598"/>
      <c r="AQ598"/>
    </row>
    <row r="599" spans="1:43" x14ac:dyDescent="0.3">
      <c r="A599"/>
      <c r="B599"/>
      <c r="C599"/>
      <c r="D599"/>
      <c r="F599"/>
      <c r="G599"/>
      <c r="H599"/>
      <c r="I599"/>
      <c r="J599"/>
      <c r="K599"/>
      <c r="L599" s="10"/>
      <c r="M599" s="17"/>
      <c r="N599"/>
      <c r="O599"/>
      <c r="P599"/>
      <c r="Q599" s="10"/>
      <c r="R599"/>
      <c r="S599"/>
      <c r="T599" s="11"/>
      <c r="U599"/>
      <c r="V599"/>
      <c r="W599"/>
      <c r="AA599" s="14"/>
      <c r="AB599"/>
      <c r="AC599"/>
      <c r="AD599"/>
      <c r="AE599"/>
      <c r="AF599"/>
      <c r="AH599"/>
      <c r="AI599"/>
      <c r="AK599" s="4"/>
      <c r="AL599"/>
      <c r="AM599"/>
      <c r="AN599"/>
      <c r="AO599"/>
      <c r="AP599"/>
      <c r="AQ599"/>
    </row>
    <row r="600" spans="1:43" customFormat="1" x14ac:dyDescent="0.3">
      <c r="L600" s="10"/>
      <c r="M600" s="17"/>
      <c r="Q600" s="10"/>
      <c r="T600" s="11"/>
      <c r="AA600" s="14"/>
      <c r="AK600" s="4"/>
    </row>
    <row r="601" spans="1:43" x14ac:dyDescent="0.3">
      <c r="A601"/>
      <c r="B601"/>
      <c r="C601"/>
      <c r="D601"/>
      <c r="F601"/>
      <c r="G601"/>
      <c r="H601"/>
      <c r="I601"/>
      <c r="J601"/>
      <c r="K601"/>
      <c r="L601" s="10"/>
      <c r="M601" s="17"/>
      <c r="N601"/>
      <c r="O601"/>
      <c r="P601"/>
      <c r="Q601" s="10"/>
      <c r="R601"/>
      <c r="S601"/>
      <c r="T601" s="11"/>
      <c r="U601"/>
      <c r="V601"/>
      <c r="W601"/>
      <c r="AA601" s="14"/>
      <c r="AB601"/>
      <c r="AC601"/>
      <c r="AD601"/>
      <c r="AE601"/>
      <c r="AF601"/>
      <c r="AH601"/>
      <c r="AI601"/>
      <c r="AK601" s="4"/>
      <c r="AL601"/>
      <c r="AM601"/>
      <c r="AN601"/>
      <c r="AO601"/>
      <c r="AP601"/>
      <c r="AQ601"/>
    </row>
    <row r="602" spans="1:43" customFormat="1" x14ac:dyDescent="0.3">
      <c r="L602" s="10"/>
      <c r="M602" s="17"/>
      <c r="Q602" s="10"/>
      <c r="T602" s="11"/>
      <c r="AA602" s="14"/>
      <c r="AK602" s="4"/>
    </row>
    <row r="603" spans="1:43" x14ac:dyDescent="0.3">
      <c r="A603"/>
      <c r="B603"/>
      <c r="C603"/>
      <c r="D603"/>
      <c r="F603"/>
      <c r="G603"/>
      <c r="H603"/>
      <c r="I603"/>
      <c r="J603"/>
      <c r="K603"/>
      <c r="L603" s="10"/>
      <c r="M603" s="17"/>
      <c r="N603"/>
      <c r="O603"/>
      <c r="P603"/>
      <c r="Q603" s="10"/>
      <c r="R603"/>
      <c r="S603"/>
      <c r="T603" s="11"/>
      <c r="U603"/>
      <c r="V603"/>
      <c r="W603"/>
      <c r="AA603" s="14"/>
      <c r="AB603"/>
      <c r="AC603"/>
      <c r="AD603"/>
      <c r="AE603"/>
      <c r="AF603"/>
      <c r="AH603"/>
      <c r="AI603"/>
      <c r="AK603" s="4"/>
      <c r="AL603"/>
      <c r="AM603"/>
      <c r="AN603"/>
      <c r="AO603"/>
      <c r="AP603"/>
      <c r="AQ603"/>
    </row>
    <row r="604" spans="1:43" x14ac:dyDescent="0.3">
      <c r="A604"/>
      <c r="B604"/>
      <c r="C604"/>
      <c r="D604"/>
      <c r="F604"/>
      <c r="G604"/>
      <c r="H604"/>
      <c r="I604"/>
      <c r="J604"/>
      <c r="K604"/>
      <c r="L604" s="10"/>
      <c r="M604" s="17"/>
      <c r="N604"/>
      <c r="O604"/>
      <c r="P604"/>
      <c r="Q604" s="10"/>
      <c r="R604"/>
      <c r="S604"/>
      <c r="T604" s="11"/>
      <c r="U604"/>
      <c r="V604"/>
      <c r="W604"/>
      <c r="AA604" s="14"/>
      <c r="AB604"/>
      <c r="AC604"/>
      <c r="AD604"/>
      <c r="AE604"/>
      <c r="AF604"/>
      <c r="AH604"/>
      <c r="AI604"/>
      <c r="AK604" s="4"/>
      <c r="AL604"/>
      <c r="AM604"/>
      <c r="AN604"/>
      <c r="AO604"/>
      <c r="AP604"/>
      <c r="AQ604"/>
    </row>
    <row r="605" spans="1:43" x14ac:dyDescent="0.3">
      <c r="A605"/>
      <c r="B605"/>
      <c r="C605"/>
      <c r="D605"/>
      <c r="F605"/>
      <c r="G605"/>
      <c r="H605"/>
      <c r="I605"/>
      <c r="J605"/>
      <c r="K605"/>
      <c r="L605" s="10"/>
      <c r="M605" s="17"/>
      <c r="N605"/>
      <c r="O605"/>
      <c r="P605"/>
      <c r="Q605" s="10"/>
      <c r="R605"/>
      <c r="S605"/>
      <c r="T605" s="11"/>
      <c r="U605"/>
      <c r="V605"/>
      <c r="W605"/>
      <c r="AA605" s="14"/>
      <c r="AB605"/>
      <c r="AC605"/>
      <c r="AD605"/>
      <c r="AE605"/>
      <c r="AF605"/>
      <c r="AH605"/>
      <c r="AI605"/>
      <c r="AK605" s="4"/>
      <c r="AL605"/>
      <c r="AM605"/>
      <c r="AN605"/>
      <c r="AO605"/>
      <c r="AP605"/>
      <c r="AQ605"/>
    </row>
    <row r="606" spans="1:43" x14ac:dyDescent="0.3">
      <c r="A606"/>
      <c r="B606"/>
      <c r="C606"/>
      <c r="D606"/>
      <c r="F606"/>
      <c r="G606"/>
      <c r="H606"/>
      <c r="I606"/>
      <c r="J606"/>
      <c r="K606"/>
      <c r="L606" s="10"/>
      <c r="M606" s="17"/>
      <c r="N606"/>
      <c r="O606"/>
      <c r="P606"/>
      <c r="Q606" s="10"/>
      <c r="R606"/>
      <c r="S606"/>
      <c r="T606" s="11"/>
      <c r="U606"/>
      <c r="V606"/>
      <c r="W606"/>
      <c r="AA606" s="14"/>
      <c r="AB606"/>
      <c r="AC606"/>
      <c r="AD606"/>
      <c r="AE606"/>
      <c r="AF606"/>
      <c r="AH606"/>
      <c r="AI606"/>
      <c r="AK606" s="4"/>
      <c r="AL606"/>
      <c r="AM606"/>
      <c r="AN606"/>
      <c r="AO606"/>
      <c r="AP606"/>
      <c r="AQ606"/>
    </row>
    <row r="607" spans="1:43" x14ac:dyDescent="0.3">
      <c r="A607"/>
      <c r="B607"/>
      <c r="C607"/>
      <c r="D607"/>
      <c r="F607"/>
      <c r="G607"/>
      <c r="H607"/>
      <c r="I607"/>
      <c r="J607"/>
      <c r="K607"/>
      <c r="L607" s="10"/>
      <c r="M607" s="17"/>
      <c r="N607"/>
      <c r="O607"/>
      <c r="P607"/>
      <c r="Q607" s="10"/>
      <c r="R607"/>
      <c r="S607"/>
      <c r="T607" s="11"/>
      <c r="U607"/>
      <c r="V607"/>
      <c r="W607"/>
      <c r="AA607" s="14"/>
      <c r="AB607"/>
      <c r="AC607"/>
      <c r="AD607"/>
      <c r="AE607"/>
      <c r="AF607"/>
      <c r="AH607"/>
      <c r="AI607"/>
      <c r="AK607" s="4"/>
      <c r="AL607"/>
      <c r="AM607"/>
      <c r="AN607"/>
      <c r="AO607"/>
      <c r="AP607"/>
      <c r="AQ607"/>
    </row>
    <row r="608" spans="1:43" x14ac:dyDescent="0.3">
      <c r="A608"/>
      <c r="B608"/>
      <c r="C608"/>
      <c r="D608"/>
      <c r="F608"/>
      <c r="G608"/>
      <c r="H608"/>
      <c r="I608"/>
      <c r="J608"/>
      <c r="K608"/>
      <c r="L608" s="10"/>
      <c r="M608" s="17"/>
      <c r="N608"/>
      <c r="O608"/>
      <c r="P608"/>
      <c r="Q608" s="10"/>
      <c r="R608"/>
      <c r="S608"/>
      <c r="T608" s="11"/>
      <c r="U608"/>
      <c r="V608"/>
      <c r="W608"/>
      <c r="AA608" s="14"/>
      <c r="AB608"/>
      <c r="AC608"/>
      <c r="AD608"/>
      <c r="AE608"/>
      <c r="AF608"/>
      <c r="AH608"/>
      <c r="AI608"/>
      <c r="AK608" s="4"/>
      <c r="AL608"/>
      <c r="AM608"/>
      <c r="AN608"/>
      <c r="AO608"/>
      <c r="AP608"/>
      <c r="AQ608"/>
    </row>
    <row r="609" spans="1:43" x14ac:dyDescent="0.3">
      <c r="A609"/>
      <c r="B609"/>
      <c r="C609"/>
      <c r="D609"/>
      <c r="F609"/>
      <c r="G609"/>
      <c r="H609"/>
      <c r="I609"/>
      <c r="J609"/>
      <c r="K609"/>
      <c r="L609" s="10"/>
      <c r="M609" s="17"/>
      <c r="N609"/>
      <c r="O609"/>
      <c r="P609"/>
      <c r="Q609" s="10"/>
      <c r="R609"/>
      <c r="S609"/>
      <c r="T609" s="11"/>
      <c r="U609"/>
      <c r="V609"/>
      <c r="W609"/>
      <c r="AA609" s="14"/>
      <c r="AB609"/>
      <c r="AC609"/>
      <c r="AD609"/>
      <c r="AE609"/>
      <c r="AF609"/>
      <c r="AH609"/>
      <c r="AI609"/>
      <c r="AK609" s="4"/>
      <c r="AL609"/>
      <c r="AM609"/>
      <c r="AN609"/>
      <c r="AO609"/>
      <c r="AP609"/>
      <c r="AQ609"/>
    </row>
    <row r="610" spans="1:43" x14ac:dyDescent="0.3">
      <c r="A610"/>
      <c r="B610"/>
      <c r="C610"/>
      <c r="D610"/>
      <c r="F610"/>
      <c r="G610"/>
      <c r="H610"/>
      <c r="I610"/>
      <c r="J610"/>
      <c r="K610"/>
      <c r="L610" s="10"/>
      <c r="M610" s="17"/>
      <c r="N610"/>
      <c r="O610"/>
      <c r="P610"/>
      <c r="Q610" s="10"/>
      <c r="R610"/>
      <c r="S610"/>
      <c r="T610" s="11"/>
      <c r="U610"/>
      <c r="V610"/>
      <c r="W610"/>
      <c r="AA610" s="14"/>
      <c r="AB610"/>
      <c r="AC610"/>
      <c r="AD610"/>
      <c r="AE610"/>
      <c r="AF610"/>
      <c r="AH610"/>
      <c r="AI610"/>
      <c r="AK610" s="4"/>
      <c r="AL610"/>
      <c r="AM610"/>
      <c r="AN610"/>
      <c r="AO610"/>
      <c r="AP610"/>
      <c r="AQ610"/>
    </row>
    <row r="611" spans="1:43" x14ac:dyDescent="0.3">
      <c r="A611"/>
      <c r="B611"/>
      <c r="C611"/>
      <c r="D611"/>
      <c r="F611"/>
      <c r="G611"/>
      <c r="H611"/>
      <c r="I611"/>
      <c r="J611"/>
      <c r="K611"/>
      <c r="L611" s="10"/>
      <c r="M611" s="17"/>
      <c r="N611"/>
      <c r="O611"/>
      <c r="P611"/>
      <c r="Q611" s="10"/>
      <c r="R611"/>
      <c r="S611"/>
      <c r="T611" s="11"/>
      <c r="U611"/>
      <c r="V611"/>
      <c r="W611"/>
      <c r="AA611" s="14"/>
      <c r="AB611"/>
      <c r="AC611"/>
      <c r="AD611"/>
      <c r="AE611"/>
      <c r="AF611"/>
      <c r="AH611"/>
      <c r="AI611"/>
      <c r="AK611" s="4"/>
      <c r="AL611"/>
      <c r="AM611"/>
      <c r="AN611"/>
      <c r="AO611"/>
      <c r="AP611"/>
      <c r="AQ611"/>
    </row>
    <row r="612" spans="1:43" customFormat="1" x14ac:dyDescent="0.3">
      <c r="A612" s="1"/>
      <c r="B612" s="1"/>
      <c r="C612" s="1"/>
      <c r="D612" s="1"/>
      <c r="F612" s="1"/>
      <c r="G612" s="1"/>
      <c r="H612" s="1"/>
      <c r="I612" s="4"/>
      <c r="J612" s="1"/>
      <c r="K612" s="1"/>
      <c r="L612" s="1"/>
      <c r="M612" s="4"/>
      <c r="N612" s="1"/>
      <c r="O612" s="1"/>
      <c r="P612" s="1"/>
      <c r="Q612" s="12"/>
      <c r="R612" s="1"/>
      <c r="S612" s="1"/>
      <c r="T612" s="13"/>
      <c r="U612" s="1"/>
      <c r="V612" s="1"/>
      <c r="W612" s="1"/>
      <c r="AA612" s="14"/>
      <c r="AB612" s="1"/>
      <c r="AC612" s="1"/>
      <c r="AD612" s="1"/>
      <c r="AE612" s="1"/>
      <c r="AF612" s="1"/>
      <c r="AH612" s="1"/>
      <c r="AI612" s="1"/>
      <c r="AK612" s="4"/>
      <c r="AL612" s="1"/>
      <c r="AM612" s="1"/>
      <c r="AN612" s="1"/>
      <c r="AO612" s="1"/>
      <c r="AP612" s="1"/>
      <c r="AQ612" s="1"/>
    </row>
    <row r="613" spans="1:43" customFormat="1" x14ac:dyDescent="0.3">
      <c r="L613" s="10"/>
      <c r="M613" s="17"/>
      <c r="Q613" s="10"/>
      <c r="T613" s="11"/>
      <c r="AA613" s="14"/>
      <c r="AK613" s="4"/>
    </row>
    <row r="614" spans="1:43" customFormat="1" x14ac:dyDescent="0.3">
      <c r="L614" s="10"/>
      <c r="M614" s="17"/>
      <c r="Q614" s="10"/>
      <c r="T614" s="11"/>
      <c r="AA614" s="14"/>
      <c r="AK614" s="4"/>
    </row>
    <row r="615" spans="1:43" customFormat="1" x14ac:dyDescent="0.3">
      <c r="L615" s="10"/>
      <c r="M615" s="17"/>
      <c r="Q615" s="10"/>
      <c r="T615" s="11"/>
      <c r="AA615" s="14"/>
      <c r="AK615" s="4"/>
    </row>
    <row r="616" spans="1:43" customFormat="1" x14ac:dyDescent="0.3">
      <c r="L616" s="10"/>
      <c r="M616" s="17"/>
      <c r="Q616" s="10"/>
      <c r="T616" s="11"/>
      <c r="AA616" s="14"/>
      <c r="AK616" s="4"/>
    </row>
    <row r="617" spans="1:43" customFormat="1" x14ac:dyDescent="0.3">
      <c r="L617" s="10"/>
      <c r="M617" s="17"/>
      <c r="Q617" s="10"/>
      <c r="T617" s="11"/>
      <c r="AA617" s="14"/>
      <c r="AK617" s="4"/>
    </row>
    <row r="618" spans="1:43" customFormat="1" x14ac:dyDescent="0.3">
      <c r="L618" s="10"/>
      <c r="M618" s="17"/>
      <c r="Q618" s="10"/>
      <c r="T618" s="11"/>
      <c r="AA618" s="14"/>
      <c r="AK618" s="4"/>
    </row>
    <row r="619" spans="1:43" x14ac:dyDescent="0.3">
      <c r="A619"/>
      <c r="B619"/>
      <c r="C619"/>
      <c r="D619"/>
      <c r="F619"/>
      <c r="G619"/>
      <c r="H619"/>
      <c r="I619"/>
      <c r="J619"/>
      <c r="K619"/>
      <c r="L619" s="10"/>
      <c r="M619" s="17"/>
      <c r="N619"/>
      <c r="O619"/>
      <c r="P619"/>
      <c r="Q619" s="10"/>
      <c r="R619"/>
      <c r="S619"/>
      <c r="T619" s="11"/>
      <c r="U619"/>
      <c r="V619"/>
      <c r="W619"/>
      <c r="AA619" s="14"/>
      <c r="AB619"/>
      <c r="AC619"/>
      <c r="AD619"/>
      <c r="AE619"/>
      <c r="AF619"/>
      <c r="AH619"/>
      <c r="AI619"/>
      <c r="AK619" s="4"/>
      <c r="AL619"/>
      <c r="AM619"/>
      <c r="AN619"/>
      <c r="AO619"/>
      <c r="AP619"/>
      <c r="AQ619"/>
    </row>
    <row r="620" spans="1:43" x14ac:dyDescent="0.3">
      <c r="A620"/>
      <c r="B620"/>
      <c r="C620"/>
      <c r="D620"/>
      <c r="F620"/>
      <c r="G620"/>
      <c r="H620"/>
      <c r="I620"/>
      <c r="J620"/>
      <c r="K620"/>
      <c r="L620" s="10"/>
      <c r="M620" s="17"/>
      <c r="N620"/>
      <c r="O620"/>
      <c r="P620"/>
      <c r="Q620" s="10"/>
      <c r="R620"/>
      <c r="S620"/>
      <c r="T620" s="11"/>
      <c r="U620"/>
      <c r="V620"/>
      <c r="W620"/>
      <c r="AA620" s="14"/>
      <c r="AB620"/>
      <c r="AC620"/>
      <c r="AD620"/>
      <c r="AE620"/>
      <c r="AF620"/>
      <c r="AH620"/>
      <c r="AI620"/>
      <c r="AK620" s="4"/>
      <c r="AL620"/>
      <c r="AM620"/>
      <c r="AN620"/>
      <c r="AO620"/>
      <c r="AP620"/>
      <c r="AQ620"/>
    </row>
    <row r="621" spans="1:43" x14ac:dyDescent="0.3">
      <c r="A621"/>
      <c r="B621"/>
      <c r="C621"/>
      <c r="D621"/>
      <c r="F621"/>
      <c r="G621"/>
      <c r="H621"/>
      <c r="I621"/>
      <c r="J621"/>
      <c r="K621"/>
      <c r="L621" s="10"/>
      <c r="M621" s="17"/>
      <c r="N621"/>
      <c r="O621"/>
      <c r="P621"/>
      <c r="Q621" s="10"/>
      <c r="R621"/>
      <c r="S621"/>
      <c r="T621" s="11"/>
      <c r="U621"/>
      <c r="V621"/>
      <c r="W621"/>
      <c r="AA621" s="14"/>
      <c r="AB621"/>
      <c r="AC621"/>
      <c r="AD621"/>
      <c r="AE621"/>
      <c r="AF621"/>
      <c r="AH621"/>
      <c r="AI621"/>
      <c r="AK621" s="4"/>
      <c r="AL621"/>
      <c r="AM621"/>
      <c r="AN621"/>
      <c r="AO621"/>
      <c r="AP621"/>
      <c r="AQ621"/>
    </row>
    <row r="622" spans="1:43" x14ac:dyDescent="0.3">
      <c r="A622"/>
      <c r="B622"/>
      <c r="C622"/>
      <c r="D622"/>
      <c r="F622"/>
      <c r="G622"/>
      <c r="H622"/>
      <c r="I622"/>
      <c r="J622"/>
      <c r="K622"/>
      <c r="L622" s="10"/>
      <c r="M622" s="17"/>
      <c r="N622"/>
      <c r="O622"/>
      <c r="P622"/>
      <c r="Q622" s="10"/>
      <c r="R622"/>
      <c r="S622"/>
      <c r="T622" s="11"/>
      <c r="U622"/>
      <c r="V622"/>
      <c r="W622"/>
      <c r="AA622" s="14"/>
      <c r="AB622"/>
      <c r="AC622"/>
      <c r="AD622"/>
      <c r="AE622"/>
      <c r="AF622"/>
      <c r="AH622"/>
      <c r="AI622"/>
      <c r="AK622" s="4"/>
      <c r="AL622"/>
      <c r="AM622"/>
      <c r="AN622"/>
      <c r="AO622"/>
      <c r="AP622"/>
      <c r="AQ622"/>
    </row>
    <row r="623" spans="1:43" customFormat="1" x14ac:dyDescent="0.3">
      <c r="L623" s="10"/>
      <c r="M623" s="17"/>
      <c r="Q623" s="10"/>
      <c r="T623" s="11"/>
      <c r="AA623" s="14"/>
      <c r="AK623" s="4"/>
    </row>
    <row r="624" spans="1:43" customFormat="1" x14ac:dyDescent="0.3">
      <c r="L624" s="10"/>
      <c r="M624" s="17"/>
      <c r="Q624" s="10"/>
      <c r="T624" s="11"/>
      <c r="AA624" s="14"/>
      <c r="AK624" s="4"/>
    </row>
    <row r="625" spans="1:43" customFormat="1" x14ac:dyDescent="0.3">
      <c r="L625" s="10"/>
      <c r="M625" s="17"/>
      <c r="Q625" s="10"/>
      <c r="T625" s="11"/>
      <c r="AA625" s="14"/>
      <c r="AK625" s="4"/>
    </row>
    <row r="626" spans="1:43" customFormat="1" x14ac:dyDescent="0.3">
      <c r="L626" s="10"/>
      <c r="M626" s="17"/>
      <c r="Q626" s="10"/>
      <c r="T626" s="11"/>
      <c r="AA626" s="14"/>
      <c r="AK626" s="4"/>
    </row>
    <row r="627" spans="1:43" x14ac:dyDescent="0.3">
      <c r="A627"/>
      <c r="B627"/>
      <c r="C627"/>
      <c r="D627"/>
      <c r="F627"/>
      <c r="G627"/>
      <c r="H627"/>
      <c r="I627"/>
      <c r="J627"/>
      <c r="K627"/>
      <c r="L627" s="10"/>
      <c r="M627" s="17"/>
      <c r="N627"/>
      <c r="O627"/>
      <c r="P627"/>
      <c r="Q627" s="10"/>
      <c r="R627"/>
      <c r="S627"/>
      <c r="T627" s="11"/>
      <c r="U627"/>
      <c r="V627"/>
      <c r="W627"/>
      <c r="AA627" s="14"/>
      <c r="AB627"/>
      <c r="AC627"/>
      <c r="AD627"/>
      <c r="AE627"/>
      <c r="AF627"/>
      <c r="AH627"/>
      <c r="AI627"/>
      <c r="AK627" s="4"/>
      <c r="AL627"/>
      <c r="AM627"/>
      <c r="AN627"/>
      <c r="AO627"/>
      <c r="AP627"/>
      <c r="AQ627"/>
    </row>
    <row r="628" spans="1:43" x14ac:dyDescent="0.3">
      <c r="A628"/>
      <c r="B628"/>
      <c r="C628"/>
      <c r="D628"/>
      <c r="F628"/>
      <c r="G628"/>
      <c r="H628"/>
      <c r="I628"/>
      <c r="J628"/>
      <c r="K628"/>
      <c r="L628" s="10"/>
      <c r="M628" s="17"/>
      <c r="N628"/>
      <c r="O628"/>
      <c r="P628"/>
      <c r="Q628" s="10"/>
      <c r="R628"/>
      <c r="S628"/>
      <c r="T628" s="11"/>
      <c r="U628"/>
      <c r="V628"/>
      <c r="W628"/>
      <c r="AA628" s="14"/>
      <c r="AB628"/>
      <c r="AC628"/>
      <c r="AD628"/>
      <c r="AE628"/>
      <c r="AF628"/>
      <c r="AH628"/>
      <c r="AI628"/>
      <c r="AK628" s="4"/>
      <c r="AL628"/>
      <c r="AM628"/>
      <c r="AN628"/>
      <c r="AO628"/>
      <c r="AP628"/>
      <c r="AQ628"/>
    </row>
    <row r="629" spans="1:43" x14ac:dyDescent="0.3">
      <c r="A629"/>
      <c r="B629"/>
      <c r="C629"/>
      <c r="D629"/>
      <c r="F629"/>
      <c r="G629"/>
      <c r="H629"/>
      <c r="I629"/>
      <c r="J629"/>
      <c r="K629"/>
      <c r="L629" s="10"/>
      <c r="M629" s="17"/>
      <c r="N629"/>
      <c r="O629"/>
      <c r="P629"/>
      <c r="Q629" s="10"/>
      <c r="R629"/>
      <c r="S629"/>
      <c r="T629" s="11"/>
      <c r="U629"/>
      <c r="V629"/>
      <c r="W629"/>
      <c r="AA629" s="14"/>
      <c r="AB629"/>
      <c r="AC629"/>
      <c r="AD629"/>
      <c r="AE629"/>
      <c r="AF629"/>
      <c r="AH629"/>
      <c r="AI629"/>
      <c r="AK629" s="4"/>
      <c r="AL629"/>
      <c r="AM629"/>
      <c r="AN629"/>
      <c r="AO629"/>
      <c r="AP629"/>
      <c r="AQ629"/>
    </row>
    <row r="630" spans="1:43" x14ac:dyDescent="0.3">
      <c r="A630"/>
      <c r="B630"/>
      <c r="C630"/>
      <c r="D630"/>
      <c r="F630"/>
      <c r="G630"/>
      <c r="H630"/>
      <c r="I630"/>
      <c r="J630"/>
      <c r="K630"/>
      <c r="L630" s="10"/>
      <c r="M630" s="17"/>
      <c r="N630"/>
      <c r="O630"/>
      <c r="P630"/>
      <c r="Q630" s="10"/>
      <c r="R630"/>
      <c r="S630"/>
      <c r="T630" s="11"/>
      <c r="U630"/>
      <c r="V630"/>
      <c r="W630"/>
      <c r="AA630" s="14"/>
      <c r="AB630"/>
      <c r="AC630"/>
      <c r="AD630"/>
      <c r="AE630"/>
      <c r="AF630"/>
      <c r="AH630"/>
      <c r="AI630"/>
      <c r="AK630" s="4"/>
      <c r="AL630"/>
      <c r="AM630"/>
      <c r="AN630"/>
      <c r="AO630"/>
      <c r="AP630"/>
      <c r="AQ630"/>
    </row>
    <row r="631" spans="1:43" x14ac:dyDescent="0.3">
      <c r="A631"/>
      <c r="B631"/>
      <c r="C631"/>
      <c r="D631"/>
      <c r="F631"/>
      <c r="G631"/>
      <c r="H631"/>
      <c r="I631"/>
      <c r="J631"/>
      <c r="K631"/>
      <c r="L631" s="10"/>
      <c r="M631" s="17"/>
      <c r="N631"/>
      <c r="O631"/>
      <c r="P631"/>
      <c r="Q631" s="10"/>
      <c r="R631"/>
      <c r="S631"/>
      <c r="T631" s="11"/>
      <c r="U631"/>
      <c r="V631"/>
      <c r="W631"/>
      <c r="AA631" s="14"/>
      <c r="AB631"/>
      <c r="AC631"/>
      <c r="AD631"/>
      <c r="AE631"/>
      <c r="AF631"/>
      <c r="AH631"/>
      <c r="AI631"/>
      <c r="AK631" s="4"/>
      <c r="AL631"/>
      <c r="AM631"/>
      <c r="AN631"/>
      <c r="AO631"/>
      <c r="AP631"/>
      <c r="AQ631"/>
    </row>
    <row r="632" spans="1:43" x14ac:dyDescent="0.3">
      <c r="A632"/>
      <c r="B632"/>
      <c r="C632"/>
      <c r="D632"/>
      <c r="F632"/>
      <c r="G632"/>
      <c r="H632"/>
      <c r="I632"/>
      <c r="J632"/>
      <c r="K632"/>
      <c r="L632" s="10"/>
      <c r="M632" s="17"/>
      <c r="N632"/>
      <c r="O632"/>
      <c r="P632"/>
      <c r="Q632" s="10"/>
      <c r="R632"/>
      <c r="S632"/>
      <c r="T632" s="11"/>
      <c r="U632"/>
      <c r="V632"/>
      <c r="W632"/>
      <c r="AA632" s="14"/>
      <c r="AB632"/>
      <c r="AC632"/>
      <c r="AD632"/>
      <c r="AE632"/>
      <c r="AF632"/>
      <c r="AH632"/>
      <c r="AI632"/>
      <c r="AK632" s="4"/>
      <c r="AL632"/>
      <c r="AM632"/>
      <c r="AN632"/>
      <c r="AO632"/>
      <c r="AP632"/>
      <c r="AQ632"/>
    </row>
    <row r="633" spans="1:43" customFormat="1" x14ac:dyDescent="0.3">
      <c r="L633" s="10"/>
      <c r="M633" s="17"/>
      <c r="Q633" s="10"/>
      <c r="T633" s="11"/>
      <c r="AA633" s="14"/>
      <c r="AK633" s="4"/>
    </row>
    <row r="634" spans="1:43" customFormat="1" x14ac:dyDescent="0.3">
      <c r="L634" s="10"/>
      <c r="M634" s="17"/>
      <c r="Q634" s="10"/>
      <c r="T634" s="11"/>
      <c r="AA634" s="14"/>
      <c r="AK634" s="4"/>
    </row>
    <row r="635" spans="1:43" customFormat="1" x14ac:dyDescent="0.3">
      <c r="L635" s="10"/>
      <c r="M635" s="17"/>
      <c r="Q635" s="10"/>
      <c r="T635" s="11"/>
      <c r="AA635" s="14"/>
      <c r="AK635" s="4"/>
    </row>
    <row r="636" spans="1:43" x14ac:dyDescent="0.3">
      <c r="I636" s="4"/>
      <c r="L636" s="12"/>
      <c r="M636" s="18"/>
      <c r="Q636" s="12"/>
      <c r="T636" s="13"/>
      <c r="AA636" s="14"/>
      <c r="AK636" s="4"/>
    </row>
    <row r="637" spans="1:43" customFormat="1" x14ac:dyDescent="0.3">
      <c r="L637" s="10"/>
      <c r="M637" s="17"/>
      <c r="Q637" s="10"/>
      <c r="T637" s="11"/>
      <c r="AA637" s="14"/>
      <c r="AK637" s="4"/>
    </row>
    <row r="638" spans="1:43" customFormat="1" x14ac:dyDescent="0.3">
      <c r="L638" s="10"/>
      <c r="M638" s="17"/>
      <c r="Q638" s="10"/>
      <c r="T638" s="11"/>
      <c r="AA638" s="14"/>
      <c r="AK638" s="4"/>
    </row>
    <row r="639" spans="1:43" customFormat="1" x14ac:dyDescent="0.3">
      <c r="A639" s="1"/>
      <c r="B639" s="1"/>
      <c r="C639" s="1"/>
      <c r="D639" s="1"/>
      <c r="F639" s="1"/>
      <c r="G639" s="1"/>
      <c r="H639" s="1"/>
      <c r="I639" s="4"/>
      <c r="J639" s="1"/>
      <c r="K639" s="1"/>
      <c r="L639" s="12"/>
      <c r="M639" s="18"/>
      <c r="N639" s="1"/>
      <c r="O639" s="1"/>
      <c r="P639" s="1"/>
      <c r="Q639" s="12"/>
      <c r="R639" s="1"/>
      <c r="S639" s="1"/>
      <c r="T639" s="13"/>
      <c r="U639" s="1"/>
      <c r="V639" s="1"/>
      <c r="W639" s="1"/>
      <c r="AA639" s="14"/>
      <c r="AB639" s="1"/>
      <c r="AC639" s="1"/>
      <c r="AD639" s="1"/>
      <c r="AE639" s="1"/>
      <c r="AF639" s="1"/>
      <c r="AH639" s="1"/>
      <c r="AI639" s="1"/>
      <c r="AK639" s="4"/>
      <c r="AL639" s="1"/>
      <c r="AM639" s="1"/>
      <c r="AN639" s="1"/>
      <c r="AO639" s="1"/>
      <c r="AP639" s="1"/>
      <c r="AQ639" s="1"/>
    </row>
    <row r="640" spans="1:43" customFormat="1" x14ac:dyDescent="0.3">
      <c r="L640" s="10"/>
      <c r="M640" s="17"/>
      <c r="Q640" s="10"/>
      <c r="T640" s="11"/>
      <c r="AA640" s="14"/>
      <c r="AK640" s="4"/>
    </row>
    <row r="641" spans="1:43" customFormat="1" x14ac:dyDescent="0.3">
      <c r="L641" s="10"/>
      <c r="M641" s="17"/>
      <c r="Q641" s="10"/>
      <c r="T641" s="11"/>
      <c r="AA641" s="14"/>
      <c r="AK641" s="4"/>
    </row>
    <row r="642" spans="1:43" customFormat="1" x14ac:dyDescent="0.3">
      <c r="L642" s="10"/>
      <c r="M642" s="17"/>
      <c r="Q642" s="10"/>
      <c r="T642" s="11"/>
      <c r="AA642" s="14"/>
      <c r="AK642" s="4"/>
    </row>
    <row r="643" spans="1:43" customFormat="1" x14ac:dyDescent="0.3">
      <c r="L643" s="10"/>
      <c r="M643" s="17"/>
      <c r="Q643" s="10"/>
      <c r="T643" s="11"/>
      <c r="AA643" s="14"/>
      <c r="AK643" s="4"/>
    </row>
    <row r="644" spans="1:43" customFormat="1" x14ac:dyDescent="0.3">
      <c r="L644" s="10"/>
      <c r="M644" s="17"/>
      <c r="Q644" s="10"/>
      <c r="T644" s="11"/>
      <c r="AA644" s="14"/>
      <c r="AK644" s="4"/>
    </row>
    <row r="645" spans="1:43" customFormat="1" x14ac:dyDescent="0.3">
      <c r="L645" s="10"/>
      <c r="M645" s="17"/>
      <c r="Q645" s="10"/>
      <c r="T645" s="11"/>
      <c r="AA645" s="14"/>
      <c r="AK645" s="4"/>
    </row>
    <row r="646" spans="1:43" x14ac:dyDescent="0.3">
      <c r="A646"/>
      <c r="B646"/>
      <c r="C646"/>
      <c r="D646"/>
      <c r="F646"/>
      <c r="G646"/>
      <c r="H646"/>
      <c r="I646"/>
      <c r="J646"/>
      <c r="K646"/>
      <c r="L646" s="10"/>
      <c r="M646" s="17"/>
      <c r="N646"/>
      <c r="O646"/>
      <c r="P646"/>
      <c r="Q646" s="10"/>
      <c r="R646"/>
      <c r="S646"/>
      <c r="T646" s="11"/>
      <c r="U646"/>
      <c r="V646"/>
      <c r="W646"/>
      <c r="AA646" s="14"/>
      <c r="AB646"/>
      <c r="AC646"/>
      <c r="AD646"/>
      <c r="AE646"/>
      <c r="AF646"/>
      <c r="AH646"/>
      <c r="AI646"/>
      <c r="AK646" s="4"/>
      <c r="AL646"/>
      <c r="AM646"/>
      <c r="AN646"/>
      <c r="AO646"/>
      <c r="AP646"/>
      <c r="AQ646"/>
    </row>
    <row r="647" spans="1:43" x14ac:dyDescent="0.3">
      <c r="A647"/>
      <c r="B647"/>
      <c r="C647"/>
      <c r="D647"/>
      <c r="F647"/>
      <c r="G647"/>
      <c r="H647"/>
      <c r="I647"/>
      <c r="J647"/>
      <c r="K647"/>
      <c r="L647" s="10"/>
      <c r="M647" s="17"/>
      <c r="N647"/>
      <c r="O647"/>
      <c r="P647"/>
      <c r="Q647" s="10"/>
      <c r="R647"/>
      <c r="S647"/>
      <c r="T647" s="11"/>
      <c r="U647"/>
      <c r="V647"/>
      <c r="W647"/>
      <c r="AA647" s="14"/>
      <c r="AB647"/>
      <c r="AC647"/>
      <c r="AD647"/>
      <c r="AE647"/>
      <c r="AF647"/>
      <c r="AH647"/>
      <c r="AI647"/>
      <c r="AK647" s="4"/>
      <c r="AL647"/>
      <c r="AM647"/>
      <c r="AN647"/>
      <c r="AO647"/>
      <c r="AP647"/>
      <c r="AQ647"/>
    </row>
    <row r="648" spans="1:43" x14ac:dyDescent="0.3">
      <c r="A648"/>
      <c r="B648"/>
      <c r="C648"/>
      <c r="D648"/>
      <c r="F648"/>
      <c r="G648"/>
      <c r="H648"/>
      <c r="I648"/>
      <c r="J648"/>
      <c r="K648"/>
      <c r="L648" s="10"/>
      <c r="M648" s="17"/>
      <c r="N648"/>
      <c r="O648"/>
      <c r="P648"/>
      <c r="Q648" s="10"/>
      <c r="R648"/>
      <c r="S648"/>
      <c r="T648" s="11"/>
      <c r="U648"/>
      <c r="V648"/>
      <c r="W648"/>
      <c r="AA648" s="14"/>
      <c r="AB648"/>
      <c r="AC648"/>
      <c r="AD648"/>
      <c r="AE648"/>
      <c r="AF648"/>
      <c r="AH648"/>
      <c r="AI648"/>
      <c r="AK648" s="4"/>
      <c r="AL648"/>
      <c r="AM648"/>
      <c r="AN648"/>
      <c r="AO648"/>
      <c r="AP648"/>
      <c r="AQ648"/>
    </row>
    <row r="649" spans="1:43" x14ac:dyDescent="0.3">
      <c r="A649"/>
      <c r="B649"/>
      <c r="C649"/>
      <c r="D649"/>
      <c r="F649"/>
      <c r="G649"/>
      <c r="H649"/>
      <c r="I649"/>
      <c r="J649"/>
      <c r="K649"/>
      <c r="L649" s="10"/>
      <c r="M649" s="17"/>
      <c r="N649"/>
      <c r="O649"/>
      <c r="P649"/>
      <c r="Q649" s="10"/>
      <c r="R649"/>
      <c r="S649"/>
      <c r="T649" s="11"/>
      <c r="U649"/>
      <c r="V649"/>
      <c r="W649"/>
      <c r="AA649" s="14"/>
      <c r="AB649"/>
      <c r="AC649"/>
      <c r="AD649"/>
      <c r="AE649"/>
      <c r="AF649"/>
      <c r="AH649"/>
      <c r="AI649"/>
      <c r="AK649" s="4"/>
      <c r="AL649"/>
      <c r="AM649"/>
      <c r="AN649"/>
      <c r="AO649"/>
      <c r="AP649"/>
      <c r="AQ649"/>
    </row>
    <row r="650" spans="1:43" customFormat="1" x14ac:dyDescent="0.3">
      <c r="L650" s="10"/>
      <c r="M650" s="17"/>
      <c r="Q650" s="10"/>
      <c r="T650" s="11"/>
      <c r="AA650" s="14"/>
      <c r="AK650" s="4"/>
    </row>
    <row r="651" spans="1:43" customFormat="1" x14ac:dyDescent="0.3">
      <c r="L651" s="10"/>
      <c r="M651" s="17"/>
      <c r="Q651" s="10"/>
      <c r="T651" s="11"/>
      <c r="AA651" s="14"/>
      <c r="AK651" s="4"/>
    </row>
    <row r="652" spans="1:43" customFormat="1" x14ac:dyDescent="0.3">
      <c r="L652" s="10"/>
      <c r="M652" s="17"/>
      <c r="Q652" s="10"/>
      <c r="T652" s="11"/>
      <c r="AA652" s="14"/>
      <c r="AK652" s="4"/>
    </row>
    <row r="653" spans="1:43" customFormat="1" x14ac:dyDescent="0.3">
      <c r="A653" s="1"/>
      <c r="B653" s="1"/>
      <c r="C653" s="1"/>
      <c r="D653" s="1"/>
      <c r="F653" s="1"/>
      <c r="G653" s="1"/>
      <c r="H653" s="1"/>
      <c r="I653" s="4"/>
      <c r="J653" s="1"/>
      <c r="K653" s="1"/>
      <c r="L653" s="12"/>
      <c r="M653" s="18"/>
      <c r="N653" s="1"/>
      <c r="O653" s="1"/>
      <c r="P653" s="1"/>
      <c r="Q653" s="12"/>
      <c r="R653" s="1"/>
      <c r="S653" s="1"/>
      <c r="T653" s="13"/>
      <c r="U653" s="1"/>
      <c r="V653" s="1"/>
      <c r="W653" s="1"/>
      <c r="AA653" s="14"/>
      <c r="AB653" s="1"/>
      <c r="AC653" s="1"/>
      <c r="AD653" s="1"/>
      <c r="AE653" s="1"/>
      <c r="AF653" s="1"/>
      <c r="AH653" s="1"/>
      <c r="AI653" s="1"/>
      <c r="AK653" s="4"/>
      <c r="AL653" s="1"/>
      <c r="AM653" s="1"/>
      <c r="AN653" s="1"/>
      <c r="AO653" s="1"/>
      <c r="AP653" s="1"/>
      <c r="AQ653" s="1"/>
    </row>
    <row r="654" spans="1:43" customFormat="1" x14ac:dyDescent="0.3">
      <c r="L654" s="10"/>
      <c r="M654" s="17"/>
      <c r="Q654" s="10"/>
      <c r="T654" s="11"/>
      <c r="AA654" s="14"/>
      <c r="AK654" s="4"/>
    </row>
    <row r="655" spans="1:43" customFormat="1" x14ac:dyDescent="0.3">
      <c r="L655" s="10"/>
      <c r="M655" s="17"/>
      <c r="Q655" s="10"/>
      <c r="T655" s="11"/>
      <c r="AA655" s="14"/>
      <c r="AK655" s="4"/>
    </row>
    <row r="656" spans="1:43" customFormat="1" x14ac:dyDescent="0.3">
      <c r="L656" s="10"/>
      <c r="M656" s="17"/>
      <c r="Q656" s="10"/>
      <c r="T656" s="11"/>
      <c r="AA656" s="14"/>
      <c r="AK656" s="4"/>
    </row>
    <row r="657" spans="1:43" customFormat="1" x14ac:dyDescent="0.3">
      <c r="L657" s="10"/>
      <c r="M657" s="17"/>
      <c r="Q657" s="10"/>
      <c r="T657" s="11"/>
      <c r="AA657" s="14"/>
      <c r="AK657" s="4"/>
    </row>
    <row r="658" spans="1:43" customFormat="1" x14ac:dyDescent="0.3">
      <c r="L658" s="10"/>
      <c r="M658" s="17"/>
      <c r="Q658" s="10"/>
      <c r="T658" s="11"/>
      <c r="AA658" s="14"/>
      <c r="AK658" s="4"/>
    </row>
    <row r="659" spans="1:43" customFormat="1" x14ac:dyDescent="0.3">
      <c r="L659" s="10"/>
      <c r="M659" s="17"/>
      <c r="Q659" s="10"/>
      <c r="T659" s="11"/>
      <c r="AA659" s="14"/>
      <c r="AK659" s="4"/>
    </row>
    <row r="660" spans="1:43" customFormat="1" x14ac:dyDescent="0.3">
      <c r="L660" s="10"/>
      <c r="M660" s="17"/>
      <c r="Q660" s="10"/>
      <c r="T660" s="11"/>
      <c r="AA660" s="14"/>
      <c r="AK660" s="4"/>
    </row>
    <row r="661" spans="1:43" customFormat="1" x14ac:dyDescent="0.3">
      <c r="L661" s="10"/>
      <c r="M661" s="17"/>
      <c r="Q661" s="10"/>
      <c r="T661" s="11"/>
      <c r="AA661" s="14"/>
      <c r="AK661" s="4"/>
    </row>
    <row r="662" spans="1:43" customFormat="1" x14ac:dyDescent="0.3">
      <c r="L662" s="10"/>
      <c r="M662" s="17"/>
      <c r="Q662" s="10"/>
      <c r="T662" s="11"/>
      <c r="AA662" s="14"/>
      <c r="AK662" s="4"/>
    </row>
    <row r="663" spans="1:43" customFormat="1" x14ac:dyDescent="0.3">
      <c r="L663" s="10"/>
      <c r="M663" s="17"/>
      <c r="Q663" s="10"/>
      <c r="T663" s="11"/>
      <c r="AA663" s="14"/>
      <c r="AK663" s="4"/>
    </row>
    <row r="664" spans="1:43" customFormat="1" x14ac:dyDescent="0.3">
      <c r="L664" s="10"/>
      <c r="M664" s="17"/>
      <c r="Q664" s="10"/>
      <c r="T664" s="11"/>
      <c r="AA664" s="14"/>
      <c r="AK664" s="4"/>
    </row>
    <row r="665" spans="1:43" customFormat="1" x14ac:dyDescent="0.3">
      <c r="L665" s="10"/>
      <c r="M665" s="17"/>
      <c r="Q665" s="10"/>
      <c r="T665" s="11"/>
      <c r="AA665" s="14"/>
      <c r="AK665" s="4"/>
    </row>
    <row r="666" spans="1:43" customFormat="1" x14ac:dyDescent="0.3">
      <c r="L666" s="10"/>
      <c r="M666" s="17"/>
      <c r="Q666" s="10"/>
      <c r="T666" s="11"/>
      <c r="AA666" s="14"/>
      <c r="AK666" s="4"/>
    </row>
    <row r="667" spans="1:43" customFormat="1" x14ac:dyDescent="0.3">
      <c r="L667" s="10"/>
      <c r="M667" s="17"/>
      <c r="Q667" s="10"/>
      <c r="T667" s="11"/>
      <c r="AA667" s="14"/>
      <c r="AK667" s="4"/>
    </row>
    <row r="668" spans="1:43" customFormat="1" x14ac:dyDescent="0.3">
      <c r="L668" s="10"/>
      <c r="M668" s="17"/>
      <c r="Q668" s="10"/>
      <c r="T668" s="11"/>
      <c r="AA668" s="14"/>
      <c r="AK668" s="4"/>
    </row>
    <row r="669" spans="1:43" customFormat="1" x14ac:dyDescent="0.3">
      <c r="L669" s="10"/>
      <c r="M669" s="17"/>
      <c r="Q669" s="10"/>
      <c r="T669" s="11"/>
      <c r="AA669" s="14"/>
      <c r="AK669" s="4"/>
    </row>
    <row r="670" spans="1:43" customFormat="1" x14ac:dyDescent="0.3">
      <c r="L670" s="10"/>
      <c r="M670" s="17"/>
      <c r="Q670" s="10"/>
      <c r="T670" s="11"/>
      <c r="AA670" s="14"/>
      <c r="AK670" s="4"/>
    </row>
    <row r="671" spans="1:43" x14ac:dyDescent="0.3">
      <c r="A671"/>
      <c r="B671"/>
      <c r="C671"/>
      <c r="D671"/>
      <c r="F671"/>
      <c r="G671"/>
      <c r="H671"/>
      <c r="I671"/>
      <c r="J671"/>
      <c r="K671"/>
      <c r="L671" s="10"/>
      <c r="M671" s="17"/>
      <c r="N671"/>
      <c r="O671"/>
      <c r="P671"/>
      <c r="Q671" s="10"/>
      <c r="R671"/>
      <c r="S671"/>
      <c r="T671" s="11"/>
      <c r="U671"/>
      <c r="V671"/>
      <c r="W671"/>
      <c r="AA671" s="14"/>
      <c r="AB671"/>
      <c r="AC671"/>
      <c r="AD671"/>
      <c r="AE671"/>
      <c r="AF671"/>
      <c r="AH671"/>
      <c r="AI671"/>
      <c r="AK671" s="4"/>
      <c r="AL671"/>
      <c r="AM671"/>
      <c r="AN671"/>
      <c r="AO671"/>
      <c r="AP671"/>
      <c r="AQ671"/>
    </row>
    <row r="672" spans="1:43" x14ac:dyDescent="0.3">
      <c r="A672"/>
      <c r="B672"/>
      <c r="C672"/>
      <c r="D672"/>
      <c r="F672"/>
      <c r="G672"/>
      <c r="H672"/>
      <c r="I672"/>
      <c r="J672"/>
      <c r="K672"/>
      <c r="L672" s="10"/>
      <c r="M672" s="17"/>
      <c r="N672"/>
      <c r="O672"/>
      <c r="P672"/>
      <c r="Q672" s="10"/>
      <c r="R672"/>
      <c r="S672"/>
      <c r="T672" s="11"/>
      <c r="U672"/>
      <c r="V672"/>
      <c r="W672"/>
      <c r="AA672" s="14"/>
      <c r="AB672"/>
      <c r="AC672"/>
      <c r="AD672"/>
      <c r="AE672"/>
      <c r="AF672"/>
      <c r="AH672"/>
      <c r="AI672"/>
      <c r="AK672" s="4"/>
      <c r="AL672"/>
      <c r="AM672"/>
      <c r="AN672"/>
      <c r="AO672"/>
      <c r="AP672"/>
      <c r="AQ672"/>
    </row>
    <row r="673" spans="1:43" x14ac:dyDescent="0.3">
      <c r="A673"/>
      <c r="B673"/>
      <c r="C673"/>
      <c r="D673"/>
      <c r="F673"/>
      <c r="G673"/>
      <c r="H673"/>
      <c r="I673"/>
      <c r="J673"/>
      <c r="K673"/>
      <c r="L673" s="10"/>
      <c r="M673" s="17"/>
      <c r="N673"/>
      <c r="O673"/>
      <c r="P673"/>
      <c r="Q673" s="10"/>
      <c r="R673"/>
      <c r="S673"/>
      <c r="T673" s="11"/>
      <c r="U673"/>
      <c r="V673"/>
      <c r="W673"/>
      <c r="AA673" s="14"/>
      <c r="AB673"/>
      <c r="AC673"/>
      <c r="AD673"/>
      <c r="AE673"/>
      <c r="AF673"/>
      <c r="AH673"/>
      <c r="AI673"/>
      <c r="AK673" s="4"/>
      <c r="AL673"/>
      <c r="AM673"/>
      <c r="AN673"/>
      <c r="AO673"/>
      <c r="AP673"/>
      <c r="AQ673"/>
    </row>
    <row r="674" spans="1:43" customFormat="1" x14ac:dyDescent="0.3">
      <c r="L674" s="10"/>
      <c r="M674" s="17"/>
      <c r="Q674" s="10"/>
      <c r="T674" s="11"/>
      <c r="AA674" s="14"/>
      <c r="AK674" s="4"/>
    </row>
    <row r="675" spans="1:43" customFormat="1" x14ac:dyDescent="0.3">
      <c r="L675" s="10"/>
      <c r="M675" s="17"/>
      <c r="Q675" s="10"/>
      <c r="T675" s="11"/>
      <c r="AA675" s="14"/>
      <c r="AK675" s="4"/>
    </row>
    <row r="676" spans="1:43" customFormat="1" x14ac:dyDescent="0.3">
      <c r="L676" s="10"/>
      <c r="M676" s="17"/>
      <c r="Q676" s="10"/>
      <c r="T676" s="11"/>
      <c r="AA676" s="14"/>
      <c r="AK676" s="4"/>
    </row>
    <row r="677" spans="1:43" customFormat="1" x14ac:dyDescent="0.3">
      <c r="L677" s="10"/>
      <c r="M677" s="17"/>
      <c r="Q677" s="10"/>
      <c r="T677" s="11"/>
      <c r="AA677" s="14"/>
      <c r="AK677" s="4"/>
    </row>
    <row r="678" spans="1:43" customFormat="1" x14ac:dyDescent="0.3">
      <c r="L678" s="10"/>
      <c r="M678" s="17"/>
      <c r="Q678" s="10"/>
      <c r="T678" s="11"/>
      <c r="AA678" s="14"/>
      <c r="AK678" s="4"/>
    </row>
    <row r="679" spans="1:43" customFormat="1" x14ac:dyDescent="0.3">
      <c r="L679" s="10"/>
      <c r="M679" s="17"/>
      <c r="Q679" s="10"/>
      <c r="T679" s="11"/>
      <c r="AA679" s="14"/>
      <c r="AK679" s="4"/>
    </row>
    <row r="680" spans="1:43" x14ac:dyDescent="0.3">
      <c r="A680"/>
      <c r="B680"/>
      <c r="C680"/>
      <c r="D680"/>
      <c r="F680"/>
      <c r="G680"/>
      <c r="H680"/>
      <c r="I680"/>
      <c r="J680"/>
      <c r="K680"/>
      <c r="L680" s="10"/>
      <c r="M680" s="17"/>
      <c r="N680"/>
      <c r="O680"/>
      <c r="P680"/>
      <c r="Q680" s="10"/>
      <c r="R680"/>
      <c r="S680"/>
      <c r="T680" s="11"/>
      <c r="U680"/>
      <c r="V680"/>
      <c r="W680"/>
      <c r="AA680" s="14"/>
      <c r="AB680"/>
      <c r="AC680"/>
      <c r="AD680"/>
      <c r="AE680"/>
      <c r="AF680"/>
      <c r="AH680"/>
      <c r="AI680"/>
      <c r="AK680" s="4"/>
      <c r="AL680"/>
      <c r="AM680"/>
      <c r="AN680"/>
      <c r="AO680"/>
      <c r="AP680"/>
      <c r="AQ680"/>
    </row>
    <row r="681" spans="1:43" x14ac:dyDescent="0.3">
      <c r="A681"/>
      <c r="B681"/>
      <c r="C681"/>
      <c r="D681"/>
      <c r="F681"/>
      <c r="G681"/>
      <c r="H681"/>
      <c r="I681"/>
      <c r="J681"/>
      <c r="K681"/>
      <c r="L681" s="10"/>
      <c r="M681" s="17"/>
      <c r="N681"/>
      <c r="O681"/>
      <c r="P681"/>
      <c r="Q681" s="10"/>
      <c r="R681"/>
      <c r="S681"/>
      <c r="T681" s="11"/>
      <c r="U681"/>
      <c r="V681"/>
      <c r="W681"/>
      <c r="AA681" s="14"/>
      <c r="AB681"/>
      <c r="AC681"/>
      <c r="AD681"/>
      <c r="AE681"/>
      <c r="AF681"/>
      <c r="AH681"/>
      <c r="AI681"/>
      <c r="AK681" s="4"/>
      <c r="AL681"/>
      <c r="AM681"/>
      <c r="AN681"/>
      <c r="AO681"/>
      <c r="AP681"/>
      <c r="AQ681"/>
    </row>
    <row r="682" spans="1:43" x14ac:dyDescent="0.3">
      <c r="A682"/>
      <c r="B682"/>
      <c r="C682"/>
      <c r="D682"/>
      <c r="F682"/>
      <c r="G682"/>
      <c r="H682"/>
      <c r="I682"/>
      <c r="J682"/>
      <c r="K682"/>
      <c r="L682" s="10"/>
      <c r="M682" s="17"/>
      <c r="N682"/>
      <c r="O682"/>
      <c r="P682"/>
      <c r="Q682" s="10"/>
      <c r="R682"/>
      <c r="S682"/>
      <c r="T682" s="11"/>
      <c r="U682"/>
      <c r="V682"/>
      <c r="W682"/>
      <c r="AA682" s="14"/>
      <c r="AB682"/>
      <c r="AC682"/>
      <c r="AD682"/>
      <c r="AE682"/>
      <c r="AF682"/>
      <c r="AH682"/>
      <c r="AI682"/>
      <c r="AK682" s="4"/>
      <c r="AL682"/>
      <c r="AM682"/>
      <c r="AN682"/>
      <c r="AO682"/>
      <c r="AP682"/>
      <c r="AQ682"/>
    </row>
    <row r="683" spans="1:43" x14ac:dyDescent="0.3">
      <c r="A683"/>
      <c r="B683"/>
      <c r="C683"/>
      <c r="D683"/>
      <c r="F683"/>
      <c r="G683"/>
      <c r="H683"/>
      <c r="I683"/>
      <c r="J683"/>
      <c r="K683"/>
      <c r="L683" s="10"/>
      <c r="M683" s="17"/>
      <c r="N683"/>
      <c r="O683"/>
      <c r="P683"/>
      <c r="Q683" s="10"/>
      <c r="R683"/>
      <c r="S683"/>
      <c r="T683" s="11"/>
      <c r="U683"/>
      <c r="V683"/>
      <c r="W683"/>
      <c r="AA683" s="14"/>
      <c r="AB683"/>
      <c r="AC683"/>
      <c r="AD683"/>
      <c r="AE683"/>
      <c r="AF683"/>
      <c r="AH683"/>
      <c r="AI683"/>
      <c r="AK683" s="4"/>
      <c r="AL683"/>
      <c r="AM683"/>
      <c r="AN683"/>
      <c r="AO683"/>
      <c r="AP683"/>
      <c r="AQ683"/>
    </row>
    <row r="684" spans="1:43" customFormat="1" x14ac:dyDescent="0.3">
      <c r="L684" s="10"/>
      <c r="M684" s="17"/>
      <c r="Q684" s="10"/>
      <c r="T684" s="11"/>
      <c r="AA684" s="14"/>
      <c r="AK684" s="4"/>
    </row>
    <row r="685" spans="1:43" customFormat="1" x14ac:dyDescent="0.3">
      <c r="A685" s="1"/>
      <c r="B685" s="1"/>
      <c r="C685" s="1"/>
      <c r="D685" s="1"/>
      <c r="F685" s="1"/>
      <c r="G685" s="1"/>
      <c r="H685" s="1"/>
      <c r="I685" s="4"/>
      <c r="J685" s="1"/>
      <c r="K685" s="1"/>
      <c r="L685" s="12"/>
      <c r="M685" s="18"/>
      <c r="N685" s="1"/>
      <c r="O685" s="1"/>
      <c r="P685" s="1"/>
      <c r="Q685" s="12"/>
      <c r="R685" s="1"/>
      <c r="S685" s="1"/>
      <c r="T685" s="13"/>
      <c r="U685" s="1"/>
      <c r="V685" s="1"/>
      <c r="W685" s="1"/>
      <c r="AA685" s="14"/>
      <c r="AB685" s="1"/>
      <c r="AC685" s="1"/>
      <c r="AD685" s="1"/>
      <c r="AE685" s="1"/>
      <c r="AF685" s="1"/>
      <c r="AH685" s="1"/>
      <c r="AI685" s="1"/>
      <c r="AK685" s="4"/>
      <c r="AL685" s="1"/>
      <c r="AM685" s="1"/>
      <c r="AN685" s="1"/>
      <c r="AO685" s="1"/>
      <c r="AP685" s="1"/>
      <c r="AQ685" s="1"/>
    </row>
    <row r="686" spans="1:43" customFormat="1" x14ac:dyDescent="0.3">
      <c r="L686" s="10"/>
      <c r="M686" s="17"/>
      <c r="Q686" s="10"/>
      <c r="T686" s="11"/>
      <c r="AA686" s="14"/>
      <c r="AK686" s="4"/>
    </row>
    <row r="687" spans="1:43" customFormat="1" x14ac:dyDescent="0.3">
      <c r="L687" s="10"/>
      <c r="M687" s="17"/>
      <c r="Q687" s="10"/>
      <c r="T687" s="11"/>
      <c r="AA687" s="14"/>
      <c r="AK687" s="4"/>
    </row>
    <row r="688" spans="1:43" customFormat="1" x14ac:dyDescent="0.3">
      <c r="L688" s="10"/>
      <c r="M688" s="17"/>
      <c r="Q688" s="10"/>
      <c r="T688" s="11"/>
      <c r="AA688" s="14"/>
      <c r="AK688" s="4"/>
    </row>
    <row r="689" spans="1:43" customFormat="1" x14ac:dyDescent="0.3">
      <c r="L689" s="10"/>
      <c r="M689" s="17"/>
      <c r="Q689" s="10"/>
      <c r="T689" s="11"/>
      <c r="AA689" s="14"/>
      <c r="AK689" s="4"/>
    </row>
    <row r="690" spans="1:43" x14ac:dyDescent="0.3">
      <c r="A690"/>
      <c r="B690"/>
      <c r="C690"/>
      <c r="D690"/>
      <c r="F690"/>
      <c r="G690"/>
      <c r="H690"/>
      <c r="I690"/>
      <c r="J690"/>
      <c r="K690"/>
      <c r="L690" s="10"/>
      <c r="M690" s="17"/>
      <c r="N690"/>
      <c r="O690"/>
      <c r="P690"/>
      <c r="Q690" s="10"/>
      <c r="R690"/>
      <c r="S690"/>
      <c r="T690" s="11"/>
      <c r="U690"/>
      <c r="V690"/>
      <c r="W690"/>
      <c r="AA690" s="14"/>
      <c r="AB690"/>
      <c r="AC690"/>
      <c r="AD690"/>
      <c r="AE690"/>
      <c r="AF690"/>
      <c r="AH690"/>
      <c r="AI690"/>
      <c r="AK690" s="4"/>
      <c r="AL690"/>
      <c r="AM690"/>
      <c r="AN690"/>
      <c r="AO690"/>
      <c r="AP690"/>
      <c r="AQ690"/>
    </row>
    <row r="691" spans="1:43" x14ac:dyDescent="0.3">
      <c r="A691"/>
      <c r="B691"/>
      <c r="C691"/>
      <c r="D691"/>
      <c r="F691"/>
      <c r="G691"/>
      <c r="H691"/>
      <c r="I691"/>
      <c r="J691"/>
      <c r="K691"/>
      <c r="L691" s="10"/>
      <c r="M691" s="17"/>
      <c r="N691"/>
      <c r="O691"/>
      <c r="P691"/>
      <c r="Q691" s="10"/>
      <c r="R691"/>
      <c r="S691"/>
      <c r="T691" s="11"/>
      <c r="U691"/>
      <c r="V691"/>
      <c r="W691"/>
      <c r="AA691" s="14"/>
      <c r="AB691"/>
      <c r="AC691"/>
      <c r="AD691"/>
      <c r="AE691"/>
      <c r="AF691"/>
      <c r="AH691"/>
      <c r="AI691"/>
      <c r="AK691" s="4"/>
      <c r="AL691"/>
      <c r="AM691"/>
      <c r="AN691"/>
      <c r="AO691"/>
      <c r="AP691"/>
      <c r="AQ691"/>
    </row>
    <row r="692" spans="1:43" customFormat="1" x14ac:dyDescent="0.3">
      <c r="L692" s="10"/>
      <c r="M692" s="17"/>
      <c r="Q692" s="10"/>
      <c r="T692" s="11"/>
      <c r="AA692" s="14"/>
      <c r="AK692" s="4"/>
    </row>
    <row r="693" spans="1:43" customFormat="1" x14ac:dyDescent="0.3">
      <c r="L693" s="10"/>
      <c r="M693" s="17"/>
      <c r="Q693" s="10"/>
      <c r="T693" s="11"/>
      <c r="AA693" s="14"/>
      <c r="AK693" s="4"/>
    </row>
    <row r="694" spans="1:43" customFormat="1" x14ac:dyDescent="0.3">
      <c r="L694" s="10"/>
      <c r="M694" s="17"/>
      <c r="Q694" s="10"/>
      <c r="T694" s="11"/>
      <c r="AA694" s="14"/>
      <c r="AK694" s="4"/>
    </row>
    <row r="695" spans="1:43" customFormat="1" x14ac:dyDescent="0.3">
      <c r="L695" s="10"/>
      <c r="M695" s="17"/>
      <c r="Q695" s="10"/>
      <c r="T695" s="11"/>
      <c r="AA695" s="14"/>
      <c r="AK695" s="4"/>
    </row>
    <row r="696" spans="1:43" customFormat="1" x14ac:dyDescent="0.3">
      <c r="L696" s="10"/>
      <c r="M696" s="17"/>
      <c r="Q696" s="10"/>
      <c r="T696" s="11"/>
      <c r="AA696" s="14"/>
      <c r="AK696" s="4"/>
    </row>
    <row r="697" spans="1:43" customFormat="1" x14ac:dyDescent="0.3">
      <c r="L697" s="10"/>
      <c r="M697" s="17"/>
      <c r="Q697" s="10"/>
      <c r="T697" s="11"/>
      <c r="AA697" s="14"/>
      <c r="AK697" s="4"/>
    </row>
    <row r="698" spans="1:43" customFormat="1" x14ac:dyDescent="0.3">
      <c r="L698" s="10"/>
      <c r="M698" s="17"/>
      <c r="Q698" s="10"/>
      <c r="T698" s="11"/>
      <c r="AA698" s="14"/>
      <c r="AK698" s="4"/>
    </row>
    <row r="699" spans="1:43" customFormat="1" x14ac:dyDescent="0.3">
      <c r="L699" s="10"/>
      <c r="M699" s="17"/>
      <c r="Q699" s="10"/>
      <c r="T699" s="11"/>
      <c r="AA699" s="14"/>
      <c r="AK699" s="4"/>
    </row>
    <row r="700" spans="1:43" customFormat="1" x14ac:dyDescent="0.3">
      <c r="L700" s="10"/>
      <c r="M700" s="17"/>
      <c r="Q700" s="10"/>
      <c r="T700" s="11"/>
      <c r="AA700" s="14"/>
      <c r="AK700" s="4"/>
    </row>
    <row r="701" spans="1:43" customFormat="1" x14ac:dyDescent="0.3">
      <c r="A701" s="1"/>
      <c r="B701" s="1"/>
      <c r="C701" s="1"/>
      <c r="D701" s="1"/>
      <c r="F701" s="1"/>
      <c r="G701" s="1"/>
      <c r="H701" s="1"/>
      <c r="I701" s="4"/>
      <c r="J701" s="1"/>
      <c r="K701" s="1"/>
      <c r="L701" s="1"/>
      <c r="M701" s="4"/>
      <c r="N701" s="1"/>
      <c r="O701" s="1"/>
      <c r="P701" s="1"/>
      <c r="Q701" s="12"/>
      <c r="R701" s="1"/>
      <c r="S701" s="1"/>
      <c r="T701" s="13"/>
      <c r="U701" s="1"/>
      <c r="V701" s="1"/>
      <c r="W701" s="1"/>
      <c r="AA701" s="14"/>
      <c r="AB701" s="1"/>
      <c r="AC701" s="1"/>
      <c r="AD701" s="1"/>
      <c r="AE701" s="1"/>
      <c r="AF701" s="1"/>
      <c r="AH701" s="1"/>
      <c r="AI701" s="1"/>
      <c r="AK701" s="4"/>
      <c r="AL701" s="1"/>
      <c r="AM701" s="1"/>
      <c r="AN701" s="1"/>
      <c r="AO701" s="1"/>
      <c r="AP701" s="1"/>
      <c r="AQ701" s="1"/>
    </row>
    <row r="702" spans="1:43" customFormat="1" x14ac:dyDescent="0.3">
      <c r="A702" s="1"/>
      <c r="B702" s="1"/>
      <c r="C702" s="1"/>
      <c r="D702" s="1"/>
      <c r="F702" s="1"/>
      <c r="G702" s="1"/>
      <c r="H702" s="1"/>
      <c r="I702" s="4"/>
      <c r="J702" s="1"/>
      <c r="K702" s="1"/>
      <c r="L702" s="1"/>
      <c r="M702" s="4"/>
      <c r="N702" s="1"/>
      <c r="O702" s="1"/>
      <c r="P702" s="1"/>
      <c r="Q702" s="12"/>
      <c r="R702" s="1"/>
      <c r="S702" s="1"/>
      <c r="T702" s="13"/>
      <c r="U702" s="1"/>
      <c r="V702" s="1"/>
      <c r="W702" s="1"/>
      <c r="AA702" s="14"/>
      <c r="AB702" s="1"/>
      <c r="AC702" s="1"/>
      <c r="AD702" s="1"/>
      <c r="AE702" s="1"/>
      <c r="AF702" s="1"/>
      <c r="AH702" s="1"/>
      <c r="AI702" s="1"/>
      <c r="AK702" s="4"/>
      <c r="AL702" s="1"/>
      <c r="AM702" s="1"/>
      <c r="AN702" s="1"/>
      <c r="AO702" s="1"/>
      <c r="AP702" s="1"/>
      <c r="AQ702" s="1"/>
    </row>
    <row r="703" spans="1:43" customFormat="1" x14ac:dyDescent="0.3">
      <c r="A703" s="1"/>
      <c r="B703" s="1"/>
      <c r="C703" s="1"/>
      <c r="D703" s="1"/>
      <c r="F703" s="1"/>
      <c r="G703" s="1"/>
      <c r="H703" s="1"/>
      <c r="I703" s="4"/>
      <c r="J703" s="1"/>
      <c r="K703" s="1"/>
      <c r="L703" s="12"/>
      <c r="M703" s="18"/>
      <c r="N703" s="1"/>
      <c r="O703" s="1"/>
      <c r="P703" s="1"/>
      <c r="Q703" s="12"/>
      <c r="R703" s="1"/>
      <c r="S703" s="1"/>
      <c r="T703" s="13"/>
      <c r="U703" s="1"/>
      <c r="V703" s="1"/>
      <c r="W703" s="1"/>
      <c r="AA703" s="14"/>
      <c r="AB703" s="1"/>
      <c r="AC703" s="1"/>
      <c r="AD703" s="1"/>
      <c r="AE703" s="1"/>
      <c r="AF703" s="1"/>
      <c r="AH703" s="1"/>
      <c r="AI703" s="1"/>
      <c r="AK703" s="4"/>
      <c r="AL703" s="1"/>
      <c r="AM703" s="1"/>
      <c r="AN703" s="1"/>
      <c r="AO703" s="1"/>
      <c r="AP703" s="1"/>
      <c r="AQ703" s="1"/>
    </row>
    <row r="704" spans="1:43" customFormat="1" x14ac:dyDescent="0.3">
      <c r="L704" s="10"/>
      <c r="M704" s="17"/>
      <c r="Q704" s="10"/>
      <c r="T704" s="11"/>
      <c r="AA704" s="14"/>
      <c r="AK704" s="4"/>
    </row>
    <row r="705" spans="1:43" customFormat="1" x14ac:dyDescent="0.3">
      <c r="L705" s="10"/>
      <c r="M705" s="17"/>
      <c r="Q705" s="10"/>
      <c r="T705" s="11"/>
      <c r="AA705" s="14"/>
      <c r="AK705" s="4"/>
    </row>
    <row r="706" spans="1:43" customFormat="1" x14ac:dyDescent="0.3">
      <c r="L706" s="10"/>
      <c r="M706" s="17"/>
      <c r="Q706" s="10"/>
      <c r="T706" s="11"/>
      <c r="AA706" s="14"/>
      <c r="AK706" s="4"/>
    </row>
    <row r="707" spans="1:43" customFormat="1" x14ac:dyDescent="0.3">
      <c r="L707" s="10"/>
      <c r="M707" s="17"/>
      <c r="Q707" s="10"/>
      <c r="T707" s="11"/>
      <c r="AA707" s="14"/>
      <c r="AK707" s="4"/>
    </row>
    <row r="708" spans="1:43" customFormat="1" x14ac:dyDescent="0.3">
      <c r="L708" s="10"/>
      <c r="M708" s="17"/>
      <c r="Q708" s="10"/>
      <c r="T708" s="11"/>
      <c r="AA708" s="14"/>
      <c r="AK708" s="4"/>
    </row>
    <row r="709" spans="1:43" customFormat="1" x14ac:dyDescent="0.3">
      <c r="L709" s="10"/>
      <c r="M709" s="17"/>
      <c r="Q709" s="10"/>
      <c r="T709" s="11"/>
      <c r="AA709" s="14"/>
      <c r="AK709" s="4"/>
    </row>
    <row r="710" spans="1:43" customFormat="1" x14ac:dyDescent="0.3">
      <c r="L710" s="10"/>
      <c r="M710" s="17"/>
      <c r="Q710" s="10"/>
      <c r="T710" s="11"/>
      <c r="AA710" s="14"/>
      <c r="AK710" s="4"/>
    </row>
    <row r="711" spans="1:43" customFormat="1" x14ac:dyDescent="0.3">
      <c r="L711" s="10"/>
      <c r="M711" s="17"/>
      <c r="Q711" s="10"/>
      <c r="T711" s="11"/>
      <c r="AA711" s="14"/>
      <c r="AK711" s="4"/>
    </row>
    <row r="712" spans="1:43" customFormat="1" x14ac:dyDescent="0.3">
      <c r="L712" s="10"/>
      <c r="M712" s="17"/>
      <c r="Q712" s="10"/>
      <c r="T712" s="11"/>
      <c r="AA712" s="14"/>
      <c r="AK712" s="4"/>
    </row>
    <row r="713" spans="1:43" customFormat="1" x14ac:dyDescent="0.3">
      <c r="L713" s="10"/>
      <c r="M713" s="17"/>
      <c r="Q713" s="10"/>
      <c r="T713" s="11"/>
      <c r="AA713" s="14"/>
      <c r="AK713" s="4"/>
    </row>
    <row r="714" spans="1:43" customFormat="1" x14ac:dyDescent="0.3">
      <c r="L714" s="10"/>
      <c r="M714" s="17"/>
      <c r="Q714" s="10"/>
      <c r="T714" s="11"/>
      <c r="AA714" s="14"/>
      <c r="AK714" s="4"/>
    </row>
    <row r="715" spans="1:43" x14ac:dyDescent="0.3">
      <c r="A715"/>
      <c r="B715"/>
      <c r="C715"/>
      <c r="D715"/>
      <c r="F715"/>
      <c r="G715"/>
      <c r="H715"/>
      <c r="I715"/>
      <c r="J715"/>
      <c r="K715"/>
      <c r="L715" s="10"/>
      <c r="M715" s="17"/>
      <c r="N715"/>
      <c r="O715"/>
      <c r="P715"/>
      <c r="Q715" s="10"/>
      <c r="R715"/>
      <c r="S715"/>
      <c r="T715" s="11"/>
      <c r="U715"/>
      <c r="V715"/>
      <c r="W715"/>
      <c r="AA715" s="14"/>
      <c r="AB715"/>
      <c r="AC715"/>
      <c r="AD715"/>
      <c r="AE715"/>
      <c r="AF715"/>
      <c r="AH715"/>
      <c r="AI715"/>
      <c r="AK715" s="4"/>
      <c r="AL715"/>
      <c r="AM715"/>
      <c r="AN715"/>
      <c r="AO715"/>
      <c r="AP715"/>
      <c r="AQ715"/>
    </row>
    <row r="716" spans="1:43" customFormat="1" x14ac:dyDescent="0.3">
      <c r="A716" s="1"/>
      <c r="B716" s="1"/>
      <c r="C716" s="1"/>
      <c r="D716" s="1"/>
      <c r="F716" s="1"/>
      <c r="G716" s="1"/>
      <c r="H716" s="1"/>
      <c r="I716" s="4"/>
      <c r="J716" s="1"/>
      <c r="K716" s="1"/>
      <c r="L716" s="12"/>
      <c r="M716" s="18"/>
      <c r="N716" s="1"/>
      <c r="O716" s="1"/>
      <c r="P716" s="1"/>
      <c r="Q716" s="12"/>
      <c r="R716" s="1"/>
      <c r="S716" s="1"/>
      <c r="T716" s="13"/>
      <c r="U716" s="1"/>
      <c r="V716" s="1"/>
      <c r="W716" s="1"/>
      <c r="AA716" s="14"/>
      <c r="AB716" s="1"/>
      <c r="AC716" s="1"/>
      <c r="AD716" s="1"/>
      <c r="AE716" s="1"/>
      <c r="AF716" s="1"/>
      <c r="AH716" s="1"/>
      <c r="AI716" s="1"/>
      <c r="AK716" s="4"/>
      <c r="AL716" s="1"/>
      <c r="AM716" s="1"/>
      <c r="AN716" s="1"/>
      <c r="AO716" s="1"/>
      <c r="AP716" s="1"/>
      <c r="AQ716" s="1"/>
    </row>
    <row r="717" spans="1:43" customFormat="1" x14ac:dyDescent="0.3">
      <c r="A717" s="1"/>
      <c r="B717" s="1"/>
      <c r="C717" s="1"/>
      <c r="D717" s="1"/>
      <c r="F717" s="1"/>
      <c r="G717" s="1"/>
      <c r="H717" s="1"/>
      <c r="I717" s="4"/>
      <c r="J717" s="1"/>
      <c r="K717" s="1"/>
      <c r="L717" s="12"/>
      <c r="M717" s="18"/>
      <c r="N717" s="1"/>
      <c r="O717" s="1"/>
      <c r="P717" s="1"/>
      <c r="Q717" s="12"/>
      <c r="R717" s="1"/>
      <c r="S717" s="1"/>
      <c r="T717" s="13"/>
      <c r="U717" s="1"/>
      <c r="V717" s="1"/>
      <c r="W717" s="1"/>
      <c r="AA717" s="14"/>
      <c r="AB717" s="1"/>
      <c r="AC717" s="1"/>
      <c r="AD717" s="1"/>
      <c r="AE717" s="1"/>
      <c r="AF717" s="1"/>
      <c r="AH717" s="1"/>
      <c r="AI717" s="1"/>
      <c r="AK717" s="4"/>
      <c r="AL717" s="1"/>
      <c r="AM717" s="1"/>
      <c r="AN717" s="1"/>
      <c r="AO717" s="1"/>
      <c r="AP717" s="1"/>
      <c r="AQ717" s="1"/>
    </row>
    <row r="718" spans="1:43" customFormat="1" x14ac:dyDescent="0.3">
      <c r="L718" s="10"/>
      <c r="M718" s="17"/>
      <c r="Q718" s="10"/>
      <c r="T718" s="11"/>
      <c r="AA718" s="14"/>
      <c r="AK718" s="4"/>
    </row>
    <row r="719" spans="1:43" customFormat="1" x14ac:dyDescent="0.3">
      <c r="L719" s="10"/>
      <c r="M719" s="17"/>
      <c r="Q719" s="10"/>
      <c r="T719" s="11"/>
      <c r="AA719" s="14"/>
      <c r="AK719" s="4"/>
    </row>
    <row r="720" spans="1:43" customFormat="1" x14ac:dyDescent="0.3">
      <c r="L720" s="10"/>
      <c r="M720" s="17"/>
      <c r="Q720" s="10"/>
      <c r="T720" s="11"/>
      <c r="AA720" s="14"/>
      <c r="AK720" s="4"/>
    </row>
    <row r="721" spans="1:43" customFormat="1" x14ac:dyDescent="0.3">
      <c r="L721" s="10"/>
      <c r="M721" s="17"/>
      <c r="Q721" s="10"/>
      <c r="T721" s="11"/>
      <c r="AA721" s="14"/>
      <c r="AK721" s="4"/>
    </row>
    <row r="722" spans="1:43" x14ac:dyDescent="0.3">
      <c r="A722"/>
      <c r="B722"/>
      <c r="C722"/>
      <c r="D722"/>
      <c r="F722"/>
      <c r="G722"/>
      <c r="H722"/>
      <c r="I722"/>
      <c r="J722"/>
      <c r="K722"/>
      <c r="L722" s="10"/>
      <c r="M722" s="17"/>
      <c r="N722"/>
      <c r="O722"/>
      <c r="P722"/>
      <c r="Q722" s="10"/>
      <c r="R722"/>
      <c r="S722"/>
      <c r="T722" s="11"/>
      <c r="U722"/>
      <c r="V722"/>
      <c r="W722"/>
      <c r="AA722" s="14"/>
      <c r="AB722"/>
      <c r="AC722"/>
      <c r="AD722"/>
      <c r="AE722"/>
      <c r="AF722"/>
      <c r="AH722"/>
      <c r="AI722"/>
      <c r="AK722" s="4"/>
      <c r="AL722"/>
      <c r="AM722"/>
      <c r="AN722"/>
      <c r="AO722"/>
      <c r="AP722"/>
      <c r="AQ722"/>
    </row>
    <row r="723" spans="1:43" customFormat="1" x14ac:dyDescent="0.3">
      <c r="L723" s="10"/>
      <c r="M723" s="17"/>
      <c r="Q723" s="10"/>
      <c r="T723" s="11"/>
      <c r="AA723" s="14"/>
      <c r="AK723" s="4"/>
    </row>
    <row r="724" spans="1:43" customFormat="1" x14ac:dyDescent="0.3">
      <c r="L724" s="10"/>
      <c r="M724" s="17"/>
      <c r="Q724" s="10"/>
      <c r="T724" s="11"/>
      <c r="AA724" s="14"/>
      <c r="AK724" s="4"/>
    </row>
    <row r="725" spans="1:43" customFormat="1" x14ac:dyDescent="0.3">
      <c r="L725" s="10"/>
      <c r="M725" s="17"/>
      <c r="Q725" s="10"/>
      <c r="T725" s="11"/>
      <c r="AA725" s="14"/>
      <c r="AK725" s="4"/>
    </row>
    <row r="726" spans="1:43" customFormat="1" x14ac:dyDescent="0.3">
      <c r="L726" s="10"/>
      <c r="M726" s="17"/>
      <c r="Q726" s="10"/>
      <c r="T726" s="11"/>
      <c r="AA726" s="14"/>
      <c r="AK726" s="4"/>
    </row>
    <row r="727" spans="1:43" customFormat="1" x14ac:dyDescent="0.3">
      <c r="L727" s="10"/>
      <c r="M727" s="17"/>
      <c r="Q727" s="10"/>
      <c r="T727" s="11"/>
      <c r="AA727" s="14"/>
      <c r="AK727" s="4"/>
    </row>
    <row r="728" spans="1:43" customFormat="1" x14ac:dyDescent="0.3">
      <c r="L728" s="10"/>
      <c r="M728" s="17"/>
      <c r="Q728" s="10"/>
      <c r="T728" s="11"/>
      <c r="AA728" s="14"/>
      <c r="AK728" s="4"/>
    </row>
    <row r="729" spans="1:43" customFormat="1" x14ac:dyDescent="0.3">
      <c r="L729" s="10"/>
      <c r="M729" s="17"/>
      <c r="Q729" s="10"/>
      <c r="T729" s="11"/>
      <c r="AA729" s="14"/>
      <c r="AK729" s="4"/>
    </row>
    <row r="730" spans="1:43" customFormat="1" x14ac:dyDescent="0.3">
      <c r="L730" s="10"/>
      <c r="M730" s="17"/>
      <c r="Q730" s="10"/>
      <c r="T730" s="11"/>
      <c r="AA730" s="14"/>
      <c r="AK730" s="4"/>
    </row>
    <row r="731" spans="1:43" customFormat="1" x14ac:dyDescent="0.3">
      <c r="L731" s="10"/>
      <c r="M731" s="17"/>
      <c r="Q731" s="10"/>
      <c r="T731" s="11"/>
      <c r="AA731" s="14"/>
      <c r="AK731" s="4"/>
    </row>
    <row r="732" spans="1:43" customFormat="1" x14ac:dyDescent="0.3">
      <c r="L732" s="10"/>
      <c r="M732" s="17"/>
      <c r="Q732" s="10"/>
      <c r="T732" s="11"/>
      <c r="AA732" s="14"/>
      <c r="AK732" s="4"/>
    </row>
    <row r="733" spans="1:43" customFormat="1" x14ac:dyDescent="0.3">
      <c r="L733" s="10"/>
      <c r="M733" s="17"/>
      <c r="Q733" s="10"/>
      <c r="T733" s="11"/>
      <c r="AA733" s="14"/>
      <c r="AK733" s="4"/>
    </row>
    <row r="734" spans="1:43" customFormat="1" x14ac:dyDescent="0.3">
      <c r="L734" s="10"/>
      <c r="M734" s="17"/>
      <c r="Q734" s="10"/>
      <c r="T734" s="11"/>
      <c r="AA734" s="14"/>
      <c r="AK734" s="4"/>
    </row>
    <row r="735" spans="1:43" customFormat="1" x14ac:dyDescent="0.3">
      <c r="L735" s="10"/>
      <c r="M735" s="17"/>
      <c r="Q735" s="10"/>
      <c r="T735" s="11"/>
      <c r="AA735" s="14"/>
      <c r="AK735" s="4"/>
    </row>
    <row r="736" spans="1:43" customFormat="1" x14ac:dyDescent="0.3">
      <c r="L736" s="10"/>
      <c r="M736" s="17"/>
      <c r="Q736" s="10"/>
      <c r="T736" s="11"/>
      <c r="AA736" s="14"/>
      <c r="AK736" s="4"/>
    </row>
    <row r="737" spans="1:43" customFormat="1" x14ac:dyDescent="0.3">
      <c r="A737" s="1"/>
      <c r="B737" s="1"/>
      <c r="C737" s="1"/>
      <c r="D737" s="1"/>
      <c r="F737" s="1"/>
      <c r="G737" s="1"/>
      <c r="H737" s="1"/>
      <c r="I737" s="4"/>
      <c r="J737" s="1"/>
      <c r="K737" s="1"/>
      <c r="L737" s="12"/>
      <c r="M737" s="18"/>
      <c r="N737" s="1"/>
      <c r="O737" s="1"/>
      <c r="P737" s="1"/>
      <c r="Q737" s="12"/>
      <c r="R737" s="1"/>
      <c r="S737" s="1"/>
      <c r="T737" s="13"/>
      <c r="U737" s="1"/>
      <c r="V737" s="1"/>
      <c r="W737" s="1"/>
      <c r="AA737" s="14"/>
      <c r="AB737" s="1"/>
      <c r="AC737" s="1"/>
      <c r="AD737" s="1"/>
      <c r="AE737" s="1"/>
      <c r="AF737" s="1"/>
      <c r="AH737" s="1"/>
      <c r="AI737" s="1"/>
      <c r="AK737" s="4"/>
      <c r="AL737" s="1"/>
      <c r="AM737" s="1"/>
      <c r="AN737" s="1"/>
      <c r="AO737" s="1"/>
      <c r="AP737" s="1"/>
      <c r="AQ737" s="1"/>
    </row>
    <row r="738" spans="1:43" customFormat="1" x14ac:dyDescent="0.3">
      <c r="L738" s="10"/>
      <c r="M738" s="17"/>
      <c r="Q738" s="10"/>
      <c r="T738" s="11"/>
      <c r="AA738" s="14"/>
      <c r="AK738" s="4"/>
    </row>
    <row r="739" spans="1:43" customFormat="1" x14ac:dyDescent="0.3">
      <c r="L739" s="10"/>
      <c r="M739" s="17"/>
      <c r="Q739" s="10"/>
      <c r="T739" s="11"/>
      <c r="AA739" s="14"/>
      <c r="AK739" s="4"/>
    </row>
    <row r="740" spans="1:43" customFormat="1" x14ac:dyDescent="0.3">
      <c r="L740" s="10"/>
      <c r="M740" s="17"/>
      <c r="Q740" s="10"/>
      <c r="T740" s="11"/>
      <c r="AA740" s="14"/>
      <c r="AK740" s="4"/>
    </row>
    <row r="741" spans="1:43" customFormat="1" x14ac:dyDescent="0.3">
      <c r="L741" s="10"/>
      <c r="M741" s="17"/>
      <c r="Q741" s="10"/>
      <c r="T741" s="11"/>
      <c r="AA741" s="14"/>
      <c r="AK741" s="4"/>
    </row>
    <row r="742" spans="1:43" customFormat="1" x14ac:dyDescent="0.3">
      <c r="L742" s="10"/>
      <c r="M742" s="17"/>
      <c r="Q742" s="10"/>
      <c r="T742" s="11"/>
      <c r="AA742" s="14"/>
      <c r="AK742" s="4"/>
    </row>
    <row r="743" spans="1:43" customFormat="1" x14ac:dyDescent="0.3">
      <c r="L743" s="10"/>
      <c r="M743" s="17"/>
      <c r="Q743" s="10"/>
      <c r="T743" s="11"/>
      <c r="AA743" s="14"/>
      <c r="AK743" s="4"/>
    </row>
    <row r="744" spans="1:43" customFormat="1" x14ac:dyDescent="0.3">
      <c r="L744" s="10"/>
      <c r="M744" s="17"/>
      <c r="Q744" s="10"/>
      <c r="T744" s="11"/>
      <c r="AA744" s="14"/>
      <c r="AK744" s="4"/>
    </row>
    <row r="745" spans="1:43" x14ac:dyDescent="0.3">
      <c r="A745"/>
      <c r="B745"/>
      <c r="C745"/>
      <c r="D745"/>
      <c r="F745"/>
      <c r="G745"/>
      <c r="H745"/>
      <c r="I745"/>
      <c r="J745"/>
      <c r="K745"/>
      <c r="L745" s="10"/>
      <c r="M745" s="17"/>
      <c r="N745"/>
      <c r="O745"/>
      <c r="P745"/>
      <c r="Q745" s="10"/>
      <c r="R745"/>
      <c r="S745"/>
      <c r="T745" s="11"/>
      <c r="U745"/>
      <c r="V745"/>
      <c r="W745"/>
      <c r="AA745" s="14"/>
      <c r="AB745"/>
      <c r="AC745"/>
      <c r="AD745"/>
      <c r="AE745"/>
      <c r="AF745"/>
      <c r="AH745"/>
      <c r="AI745"/>
      <c r="AK745" s="4"/>
      <c r="AL745"/>
      <c r="AM745"/>
      <c r="AN745"/>
      <c r="AO745"/>
      <c r="AP745"/>
      <c r="AQ745"/>
    </row>
    <row r="746" spans="1:43" x14ac:dyDescent="0.3">
      <c r="A746"/>
      <c r="B746"/>
      <c r="C746"/>
      <c r="D746"/>
      <c r="F746"/>
      <c r="G746"/>
      <c r="H746"/>
      <c r="I746"/>
      <c r="J746"/>
      <c r="K746"/>
      <c r="L746" s="10"/>
      <c r="M746" s="17"/>
      <c r="N746"/>
      <c r="O746"/>
      <c r="P746"/>
      <c r="Q746" s="10"/>
      <c r="R746"/>
      <c r="S746"/>
      <c r="T746" s="11"/>
      <c r="U746"/>
      <c r="V746"/>
      <c r="W746"/>
      <c r="AA746" s="14"/>
      <c r="AB746"/>
      <c r="AC746"/>
      <c r="AD746"/>
      <c r="AE746"/>
      <c r="AF746"/>
      <c r="AH746"/>
      <c r="AI746"/>
      <c r="AK746" s="4"/>
      <c r="AL746"/>
      <c r="AM746"/>
      <c r="AN746"/>
      <c r="AO746"/>
      <c r="AP746"/>
      <c r="AQ746"/>
    </row>
    <row r="747" spans="1:43" x14ac:dyDescent="0.3">
      <c r="A747"/>
      <c r="B747"/>
      <c r="C747"/>
      <c r="D747"/>
      <c r="F747"/>
      <c r="G747"/>
      <c r="H747"/>
      <c r="I747"/>
      <c r="J747"/>
      <c r="K747"/>
      <c r="L747" s="10"/>
      <c r="M747" s="17"/>
      <c r="N747"/>
      <c r="O747"/>
      <c r="P747"/>
      <c r="Q747" s="10"/>
      <c r="R747"/>
      <c r="S747"/>
      <c r="T747" s="11"/>
      <c r="U747"/>
      <c r="V747"/>
      <c r="W747"/>
      <c r="AA747" s="14"/>
      <c r="AB747"/>
      <c r="AC747"/>
      <c r="AD747"/>
      <c r="AE747"/>
      <c r="AF747"/>
      <c r="AH747"/>
      <c r="AI747"/>
      <c r="AK747" s="4"/>
      <c r="AL747"/>
      <c r="AM747"/>
      <c r="AN747"/>
      <c r="AO747"/>
      <c r="AP747"/>
      <c r="AQ747"/>
    </row>
    <row r="748" spans="1:43" x14ac:dyDescent="0.3">
      <c r="A748"/>
      <c r="B748"/>
      <c r="C748"/>
      <c r="D748"/>
      <c r="F748"/>
      <c r="G748"/>
      <c r="H748"/>
      <c r="I748"/>
      <c r="J748"/>
      <c r="K748"/>
      <c r="L748" s="10"/>
      <c r="M748" s="17"/>
      <c r="N748"/>
      <c r="O748"/>
      <c r="P748"/>
      <c r="Q748" s="10"/>
      <c r="R748"/>
      <c r="S748"/>
      <c r="T748" s="11"/>
      <c r="U748"/>
      <c r="V748"/>
      <c r="W748"/>
      <c r="AA748" s="14"/>
      <c r="AB748"/>
      <c r="AC748"/>
      <c r="AD748"/>
      <c r="AE748"/>
      <c r="AF748"/>
      <c r="AH748"/>
      <c r="AI748"/>
      <c r="AK748" s="4"/>
      <c r="AL748"/>
      <c r="AM748"/>
      <c r="AN748"/>
      <c r="AO748"/>
      <c r="AP748"/>
      <c r="AQ748"/>
    </row>
    <row r="749" spans="1:43" x14ac:dyDescent="0.3">
      <c r="A749"/>
      <c r="B749"/>
      <c r="C749"/>
      <c r="D749"/>
      <c r="F749"/>
      <c r="G749"/>
      <c r="H749"/>
      <c r="I749"/>
      <c r="J749"/>
      <c r="K749"/>
      <c r="L749" s="10"/>
      <c r="M749" s="17"/>
      <c r="N749"/>
      <c r="O749"/>
      <c r="P749"/>
      <c r="Q749" s="10"/>
      <c r="R749"/>
      <c r="S749"/>
      <c r="T749" s="11"/>
      <c r="U749"/>
      <c r="V749"/>
      <c r="W749"/>
      <c r="AA749" s="14"/>
      <c r="AB749"/>
      <c r="AC749"/>
      <c r="AD749"/>
      <c r="AE749"/>
      <c r="AF749"/>
      <c r="AH749"/>
      <c r="AI749"/>
      <c r="AK749" s="4"/>
      <c r="AL749"/>
      <c r="AM749"/>
      <c r="AN749"/>
      <c r="AO749"/>
      <c r="AP749"/>
      <c r="AQ749"/>
    </row>
    <row r="750" spans="1:43" x14ac:dyDescent="0.3">
      <c r="A750"/>
      <c r="B750"/>
      <c r="C750"/>
      <c r="D750"/>
      <c r="F750"/>
      <c r="G750"/>
      <c r="H750"/>
      <c r="I750"/>
      <c r="J750"/>
      <c r="K750"/>
      <c r="L750" s="10"/>
      <c r="M750" s="17"/>
      <c r="N750"/>
      <c r="O750"/>
      <c r="P750"/>
      <c r="Q750" s="10"/>
      <c r="R750"/>
      <c r="S750"/>
      <c r="T750" s="11"/>
      <c r="U750"/>
      <c r="V750"/>
      <c r="W750"/>
      <c r="AA750" s="14"/>
      <c r="AB750"/>
      <c r="AC750"/>
      <c r="AD750"/>
      <c r="AE750"/>
      <c r="AF750"/>
      <c r="AH750"/>
      <c r="AI750"/>
      <c r="AK750" s="4"/>
      <c r="AL750"/>
      <c r="AM750"/>
      <c r="AN750"/>
      <c r="AO750"/>
      <c r="AP750"/>
      <c r="AQ750"/>
    </row>
    <row r="751" spans="1:43" x14ac:dyDescent="0.3">
      <c r="A751"/>
      <c r="B751"/>
      <c r="C751"/>
      <c r="D751"/>
      <c r="F751"/>
      <c r="G751"/>
      <c r="H751"/>
      <c r="I751"/>
      <c r="J751"/>
      <c r="K751"/>
      <c r="L751" s="10"/>
      <c r="M751" s="17"/>
      <c r="N751"/>
      <c r="O751"/>
      <c r="P751"/>
      <c r="Q751" s="10"/>
      <c r="R751"/>
      <c r="S751"/>
      <c r="T751" s="11"/>
      <c r="U751"/>
      <c r="V751"/>
      <c r="W751"/>
      <c r="AA751" s="14"/>
      <c r="AB751"/>
      <c r="AC751"/>
      <c r="AD751"/>
      <c r="AE751"/>
      <c r="AF751"/>
      <c r="AH751"/>
      <c r="AI751"/>
      <c r="AK751" s="4"/>
      <c r="AL751"/>
      <c r="AM751"/>
      <c r="AN751"/>
      <c r="AO751"/>
      <c r="AP751"/>
      <c r="AQ751"/>
    </row>
    <row r="752" spans="1:43" x14ac:dyDescent="0.3">
      <c r="A752"/>
      <c r="B752"/>
      <c r="C752"/>
      <c r="D752"/>
      <c r="F752"/>
      <c r="G752"/>
      <c r="H752"/>
      <c r="I752"/>
      <c r="J752"/>
      <c r="K752"/>
      <c r="L752" s="10"/>
      <c r="M752" s="17"/>
      <c r="N752"/>
      <c r="O752"/>
      <c r="P752"/>
      <c r="Q752" s="10"/>
      <c r="R752"/>
      <c r="S752"/>
      <c r="T752" s="11"/>
      <c r="U752"/>
      <c r="V752"/>
      <c r="W752"/>
      <c r="AA752" s="14"/>
      <c r="AB752"/>
      <c r="AC752"/>
      <c r="AD752"/>
      <c r="AE752"/>
      <c r="AF752"/>
      <c r="AH752"/>
      <c r="AI752"/>
      <c r="AK752" s="4"/>
      <c r="AL752"/>
      <c r="AM752"/>
      <c r="AN752"/>
      <c r="AO752"/>
      <c r="AP752"/>
      <c r="AQ752"/>
    </row>
    <row r="753" spans="1:43" x14ac:dyDescent="0.3">
      <c r="A753"/>
      <c r="B753"/>
      <c r="C753"/>
      <c r="D753"/>
      <c r="F753"/>
      <c r="G753"/>
      <c r="H753"/>
      <c r="I753"/>
      <c r="J753"/>
      <c r="K753"/>
      <c r="L753" s="10"/>
      <c r="M753" s="17"/>
      <c r="N753"/>
      <c r="O753"/>
      <c r="P753"/>
      <c r="Q753" s="10"/>
      <c r="R753"/>
      <c r="S753"/>
      <c r="T753" s="11"/>
      <c r="U753"/>
      <c r="V753"/>
      <c r="W753"/>
      <c r="AA753" s="14"/>
      <c r="AB753"/>
      <c r="AC753"/>
      <c r="AD753"/>
      <c r="AE753"/>
      <c r="AF753"/>
      <c r="AH753"/>
      <c r="AI753"/>
      <c r="AK753" s="4"/>
      <c r="AL753"/>
      <c r="AM753"/>
      <c r="AN753"/>
      <c r="AO753"/>
      <c r="AP753"/>
      <c r="AQ753"/>
    </row>
    <row r="754" spans="1:43" customFormat="1" x14ac:dyDescent="0.3">
      <c r="L754" s="10"/>
      <c r="M754" s="17"/>
      <c r="Q754" s="10"/>
      <c r="T754" s="11"/>
      <c r="AA754" s="14"/>
      <c r="AK754" s="4"/>
    </row>
    <row r="755" spans="1:43" customFormat="1" x14ac:dyDescent="0.3">
      <c r="L755" s="10"/>
      <c r="M755" s="17"/>
      <c r="Q755" s="10"/>
      <c r="T755" s="11"/>
      <c r="AA755" s="14"/>
      <c r="AK755" s="4"/>
    </row>
    <row r="756" spans="1:43" x14ac:dyDescent="0.3">
      <c r="A756"/>
      <c r="B756"/>
      <c r="C756"/>
      <c r="D756"/>
      <c r="F756"/>
      <c r="G756"/>
      <c r="H756"/>
      <c r="I756"/>
      <c r="J756"/>
      <c r="K756"/>
      <c r="L756" s="10"/>
      <c r="M756" s="17"/>
      <c r="N756"/>
      <c r="O756"/>
      <c r="P756"/>
      <c r="Q756" s="10"/>
      <c r="R756"/>
      <c r="S756"/>
      <c r="T756" s="11"/>
      <c r="U756"/>
      <c r="V756"/>
      <c r="W756"/>
      <c r="AA756" s="14"/>
      <c r="AB756"/>
      <c r="AC756"/>
      <c r="AD756"/>
      <c r="AE756"/>
      <c r="AF756"/>
      <c r="AH756"/>
      <c r="AI756"/>
      <c r="AK756" s="4"/>
      <c r="AL756"/>
      <c r="AM756"/>
      <c r="AN756"/>
      <c r="AO756"/>
      <c r="AP756"/>
      <c r="AQ756"/>
    </row>
    <row r="757" spans="1:43" customFormat="1" x14ac:dyDescent="0.3">
      <c r="L757" s="10"/>
      <c r="M757" s="17"/>
      <c r="Q757" s="10"/>
      <c r="T757" s="11"/>
      <c r="AA757" s="14"/>
      <c r="AK757" s="4"/>
    </row>
    <row r="758" spans="1:43" customFormat="1" x14ac:dyDescent="0.3">
      <c r="L758" s="10"/>
      <c r="M758" s="17"/>
      <c r="Q758" s="10"/>
      <c r="T758" s="11"/>
      <c r="AA758" s="14"/>
      <c r="AK758" s="4"/>
    </row>
    <row r="759" spans="1:43" customFormat="1" x14ac:dyDescent="0.3">
      <c r="L759" s="10"/>
      <c r="M759" s="17"/>
      <c r="Q759" s="10"/>
      <c r="T759" s="11"/>
      <c r="AA759" s="14"/>
      <c r="AK759" s="4"/>
    </row>
    <row r="760" spans="1:43" customFormat="1" x14ac:dyDescent="0.3">
      <c r="L760" s="10"/>
      <c r="M760" s="17"/>
      <c r="Q760" s="10"/>
      <c r="T760" s="11"/>
      <c r="AA760" s="14"/>
      <c r="AK760" s="4"/>
    </row>
    <row r="761" spans="1:43" customFormat="1" x14ac:dyDescent="0.3">
      <c r="L761" s="10"/>
      <c r="M761" s="17"/>
      <c r="Q761" s="10"/>
      <c r="T761" s="11"/>
      <c r="AA761" s="14"/>
      <c r="AK761" s="4"/>
    </row>
    <row r="762" spans="1:43" x14ac:dyDescent="0.3">
      <c r="A762"/>
      <c r="B762"/>
      <c r="C762"/>
      <c r="D762"/>
      <c r="F762"/>
      <c r="G762"/>
      <c r="H762"/>
      <c r="I762"/>
      <c r="J762"/>
      <c r="K762"/>
      <c r="L762" s="10"/>
      <c r="M762" s="17"/>
      <c r="N762"/>
      <c r="O762"/>
      <c r="P762"/>
      <c r="Q762" s="10"/>
      <c r="R762"/>
      <c r="S762"/>
      <c r="T762" s="11"/>
      <c r="U762"/>
      <c r="V762"/>
      <c r="W762"/>
      <c r="AA762" s="14"/>
      <c r="AB762"/>
      <c r="AC762"/>
      <c r="AD762"/>
      <c r="AE762"/>
      <c r="AF762"/>
      <c r="AH762"/>
      <c r="AI762"/>
      <c r="AK762" s="4"/>
      <c r="AL762"/>
      <c r="AM762"/>
      <c r="AN762"/>
      <c r="AO762"/>
      <c r="AP762"/>
      <c r="AQ762"/>
    </row>
    <row r="763" spans="1:43" customFormat="1" x14ac:dyDescent="0.3">
      <c r="L763" s="10"/>
      <c r="M763" s="17"/>
      <c r="Q763" s="10"/>
      <c r="T763" s="11"/>
      <c r="AA763" s="14"/>
      <c r="AK763" s="4"/>
    </row>
    <row r="764" spans="1:43" customFormat="1" x14ac:dyDescent="0.3">
      <c r="L764" s="10"/>
      <c r="M764" s="17"/>
      <c r="Q764" s="10"/>
      <c r="T764" s="11"/>
      <c r="AA764" s="14"/>
      <c r="AK764" s="4"/>
    </row>
    <row r="765" spans="1:43" customFormat="1" x14ac:dyDescent="0.3">
      <c r="L765" s="10"/>
      <c r="M765" s="17"/>
      <c r="Q765" s="10"/>
      <c r="T765" s="11"/>
      <c r="AA765" s="14"/>
      <c r="AK765" s="4"/>
    </row>
    <row r="766" spans="1:43" x14ac:dyDescent="0.3">
      <c r="I766" s="4"/>
      <c r="L766" s="12"/>
      <c r="M766" s="18"/>
      <c r="Q766" s="12"/>
      <c r="T766" s="13"/>
      <c r="AA766" s="14"/>
      <c r="AK766" s="4"/>
    </row>
    <row r="767" spans="1:43" x14ac:dyDescent="0.3">
      <c r="I767" s="4"/>
      <c r="L767" s="12"/>
      <c r="M767" s="18"/>
      <c r="Q767" s="12"/>
      <c r="T767" s="13"/>
      <c r="AA767" s="14"/>
      <c r="AK767" s="4"/>
    </row>
    <row r="768" spans="1:43" customFormat="1" x14ac:dyDescent="0.3">
      <c r="L768" s="10"/>
      <c r="M768" s="17"/>
      <c r="Q768" s="10"/>
      <c r="T768" s="11"/>
      <c r="AA768" s="14"/>
      <c r="AK768" s="4"/>
    </row>
    <row r="769" spans="1:43" customFormat="1" x14ac:dyDescent="0.3">
      <c r="L769" s="10"/>
      <c r="M769" s="17"/>
      <c r="Q769" s="10"/>
      <c r="T769" s="11"/>
      <c r="AA769" s="14"/>
      <c r="AK769" s="4"/>
    </row>
    <row r="770" spans="1:43" customFormat="1" x14ac:dyDescent="0.3">
      <c r="L770" s="10"/>
      <c r="M770" s="17"/>
      <c r="Q770" s="10"/>
      <c r="T770" s="11"/>
      <c r="AA770" s="14"/>
      <c r="AK770" s="4"/>
    </row>
    <row r="771" spans="1:43" x14ac:dyDescent="0.3">
      <c r="A771"/>
      <c r="B771"/>
      <c r="C771"/>
      <c r="D771"/>
      <c r="F771"/>
      <c r="G771"/>
      <c r="H771"/>
      <c r="I771"/>
      <c r="J771"/>
      <c r="K771"/>
      <c r="L771" s="10"/>
      <c r="M771" s="17"/>
      <c r="N771"/>
      <c r="O771"/>
      <c r="P771"/>
      <c r="Q771" s="10"/>
      <c r="R771"/>
      <c r="S771"/>
      <c r="T771" s="11"/>
      <c r="U771"/>
      <c r="V771"/>
      <c r="W771"/>
      <c r="AA771" s="14"/>
      <c r="AB771"/>
      <c r="AC771"/>
      <c r="AD771"/>
      <c r="AE771"/>
      <c r="AF771"/>
      <c r="AH771"/>
      <c r="AI771"/>
      <c r="AK771" s="4"/>
      <c r="AL771"/>
      <c r="AM771"/>
      <c r="AN771"/>
      <c r="AO771"/>
      <c r="AP771"/>
      <c r="AQ771"/>
    </row>
    <row r="772" spans="1:43" x14ac:dyDescent="0.3">
      <c r="A772"/>
      <c r="B772"/>
      <c r="C772"/>
      <c r="D772"/>
      <c r="F772"/>
      <c r="G772"/>
      <c r="H772"/>
      <c r="I772"/>
      <c r="J772"/>
      <c r="K772"/>
      <c r="L772" s="10"/>
      <c r="M772" s="17"/>
      <c r="N772"/>
      <c r="O772"/>
      <c r="P772"/>
      <c r="Q772" s="10"/>
      <c r="R772"/>
      <c r="S772"/>
      <c r="T772" s="11"/>
      <c r="U772"/>
      <c r="V772"/>
      <c r="W772"/>
      <c r="AA772" s="14"/>
      <c r="AB772"/>
      <c r="AC772"/>
      <c r="AD772"/>
      <c r="AE772"/>
      <c r="AF772"/>
      <c r="AH772"/>
      <c r="AI772"/>
      <c r="AK772" s="4"/>
      <c r="AL772"/>
      <c r="AM772"/>
      <c r="AN772"/>
      <c r="AO772"/>
      <c r="AP772"/>
      <c r="AQ772"/>
    </row>
    <row r="773" spans="1:43" x14ac:dyDescent="0.3">
      <c r="A773"/>
      <c r="B773"/>
      <c r="C773"/>
      <c r="D773"/>
      <c r="F773"/>
      <c r="G773"/>
      <c r="H773"/>
      <c r="I773"/>
      <c r="J773"/>
      <c r="K773"/>
      <c r="L773" s="10"/>
      <c r="M773" s="17"/>
      <c r="N773"/>
      <c r="O773"/>
      <c r="P773"/>
      <c r="Q773" s="10"/>
      <c r="R773"/>
      <c r="S773"/>
      <c r="T773" s="11"/>
      <c r="U773"/>
      <c r="V773"/>
      <c r="W773"/>
      <c r="AA773" s="14"/>
      <c r="AB773"/>
      <c r="AC773"/>
      <c r="AD773"/>
      <c r="AE773"/>
      <c r="AF773"/>
      <c r="AH773"/>
      <c r="AI773"/>
      <c r="AK773" s="4"/>
      <c r="AL773"/>
      <c r="AM773"/>
      <c r="AN773"/>
      <c r="AO773"/>
      <c r="AP773"/>
      <c r="AQ773"/>
    </row>
    <row r="774" spans="1:43" x14ac:dyDescent="0.3">
      <c r="A774"/>
      <c r="B774"/>
      <c r="C774"/>
      <c r="D774"/>
      <c r="F774"/>
      <c r="G774"/>
      <c r="H774"/>
      <c r="I774"/>
      <c r="J774"/>
      <c r="K774"/>
      <c r="L774" s="10"/>
      <c r="M774" s="17"/>
      <c r="N774"/>
      <c r="O774"/>
      <c r="P774"/>
      <c r="Q774" s="10"/>
      <c r="R774"/>
      <c r="S774"/>
      <c r="T774" s="11"/>
      <c r="U774"/>
      <c r="V774"/>
      <c r="W774"/>
      <c r="AA774" s="14"/>
      <c r="AB774"/>
      <c r="AC774"/>
      <c r="AD774"/>
      <c r="AE774"/>
      <c r="AF774"/>
      <c r="AH774"/>
      <c r="AI774"/>
      <c r="AK774" s="4"/>
      <c r="AL774"/>
      <c r="AM774"/>
      <c r="AN774"/>
      <c r="AO774"/>
      <c r="AP774"/>
      <c r="AQ774"/>
    </row>
    <row r="775" spans="1:43" x14ac:dyDescent="0.3">
      <c r="A775"/>
      <c r="B775"/>
      <c r="C775"/>
      <c r="D775"/>
      <c r="F775"/>
      <c r="G775"/>
      <c r="H775"/>
      <c r="I775"/>
      <c r="J775"/>
      <c r="K775"/>
      <c r="L775" s="10"/>
      <c r="M775" s="17"/>
      <c r="N775"/>
      <c r="O775"/>
      <c r="P775"/>
      <c r="Q775" s="10"/>
      <c r="R775"/>
      <c r="S775"/>
      <c r="T775" s="11"/>
      <c r="U775"/>
      <c r="V775"/>
      <c r="W775"/>
      <c r="AA775" s="14"/>
      <c r="AB775"/>
      <c r="AC775"/>
      <c r="AD775"/>
      <c r="AE775"/>
      <c r="AF775"/>
      <c r="AH775"/>
      <c r="AI775"/>
      <c r="AK775" s="4"/>
      <c r="AL775"/>
      <c r="AM775"/>
      <c r="AN775"/>
      <c r="AO775"/>
      <c r="AP775"/>
      <c r="AQ775"/>
    </row>
    <row r="776" spans="1:43" customFormat="1" x14ac:dyDescent="0.3">
      <c r="L776" s="10"/>
      <c r="M776" s="17"/>
      <c r="Q776" s="10"/>
      <c r="T776" s="11"/>
      <c r="AA776" s="14"/>
      <c r="AK776" s="4"/>
    </row>
    <row r="777" spans="1:43" customFormat="1" x14ac:dyDescent="0.3">
      <c r="L777" s="10"/>
      <c r="M777" s="17"/>
      <c r="Q777" s="10"/>
      <c r="T777" s="11"/>
      <c r="AA777" s="14"/>
      <c r="AK777" s="4"/>
    </row>
    <row r="778" spans="1:43" customFormat="1" x14ac:dyDescent="0.3">
      <c r="L778" s="10"/>
      <c r="M778" s="17"/>
      <c r="Q778" s="10"/>
      <c r="T778" s="11"/>
      <c r="AA778" s="14"/>
      <c r="AK778" s="4"/>
    </row>
    <row r="779" spans="1:43" customFormat="1" x14ac:dyDescent="0.3">
      <c r="L779" s="10"/>
      <c r="M779" s="17"/>
      <c r="Q779" s="10"/>
      <c r="T779" s="11"/>
      <c r="AA779" s="14"/>
      <c r="AK779" s="4"/>
    </row>
    <row r="780" spans="1:43" customFormat="1" x14ac:dyDescent="0.3">
      <c r="A780" s="1"/>
      <c r="B780" s="1"/>
      <c r="C780" s="1"/>
      <c r="D780" s="1"/>
      <c r="F780" s="1"/>
      <c r="G780" s="1"/>
      <c r="H780" s="1"/>
      <c r="I780" s="4"/>
      <c r="J780" s="1"/>
      <c r="K780" s="1"/>
      <c r="L780" s="12"/>
      <c r="M780" s="18"/>
      <c r="N780" s="1"/>
      <c r="O780" s="1"/>
      <c r="P780" s="1"/>
      <c r="Q780" s="12"/>
      <c r="R780" s="1"/>
      <c r="S780" s="1"/>
      <c r="T780" s="13"/>
      <c r="U780" s="1"/>
      <c r="V780" s="1"/>
      <c r="W780" s="1"/>
      <c r="AA780" s="14"/>
      <c r="AB780" s="1"/>
      <c r="AC780" s="1"/>
      <c r="AD780" s="1"/>
      <c r="AE780" s="1"/>
      <c r="AF780" s="1"/>
      <c r="AH780" s="1"/>
      <c r="AI780" s="1"/>
      <c r="AK780" s="4"/>
      <c r="AL780" s="1"/>
      <c r="AM780" s="1"/>
      <c r="AN780" s="1"/>
      <c r="AO780" s="1"/>
      <c r="AP780" s="1"/>
      <c r="AQ780" s="1"/>
    </row>
    <row r="781" spans="1:43" customFormat="1" x14ac:dyDescent="0.3">
      <c r="A781" s="1"/>
      <c r="B781" s="1"/>
      <c r="C781" s="1"/>
      <c r="D781" s="1"/>
      <c r="F781" s="1"/>
      <c r="G781" s="1"/>
      <c r="H781" s="1"/>
      <c r="I781" s="4"/>
      <c r="J781" s="1"/>
      <c r="K781" s="1"/>
      <c r="L781" s="12"/>
      <c r="M781" s="18"/>
      <c r="N781" s="1"/>
      <c r="O781" s="1"/>
      <c r="P781" s="1"/>
      <c r="Q781" s="12"/>
      <c r="R781" s="1"/>
      <c r="S781" s="1"/>
      <c r="T781" s="13"/>
      <c r="U781" s="1"/>
      <c r="V781" s="1"/>
      <c r="W781" s="1"/>
      <c r="AA781" s="14"/>
      <c r="AB781" s="1"/>
      <c r="AC781" s="1"/>
      <c r="AD781" s="1"/>
      <c r="AE781" s="1"/>
      <c r="AF781" s="1"/>
      <c r="AH781" s="1"/>
      <c r="AI781" s="1"/>
      <c r="AK781" s="4"/>
      <c r="AL781" s="1"/>
      <c r="AM781" s="1"/>
      <c r="AN781" s="1"/>
      <c r="AO781" s="1"/>
      <c r="AP781" s="1"/>
      <c r="AQ781" s="1"/>
    </row>
    <row r="782" spans="1:43" customFormat="1" x14ac:dyDescent="0.3">
      <c r="L782" s="10"/>
      <c r="M782" s="17"/>
      <c r="Q782" s="10"/>
      <c r="T782" s="11"/>
      <c r="AA782" s="14"/>
      <c r="AK782" s="4"/>
    </row>
    <row r="783" spans="1:43" customFormat="1" x14ac:dyDescent="0.3">
      <c r="L783" s="10"/>
      <c r="M783" s="17"/>
      <c r="Q783" s="10"/>
      <c r="T783" s="11"/>
      <c r="AA783" s="14"/>
      <c r="AK783" s="4"/>
    </row>
    <row r="784" spans="1:43" x14ac:dyDescent="0.3">
      <c r="I784" s="4"/>
      <c r="L784" s="12"/>
      <c r="M784" s="18"/>
      <c r="Q784" s="12"/>
      <c r="T784" s="13"/>
      <c r="AA784" s="14"/>
      <c r="AK784" s="4"/>
    </row>
    <row r="785" spans="1:43" x14ac:dyDescent="0.3">
      <c r="A785"/>
      <c r="B785"/>
      <c r="C785"/>
      <c r="D785"/>
      <c r="F785"/>
      <c r="G785"/>
      <c r="H785"/>
      <c r="I785"/>
      <c r="J785"/>
      <c r="K785"/>
      <c r="L785" s="10"/>
      <c r="M785" s="17"/>
      <c r="N785"/>
      <c r="O785"/>
      <c r="P785"/>
      <c r="Q785" s="10"/>
      <c r="R785"/>
      <c r="S785"/>
      <c r="T785" s="11"/>
      <c r="U785"/>
      <c r="V785"/>
      <c r="W785"/>
      <c r="AA785" s="14"/>
      <c r="AB785"/>
      <c r="AC785"/>
      <c r="AD785"/>
      <c r="AE785"/>
      <c r="AF785"/>
      <c r="AH785"/>
      <c r="AI785"/>
      <c r="AK785" s="4"/>
      <c r="AL785"/>
      <c r="AM785"/>
      <c r="AN785"/>
      <c r="AO785"/>
      <c r="AP785"/>
      <c r="AQ785"/>
    </row>
    <row r="786" spans="1:43" customFormat="1" x14ac:dyDescent="0.3">
      <c r="L786" s="10"/>
      <c r="M786" s="17"/>
      <c r="Q786" s="10"/>
      <c r="T786" s="11"/>
      <c r="AA786" s="14"/>
      <c r="AK786" s="4"/>
    </row>
    <row r="787" spans="1:43" customFormat="1" x14ac:dyDescent="0.3">
      <c r="L787" s="10"/>
      <c r="M787" s="17"/>
      <c r="Q787" s="10"/>
      <c r="T787" s="11"/>
      <c r="AA787" s="14"/>
      <c r="AK787" s="4"/>
    </row>
    <row r="788" spans="1:43" customFormat="1" x14ac:dyDescent="0.3">
      <c r="L788" s="10"/>
      <c r="M788" s="17"/>
      <c r="Q788" s="10"/>
      <c r="T788" s="11"/>
      <c r="AA788" s="14"/>
      <c r="AK788" s="4"/>
    </row>
    <row r="789" spans="1:43" customFormat="1" x14ac:dyDescent="0.3">
      <c r="L789" s="10"/>
      <c r="M789" s="17"/>
      <c r="Q789" s="10"/>
      <c r="T789" s="11"/>
      <c r="AA789" s="14"/>
      <c r="AK789" s="4"/>
    </row>
    <row r="790" spans="1:43" customFormat="1" x14ac:dyDescent="0.3">
      <c r="L790" s="10"/>
      <c r="M790" s="17"/>
      <c r="Q790" s="10"/>
      <c r="T790" s="11"/>
      <c r="AA790" s="14"/>
      <c r="AK790" s="4"/>
    </row>
    <row r="791" spans="1:43" x14ac:dyDescent="0.3">
      <c r="A791"/>
      <c r="B791"/>
      <c r="C791"/>
      <c r="D791"/>
      <c r="F791"/>
      <c r="G791"/>
      <c r="H791"/>
      <c r="I791"/>
      <c r="J791"/>
      <c r="K791"/>
      <c r="L791" s="10"/>
      <c r="M791" s="17"/>
      <c r="N791"/>
      <c r="O791"/>
      <c r="P791"/>
      <c r="Q791" s="10"/>
      <c r="R791"/>
      <c r="S791"/>
      <c r="T791" s="11"/>
      <c r="U791"/>
      <c r="V791"/>
      <c r="W791"/>
      <c r="AA791" s="14"/>
      <c r="AB791"/>
      <c r="AC791"/>
      <c r="AD791"/>
      <c r="AE791"/>
      <c r="AF791"/>
      <c r="AH791"/>
      <c r="AI791"/>
      <c r="AK791" s="4"/>
      <c r="AL791"/>
      <c r="AM791"/>
      <c r="AN791"/>
      <c r="AO791"/>
      <c r="AP791"/>
      <c r="AQ791"/>
    </row>
    <row r="792" spans="1:43" customFormat="1" x14ac:dyDescent="0.3">
      <c r="L792" s="10"/>
      <c r="M792" s="17"/>
      <c r="Q792" s="10"/>
      <c r="T792" s="11"/>
      <c r="AA792" s="14"/>
      <c r="AK792" s="4"/>
    </row>
    <row r="793" spans="1:43" customFormat="1" x14ac:dyDescent="0.3">
      <c r="L793" s="10"/>
      <c r="M793" s="17"/>
      <c r="Q793" s="10"/>
      <c r="T793" s="11"/>
      <c r="AA793" s="14"/>
      <c r="AK793" s="4"/>
    </row>
    <row r="794" spans="1:43" customFormat="1" x14ac:dyDescent="0.3">
      <c r="L794" s="10"/>
      <c r="M794" s="17"/>
      <c r="Q794" s="10"/>
      <c r="T794" s="11"/>
      <c r="AA794" s="14"/>
      <c r="AK794" s="4"/>
    </row>
    <row r="795" spans="1:43" customFormat="1" x14ac:dyDescent="0.3">
      <c r="L795" s="10"/>
      <c r="M795" s="17"/>
      <c r="Q795" s="10"/>
      <c r="T795" s="11"/>
      <c r="AA795" s="14"/>
      <c r="AK795" s="4"/>
    </row>
    <row r="796" spans="1:43" customFormat="1" x14ac:dyDescent="0.3">
      <c r="A796" s="1"/>
      <c r="B796" s="1"/>
      <c r="C796" s="1"/>
      <c r="D796" s="1"/>
      <c r="F796" s="1"/>
      <c r="G796" s="1"/>
      <c r="H796" s="1"/>
      <c r="I796" s="4"/>
      <c r="J796" s="1"/>
      <c r="K796" s="1"/>
      <c r="L796" s="12"/>
      <c r="M796" s="18"/>
      <c r="N796" s="1"/>
      <c r="O796" s="1"/>
      <c r="P796" s="1"/>
      <c r="Q796" s="12"/>
      <c r="R796" s="1"/>
      <c r="S796" s="1"/>
      <c r="T796" s="13"/>
      <c r="U796" s="1"/>
      <c r="V796" s="1"/>
      <c r="W796" s="1"/>
      <c r="AA796" s="14"/>
      <c r="AB796" s="1"/>
      <c r="AC796" s="1"/>
      <c r="AD796" s="1"/>
      <c r="AE796" s="1"/>
      <c r="AF796" s="1"/>
      <c r="AH796" s="1"/>
      <c r="AI796" s="1"/>
      <c r="AK796" s="4"/>
      <c r="AL796" s="1"/>
      <c r="AM796" s="1"/>
      <c r="AN796" s="1"/>
      <c r="AO796" s="1"/>
      <c r="AP796" s="1"/>
      <c r="AQ796" s="1"/>
    </row>
    <row r="797" spans="1:43" customFormat="1" x14ac:dyDescent="0.3">
      <c r="L797" s="10"/>
      <c r="M797" s="17"/>
      <c r="Q797" s="10"/>
      <c r="T797" s="11"/>
      <c r="AA797" s="14"/>
      <c r="AK797" s="4"/>
    </row>
    <row r="798" spans="1:43" customFormat="1" x14ac:dyDescent="0.3">
      <c r="L798" s="10"/>
      <c r="M798" s="17"/>
      <c r="Q798" s="10"/>
      <c r="T798" s="11"/>
      <c r="AA798" s="14"/>
      <c r="AK798" s="4"/>
    </row>
    <row r="799" spans="1:43" customFormat="1" x14ac:dyDescent="0.3">
      <c r="L799" s="10"/>
      <c r="M799" s="17"/>
      <c r="Q799" s="10"/>
      <c r="T799" s="11"/>
      <c r="AA799" s="14"/>
      <c r="AK799" s="4"/>
    </row>
    <row r="800" spans="1:43" customFormat="1" x14ac:dyDescent="0.3">
      <c r="L800" s="10"/>
      <c r="M800" s="17"/>
      <c r="Q800" s="10"/>
      <c r="T800" s="11"/>
      <c r="AA800" s="14"/>
      <c r="AK800" s="4"/>
    </row>
    <row r="801" spans="1:43" customFormat="1" x14ac:dyDescent="0.3">
      <c r="L801" s="10"/>
      <c r="M801" s="17"/>
      <c r="Q801" s="10"/>
      <c r="T801" s="11"/>
      <c r="AA801" s="14"/>
      <c r="AK801" s="4"/>
    </row>
    <row r="802" spans="1:43" customFormat="1" x14ac:dyDescent="0.3">
      <c r="L802" s="10"/>
      <c r="M802" s="17"/>
      <c r="Q802" s="10"/>
      <c r="T802" s="11"/>
      <c r="AA802" s="14"/>
      <c r="AK802" s="4"/>
    </row>
    <row r="803" spans="1:43" customFormat="1" x14ac:dyDescent="0.3">
      <c r="L803" s="10"/>
      <c r="M803" s="17"/>
      <c r="Q803" s="10"/>
      <c r="T803" s="11"/>
      <c r="AA803" s="14"/>
      <c r="AK803" s="4"/>
    </row>
    <row r="804" spans="1:43" x14ac:dyDescent="0.3">
      <c r="A804"/>
      <c r="B804"/>
      <c r="C804"/>
      <c r="D804"/>
      <c r="F804"/>
      <c r="G804"/>
      <c r="H804"/>
      <c r="I804"/>
      <c r="J804"/>
      <c r="K804"/>
      <c r="L804" s="10"/>
      <c r="M804" s="17"/>
      <c r="N804"/>
      <c r="O804"/>
      <c r="P804"/>
      <c r="Q804" s="10"/>
      <c r="R804"/>
      <c r="S804"/>
      <c r="T804" s="11"/>
      <c r="U804"/>
      <c r="V804"/>
      <c r="W804"/>
      <c r="AA804" s="14"/>
      <c r="AB804"/>
      <c r="AC804"/>
      <c r="AD804"/>
      <c r="AE804"/>
      <c r="AF804"/>
      <c r="AH804"/>
      <c r="AI804"/>
      <c r="AK804" s="4"/>
      <c r="AL804"/>
      <c r="AM804"/>
      <c r="AN804"/>
      <c r="AO804"/>
      <c r="AP804"/>
      <c r="AQ804"/>
    </row>
    <row r="805" spans="1:43" customFormat="1" x14ac:dyDescent="0.3">
      <c r="L805" s="10"/>
      <c r="M805" s="17"/>
      <c r="Q805" s="10"/>
      <c r="T805" s="11"/>
      <c r="AA805" s="14"/>
      <c r="AK805" s="4"/>
    </row>
    <row r="806" spans="1:43" customFormat="1" x14ac:dyDescent="0.3">
      <c r="L806" s="10"/>
      <c r="M806" s="17"/>
      <c r="Q806" s="10"/>
      <c r="T806" s="11"/>
      <c r="AA806" s="14"/>
      <c r="AK806" s="4"/>
    </row>
    <row r="807" spans="1:43" x14ac:dyDescent="0.3">
      <c r="A807"/>
      <c r="B807"/>
      <c r="C807"/>
      <c r="D807"/>
      <c r="F807"/>
      <c r="G807"/>
      <c r="H807"/>
      <c r="I807"/>
      <c r="J807"/>
      <c r="K807"/>
      <c r="L807" s="10"/>
      <c r="M807" s="17"/>
      <c r="N807"/>
      <c r="O807"/>
      <c r="P807"/>
      <c r="Q807" s="10"/>
      <c r="R807"/>
      <c r="S807"/>
      <c r="T807" s="11"/>
      <c r="U807"/>
      <c r="V807"/>
      <c r="W807"/>
      <c r="AA807" s="14"/>
      <c r="AB807"/>
      <c r="AC807"/>
      <c r="AD807"/>
      <c r="AE807"/>
      <c r="AF807"/>
      <c r="AH807"/>
      <c r="AI807"/>
      <c r="AK807" s="4"/>
      <c r="AL807"/>
      <c r="AM807"/>
      <c r="AN807"/>
      <c r="AO807"/>
      <c r="AP807"/>
      <c r="AQ807"/>
    </row>
    <row r="808" spans="1:43" customFormat="1" x14ac:dyDescent="0.3">
      <c r="L808" s="10"/>
      <c r="M808" s="17"/>
      <c r="Q808" s="10"/>
      <c r="T808" s="11"/>
      <c r="AA808" s="14"/>
      <c r="AK808" s="4"/>
    </row>
    <row r="809" spans="1:43" customFormat="1" x14ac:dyDescent="0.3">
      <c r="L809" s="10"/>
      <c r="M809" s="17"/>
      <c r="Q809" s="10"/>
      <c r="T809" s="11"/>
      <c r="AA809" s="14"/>
      <c r="AK809" s="4"/>
    </row>
    <row r="810" spans="1:43" customFormat="1" x14ac:dyDescent="0.3">
      <c r="L810" s="10"/>
      <c r="M810" s="17"/>
      <c r="Q810" s="10"/>
      <c r="T810" s="11"/>
      <c r="AA810" s="14"/>
      <c r="AK810" s="4"/>
    </row>
    <row r="811" spans="1:43" customFormat="1" x14ac:dyDescent="0.3">
      <c r="L811" s="10"/>
      <c r="M811" s="17"/>
      <c r="Q811" s="10"/>
      <c r="T811" s="11"/>
      <c r="AA811" s="14"/>
      <c r="AK811" s="4"/>
    </row>
    <row r="812" spans="1:43" customFormat="1" x14ac:dyDescent="0.3">
      <c r="L812" s="10"/>
      <c r="M812" s="17"/>
      <c r="Q812" s="10"/>
      <c r="T812" s="11"/>
      <c r="AA812" s="14"/>
      <c r="AK812" s="4"/>
    </row>
    <row r="813" spans="1:43" customFormat="1" x14ac:dyDescent="0.3">
      <c r="L813" s="10"/>
      <c r="M813" s="17"/>
      <c r="Q813" s="10"/>
      <c r="T813" s="11"/>
      <c r="AA813" s="14"/>
      <c r="AK813" s="4"/>
    </row>
    <row r="814" spans="1:43" customFormat="1" x14ac:dyDescent="0.3">
      <c r="L814" s="10"/>
      <c r="M814" s="17"/>
      <c r="Q814" s="10"/>
      <c r="T814" s="11"/>
      <c r="AA814" s="14"/>
      <c r="AK814" s="4"/>
    </row>
    <row r="815" spans="1:43" customFormat="1" x14ac:dyDescent="0.3">
      <c r="L815" s="10"/>
      <c r="M815" s="17"/>
      <c r="Q815" s="10"/>
      <c r="T815" s="11"/>
      <c r="AA815" s="14"/>
      <c r="AK815" s="4"/>
    </row>
    <row r="816" spans="1:43" customFormat="1" x14ac:dyDescent="0.3">
      <c r="L816" s="10"/>
      <c r="M816" s="17"/>
      <c r="Q816" s="10"/>
      <c r="T816" s="11"/>
      <c r="AA816" s="14"/>
      <c r="AK816" s="4"/>
    </row>
    <row r="817" spans="1:43" customFormat="1" x14ac:dyDescent="0.3">
      <c r="L817" s="10"/>
      <c r="M817" s="17"/>
      <c r="Q817" s="10"/>
      <c r="T817" s="11"/>
      <c r="AA817" s="14"/>
      <c r="AK817" s="4"/>
    </row>
    <row r="818" spans="1:43" customFormat="1" x14ac:dyDescent="0.3">
      <c r="L818" s="10"/>
      <c r="M818" s="17"/>
      <c r="Q818" s="10"/>
      <c r="T818" s="11"/>
      <c r="AA818" s="14"/>
      <c r="AK818" s="4"/>
    </row>
    <row r="819" spans="1:43" customFormat="1" x14ac:dyDescent="0.3">
      <c r="L819" s="10"/>
      <c r="M819" s="17"/>
      <c r="Q819" s="10"/>
      <c r="T819" s="11"/>
      <c r="AA819" s="14"/>
      <c r="AK819" s="4"/>
    </row>
    <row r="820" spans="1:43" customFormat="1" x14ac:dyDescent="0.3">
      <c r="L820" s="10"/>
      <c r="M820" s="17"/>
      <c r="Q820" s="10"/>
      <c r="T820" s="11"/>
      <c r="AA820" s="14"/>
      <c r="AK820" s="4"/>
    </row>
    <row r="821" spans="1:43" customFormat="1" x14ac:dyDescent="0.3">
      <c r="L821" s="10"/>
      <c r="M821" s="17"/>
      <c r="Q821" s="10"/>
      <c r="T821" s="11"/>
      <c r="AA821" s="14"/>
      <c r="AK821" s="4"/>
    </row>
    <row r="822" spans="1:43" customFormat="1" x14ac:dyDescent="0.3">
      <c r="L822" s="10"/>
      <c r="M822" s="17"/>
      <c r="Q822" s="10"/>
      <c r="T822" s="11"/>
      <c r="AA822" s="14"/>
      <c r="AK822" s="4"/>
    </row>
    <row r="823" spans="1:43" x14ac:dyDescent="0.3">
      <c r="A823"/>
      <c r="B823"/>
      <c r="C823"/>
      <c r="D823"/>
      <c r="F823"/>
      <c r="G823"/>
      <c r="H823"/>
      <c r="I823"/>
      <c r="J823"/>
      <c r="K823"/>
      <c r="L823" s="10"/>
      <c r="M823" s="17"/>
      <c r="N823"/>
      <c r="O823"/>
      <c r="P823"/>
      <c r="Q823" s="10"/>
      <c r="R823"/>
      <c r="S823"/>
      <c r="T823" s="11"/>
      <c r="U823"/>
      <c r="V823"/>
      <c r="W823"/>
      <c r="AA823" s="14"/>
      <c r="AB823"/>
      <c r="AC823"/>
      <c r="AD823"/>
      <c r="AE823"/>
      <c r="AF823"/>
      <c r="AH823"/>
      <c r="AI823"/>
      <c r="AK823" s="4"/>
      <c r="AL823"/>
      <c r="AM823"/>
      <c r="AN823"/>
      <c r="AO823"/>
      <c r="AP823"/>
      <c r="AQ823"/>
    </row>
    <row r="824" spans="1:43" x14ac:dyDescent="0.3">
      <c r="A824"/>
      <c r="B824"/>
      <c r="C824"/>
      <c r="D824"/>
      <c r="F824"/>
      <c r="G824"/>
      <c r="H824"/>
      <c r="I824"/>
      <c r="J824"/>
      <c r="K824"/>
      <c r="L824" s="10"/>
      <c r="M824" s="17"/>
      <c r="N824"/>
      <c r="O824"/>
      <c r="P824"/>
      <c r="Q824" s="10"/>
      <c r="R824"/>
      <c r="S824"/>
      <c r="T824" s="11"/>
      <c r="U824"/>
      <c r="V824"/>
      <c r="W824"/>
      <c r="AA824" s="14"/>
      <c r="AB824"/>
      <c r="AC824"/>
      <c r="AD824"/>
      <c r="AE824"/>
      <c r="AF824"/>
      <c r="AH824"/>
      <c r="AI824"/>
      <c r="AK824" s="4"/>
      <c r="AL824"/>
      <c r="AM824"/>
      <c r="AN824"/>
      <c r="AO824"/>
      <c r="AP824"/>
      <c r="AQ824"/>
    </row>
    <row r="825" spans="1:43" customFormat="1" x14ac:dyDescent="0.3">
      <c r="L825" s="10"/>
      <c r="M825" s="17"/>
      <c r="Q825" s="10"/>
      <c r="T825" s="11"/>
      <c r="AA825" s="14"/>
      <c r="AK825" s="4"/>
    </row>
    <row r="826" spans="1:43" customFormat="1" x14ac:dyDescent="0.3">
      <c r="L826" s="10"/>
      <c r="M826" s="17"/>
      <c r="Q826" s="10"/>
      <c r="T826" s="11"/>
      <c r="AA826" s="14"/>
      <c r="AK826" s="4"/>
    </row>
    <row r="827" spans="1:43" customFormat="1" x14ac:dyDescent="0.3">
      <c r="L827" s="10"/>
      <c r="M827" s="17"/>
      <c r="Q827" s="10"/>
      <c r="T827" s="11"/>
      <c r="AA827" s="14"/>
      <c r="AK827" s="4"/>
    </row>
    <row r="828" spans="1:43" customFormat="1" x14ac:dyDescent="0.3">
      <c r="L828" s="10"/>
      <c r="M828" s="17"/>
      <c r="Q828" s="10"/>
      <c r="T828" s="11"/>
      <c r="AA828" s="14"/>
      <c r="AK828" s="4"/>
    </row>
    <row r="829" spans="1:43" x14ac:dyDescent="0.3">
      <c r="A829"/>
      <c r="B829"/>
      <c r="C829"/>
      <c r="D829"/>
      <c r="F829"/>
      <c r="G829"/>
      <c r="H829"/>
      <c r="I829"/>
      <c r="J829"/>
      <c r="K829"/>
      <c r="L829" s="10"/>
      <c r="M829" s="17"/>
      <c r="N829"/>
      <c r="O829"/>
      <c r="P829"/>
      <c r="Q829" s="10"/>
      <c r="R829"/>
      <c r="S829"/>
      <c r="T829" s="11"/>
      <c r="U829"/>
      <c r="V829"/>
      <c r="W829"/>
      <c r="AA829" s="14"/>
      <c r="AB829"/>
      <c r="AC829"/>
      <c r="AD829"/>
      <c r="AE829"/>
      <c r="AF829"/>
      <c r="AH829"/>
      <c r="AI829"/>
      <c r="AK829" s="4"/>
      <c r="AL829"/>
      <c r="AM829"/>
      <c r="AN829"/>
      <c r="AO829"/>
      <c r="AP829"/>
      <c r="AQ829"/>
    </row>
    <row r="830" spans="1:43" x14ac:dyDescent="0.3">
      <c r="A830"/>
      <c r="B830"/>
      <c r="C830"/>
      <c r="D830"/>
      <c r="F830"/>
      <c r="G830"/>
      <c r="H830"/>
      <c r="I830"/>
      <c r="J830"/>
      <c r="K830"/>
      <c r="L830" s="10"/>
      <c r="M830" s="17"/>
      <c r="N830"/>
      <c r="O830"/>
      <c r="P830"/>
      <c r="Q830" s="10"/>
      <c r="R830"/>
      <c r="S830"/>
      <c r="T830" s="11"/>
      <c r="U830"/>
      <c r="V830"/>
      <c r="W830"/>
      <c r="AA830" s="14"/>
      <c r="AB830"/>
      <c r="AC830"/>
      <c r="AD830"/>
      <c r="AE830"/>
      <c r="AF830"/>
      <c r="AH830"/>
      <c r="AI830"/>
      <c r="AK830" s="4"/>
      <c r="AL830"/>
      <c r="AM830"/>
      <c r="AN830"/>
      <c r="AO830"/>
      <c r="AP830"/>
      <c r="AQ830"/>
    </row>
    <row r="831" spans="1:43" x14ac:dyDescent="0.3">
      <c r="A831"/>
      <c r="B831"/>
      <c r="C831"/>
      <c r="D831"/>
      <c r="F831"/>
      <c r="G831"/>
      <c r="H831"/>
      <c r="I831"/>
      <c r="J831"/>
      <c r="K831"/>
      <c r="L831" s="10"/>
      <c r="M831" s="17"/>
      <c r="N831"/>
      <c r="O831"/>
      <c r="P831"/>
      <c r="Q831" s="10"/>
      <c r="R831"/>
      <c r="S831"/>
      <c r="T831" s="11"/>
      <c r="U831"/>
      <c r="V831"/>
      <c r="W831"/>
      <c r="AA831" s="14"/>
      <c r="AB831"/>
      <c r="AC831"/>
      <c r="AD831"/>
      <c r="AE831"/>
      <c r="AF831"/>
      <c r="AH831"/>
      <c r="AI831"/>
      <c r="AK831" s="4"/>
      <c r="AL831"/>
      <c r="AM831"/>
      <c r="AN831"/>
      <c r="AO831"/>
      <c r="AP831"/>
      <c r="AQ831"/>
    </row>
    <row r="832" spans="1:43" x14ac:dyDescent="0.3">
      <c r="A832"/>
      <c r="B832"/>
      <c r="C832"/>
      <c r="D832"/>
      <c r="F832"/>
      <c r="G832"/>
      <c r="H832"/>
      <c r="I832"/>
      <c r="J832"/>
      <c r="K832"/>
      <c r="L832" s="10"/>
      <c r="M832" s="17"/>
      <c r="N832"/>
      <c r="O832"/>
      <c r="P832"/>
      <c r="Q832" s="10"/>
      <c r="R832"/>
      <c r="S832"/>
      <c r="T832" s="11"/>
      <c r="U832"/>
      <c r="V832"/>
      <c r="W832"/>
      <c r="AA832" s="14"/>
      <c r="AB832"/>
      <c r="AC832"/>
      <c r="AD832"/>
      <c r="AE832"/>
      <c r="AF832"/>
      <c r="AH832"/>
      <c r="AI832"/>
      <c r="AK832" s="4"/>
      <c r="AL832"/>
      <c r="AM832"/>
      <c r="AN832"/>
      <c r="AO832"/>
      <c r="AP832"/>
      <c r="AQ832"/>
    </row>
    <row r="833" spans="1:43" x14ac:dyDescent="0.3">
      <c r="A833"/>
      <c r="B833"/>
      <c r="C833"/>
      <c r="D833"/>
      <c r="F833"/>
      <c r="G833"/>
      <c r="H833"/>
      <c r="I833"/>
      <c r="J833"/>
      <c r="K833"/>
      <c r="L833" s="10"/>
      <c r="M833" s="17"/>
      <c r="N833"/>
      <c r="O833"/>
      <c r="P833"/>
      <c r="Q833" s="10"/>
      <c r="R833"/>
      <c r="S833"/>
      <c r="T833" s="11"/>
      <c r="U833"/>
      <c r="V833"/>
      <c r="W833"/>
      <c r="AA833" s="14"/>
      <c r="AB833"/>
      <c r="AC833"/>
      <c r="AD833"/>
      <c r="AE833"/>
      <c r="AF833"/>
      <c r="AH833"/>
      <c r="AI833"/>
      <c r="AK833" s="4"/>
      <c r="AL833"/>
      <c r="AM833"/>
      <c r="AN833"/>
      <c r="AO833"/>
      <c r="AP833"/>
      <c r="AQ833"/>
    </row>
    <row r="834" spans="1:43" customFormat="1" x14ac:dyDescent="0.3">
      <c r="L834" s="10"/>
      <c r="M834" s="17"/>
      <c r="Q834" s="10"/>
      <c r="T834" s="11"/>
      <c r="AA834" s="14"/>
      <c r="AK834" s="4"/>
    </row>
    <row r="835" spans="1:43" customFormat="1" x14ac:dyDescent="0.3">
      <c r="L835" s="10"/>
      <c r="M835" s="17"/>
      <c r="Q835" s="10"/>
      <c r="T835" s="11"/>
      <c r="AA835" s="14"/>
      <c r="AK835" s="4"/>
    </row>
    <row r="836" spans="1:43" customFormat="1" x14ac:dyDescent="0.3">
      <c r="L836" s="10"/>
      <c r="M836" s="17"/>
      <c r="Q836" s="10"/>
      <c r="T836" s="11"/>
      <c r="AA836" s="14"/>
      <c r="AK836" s="4"/>
    </row>
    <row r="837" spans="1:43" customFormat="1" x14ac:dyDescent="0.3">
      <c r="L837" s="10"/>
      <c r="M837" s="17"/>
      <c r="Q837" s="10"/>
      <c r="T837" s="11"/>
      <c r="AA837" s="14"/>
      <c r="AK837" s="4"/>
    </row>
    <row r="838" spans="1:43" customFormat="1" x14ac:dyDescent="0.3">
      <c r="L838" s="10"/>
      <c r="M838" s="17"/>
      <c r="Q838" s="10"/>
      <c r="T838" s="11"/>
      <c r="AA838" s="14"/>
      <c r="AK838" s="4"/>
    </row>
    <row r="839" spans="1:43" customFormat="1" x14ac:dyDescent="0.3">
      <c r="L839" s="10"/>
      <c r="M839" s="17"/>
      <c r="Q839" s="10"/>
      <c r="T839" s="11"/>
      <c r="AA839" s="14"/>
      <c r="AK839" s="4"/>
    </row>
    <row r="840" spans="1:43" customFormat="1" x14ac:dyDescent="0.3">
      <c r="L840" s="10"/>
      <c r="M840" s="17"/>
      <c r="Q840" s="10"/>
      <c r="T840" s="11"/>
      <c r="AA840" s="14"/>
      <c r="AK840" s="4"/>
    </row>
    <row r="841" spans="1:43" customFormat="1" x14ac:dyDescent="0.3">
      <c r="L841" s="10"/>
      <c r="M841" s="17"/>
      <c r="Q841" s="10"/>
      <c r="T841" s="11"/>
      <c r="AA841" s="14"/>
      <c r="AK841" s="4"/>
    </row>
    <row r="842" spans="1:43" customFormat="1" x14ac:dyDescent="0.3">
      <c r="L842" s="10"/>
      <c r="M842" s="17"/>
      <c r="Q842" s="10"/>
      <c r="T842" s="11"/>
      <c r="AA842" s="14"/>
      <c r="AK842" s="4"/>
    </row>
    <row r="843" spans="1:43" customFormat="1" x14ac:dyDescent="0.3">
      <c r="L843" s="10"/>
      <c r="M843" s="17"/>
      <c r="Q843" s="10"/>
      <c r="T843" s="11"/>
      <c r="AA843" s="14"/>
      <c r="AK843" s="4"/>
    </row>
    <row r="844" spans="1:43" customFormat="1" x14ac:dyDescent="0.3">
      <c r="L844" s="10"/>
      <c r="M844" s="17"/>
      <c r="Q844" s="10"/>
      <c r="T844" s="11"/>
      <c r="AA844" s="14"/>
      <c r="AK844" s="4"/>
    </row>
    <row r="845" spans="1:43" customFormat="1" x14ac:dyDescent="0.3">
      <c r="L845" s="10"/>
      <c r="M845" s="17"/>
      <c r="Q845" s="10"/>
      <c r="T845" s="11"/>
      <c r="AA845" s="14"/>
      <c r="AK845" s="4"/>
    </row>
    <row r="846" spans="1:43" customFormat="1" x14ac:dyDescent="0.3">
      <c r="L846" s="10"/>
      <c r="M846" s="17"/>
      <c r="Q846" s="10"/>
      <c r="T846" s="11"/>
      <c r="AA846" s="14"/>
      <c r="AK846" s="4"/>
    </row>
    <row r="847" spans="1:43" customFormat="1" x14ac:dyDescent="0.3">
      <c r="L847" s="10"/>
      <c r="M847" s="17"/>
      <c r="Q847" s="10"/>
      <c r="T847" s="11"/>
      <c r="AA847" s="14"/>
      <c r="AK847" s="4"/>
    </row>
    <row r="848" spans="1:43" customFormat="1" x14ac:dyDescent="0.3">
      <c r="L848" s="10"/>
      <c r="M848" s="17"/>
      <c r="Q848" s="10"/>
      <c r="T848" s="11"/>
      <c r="AA848" s="14"/>
      <c r="AK848" s="4"/>
    </row>
    <row r="849" spans="1:43" customFormat="1" x14ac:dyDescent="0.3">
      <c r="L849" s="10"/>
      <c r="M849" s="17"/>
      <c r="Q849" s="10"/>
      <c r="T849" s="11"/>
      <c r="AA849" s="14"/>
      <c r="AK849" s="4"/>
    </row>
    <row r="850" spans="1:43" customFormat="1" x14ac:dyDescent="0.3">
      <c r="L850" s="10"/>
      <c r="M850" s="17"/>
      <c r="Q850" s="10"/>
      <c r="T850" s="11"/>
      <c r="AA850" s="14"/>
      <c r="AK850" s="4"/>
    </row>
    <row r="851" spans="1:43" customFormat="1" x14ac:dyDescent="0.3">
      <c r="L851" s="10"/>
      <c r="M851" s="17"/>
      <c r="Q851" s="10"/>
      <c r="T851" s="11"/>
      <c r="AA851" s="14"/>
      <c r="AK851" s="4"/>
    </row>
    <row r="852" spans="1:43" x14ac:dyDescent="0.3">
      <c r="A852"/>
      <c r="B852"/>
      <c r="C852"/>
      <c r="D852"/>
      <c r="F852"/>
      <c r="G852"/>
      <c r="H852"/>
      <c r="I852"/>
      <c r="J852"/>
      <c r="K852"/>
      <c r="L852" s="10"/>
      <c r="M852" s="17"/>
      <c r="N852"/>
      <c r="O852"/>
      <c r="P852"/>
      <c r="Q852" s="10"/>
      <c r="R852"/>
      <c r="S852"/>
      <c r="T852" s="11"/>
      <c r="U852"/>
      <c r="V852"/>
      <c r="W852"/>
      <c r="AA852" s="14"/>
      <c r="AB852"/>
      <c r="AC852"/>
      <c r="AD852"/>
      <c r="AE852"/>
      <c r="AF852"/>
      <c r="AH852"/>
      <c r="AI852"/>
      <c r="AK852" s="4"/>
      <c r="AL852"/>
      <c r="AM852"/>
      <c r="AN852"/>
      <c r="AO852"/>
      <c r="AP852"/>
      <c r="AQ852"/>
    </row>
    <row r="853" spans="1:43" customFormat="1" x14ac:dyDescent="0.3">
      <c r="L853" s="10"/>
      <c r="M853" s="17"/>
      <c r="Q853" s="10"/>
      <c r="T853" s="11"/>
      <c r="AA853" s="14"/>
      <c r="AK853" s="4"/>
    </row>
    <row r="854" spans="1:43" customFormat="1" x14ac:dyDescent="0.3">
      <c r="L854" s="10"/>
      <c r="M854" s="17"/>
      <c r="Q854" s="10"/>
      <c r="T854" s="11"/>
      <c r="AA854" s="14"/>
      <c r="AK854" s="4"/>
    </row>
    <row r="855" spans="1:43" customFormat="1" x14ac:dyDescent="0.3">
      <c r="L855" s="10"/>
      <c r="M855" s="17"/>
      <c r="Q855" s="10"/>
      <c r="T855" s="11"/>
      <c r="AA855" s="14"/>
      <c r="AK855" s="4"/>
    </row>
    <row r="856" spans="1:43" customFormat="1" x14ac:dyDescent="0.3">
      <c r="L856" s="10"/>
      <c r="M856" s="17"/>
      <c r="Q856" s="10"/>
      <c r="T856" s="11"/>
      <c r="AA856" s="14"/>
      <c r="AK856" s="4"/>
    </row>
    <row r="857" spans="1:43" customFormat="1" x14ac:dyDescent="0.3">
      <c r="L857" s="10"/>
      <c r="M857" s="17"/>
      <c r="Q857" s="10"/>
      <c r="T857" s="11"/>
      <c r="AA857" s="14"/>
      <c r="AK857" s="4"/>
    </row>
    <row r="858" spans="1:43" x14ac:dyDescent="0.3">
      <c r="A858"/>
      <c r="B858"/>
      <c r="C858"/>
      <c r="D858"/>
      <c r="F858"/>
      <c r="G858"/>
      <c r="H858"/>
      <c r="I858"/>
      <c r="J858"/>
      <c r="K858"/>
      <c r="L858" s="10"/>
      <c r="M858" s="17"/>
      <c r="N858"/>
      <c r="O858"/>
      <c r="P858"/>
      <c r="Q858" s="10"/>
      <c r="R858"/>
      <c r="S858"/>
      <c r="T858" s="11"/>
      <c r="U858"/>
      <c r="V858"/>
      <c r="W858"/>
      <c r="AA858" s="14"/>
      <c r="AB858"/>
      <c r="AC858"/>
      <c r="AD858"/>
      <c r="AE858"/>
      <c r="AF858"/>
      <c r="AH858"/>
      <c r="AI858"/>
      <c r="AK858" s="4"/>
      <c r="AL858"/>
      <c r="AM858"/>
      <c r="AN858"/>
      <c r="AO858"/>
      <c r="AP858"/>
      <c r="AQ858"/>
    </row>
    <row r="859" spans="1:43" x14ac:dyDescent="0.3">
      <c r="A859"/>
      <c r="B859"/>
      <c r="C859"/>
      <c r="D859"/>
      <c r="F859"/>
      <c r="G859"/>
      <c r="H859"/>
      <c r="I859"/>
      <c r="J859"/>
      <c r="K859"/>
      <c r="L859" s="10"/>
      <c r="M859" s="17"/>
      <c r="N859"/>
      <c r="O859"/>
      <c r="P859"/>
      <c r="Q859" s="10"/>
      <c r="R859"/>
      <c r="S859"/>
      <c r="T859" s="11"/>
      <c r="U859"/>
      <c r="V859"/>
      <c r="W859"/>
      <c r="AA859" s="14"/>
      <c r="AB859"/>
      <c r="AC859"/>
      <c r="AD859"/>
      <c r="AE859"/>
      <c r="AF859"/>
      <c r="AH859"/>
      <c r="AI859"/>
      <c r="AK859" s="4"/>
      <c r="AL859"/>
      <c r="AM859"/>
      <c r="AN859"/>
      <c r="AO859"/>
      <c r="AP859"/>
      <c r="AQ859"/>
    </row>
    <row r="860" spans="1:43" customFormat="1" x14ac:dyDescent="0.3">
      <c r="L860" s="10"/>
      <c r="M860" s="17"/>
      <c r="Q860" s="10"/>
      <c r="T860" s="11"/>
      <c r="AA860" s="14"/>
      <c r="AK860" s="4"/>
    </row>
    <row r="861" spans="1:43" customFormat="1" x14ac:dyDescent="0.3">
      <c r="L861" s="10"/>
      <c r="M861" s="17"/>
      <c r="Q861" s="10"/>
      <c r="T861" s="11"/>
      <c r="AA861" s="14"/>
      <c r="AK861" s="4"/>
    </row>
    <row r="862" spans="1:43" customFormat="1" x14ac:dyDescent="0.3">
      <c r="L862" s="10"/>
      <c r="M862" s="17"/>
      <c r="Q862" s="10"/>
      <c r="T862" s="11"/>
      <c r="AA862" s="14"/>
      <c r="AK862" s="4"/>
    </row>
    <row r="863" spans="1:43" x14ac:dyDescent="0.3">
      <c r="A863"/>
      <c r="B863"/>
      <c r="C863"/>
      <c r="D863"/>
      <c r="F863"/>
      <c r="G863"/>
      <c r="H863"/>
      <c r="I863"/>
      <c r="J863"/>
      <c r="K863"/>
      <c r="L863" s="10"/>
      <c r="M863" s="17"/>
      <c r="N863"/>
      <c r="O863"/>
      <c r="P863"/>
      <c r="Q863" s="10"/>
      <c r="R863"/>
      <c r="S863"/>
      <c r="T863" s="11"/>
      <c r="U863"/>
      <c r="V863"/>
      <c r="W863"/>
      <c r="AA863" s="14"/>
      <c r="AB863"/>
      <c r="AC863"/>
      <c r="AD863"/>
      <c r="AE863"/>
      <c r="AF863"/>
      <c r="AH863"/>
      <c r="AI863"/>
      <c r="AK863" s="4"/>
      <c r="AL863"/>
      <c r="AM863"/>
      <c r="AN863"/>
      <c r="AO863"/>
      <c r="AP863"/>
      <c r="AQ863"/>
    </row>
    <row r="864" spans="1:43" customFormat="1" x14ac:dyDescent="0.3">
      <c r="M864" s="14"/>
      <c r="Q864" s="10"/>
      <c r="T864" s="11"/>
      <c r="AA864" s="14"/>
      <c r="AK864" s="4"/>
    </row>
    <row r="865" spans="1:43" customFormat="1" x14ac:dyDescent="0.3">
      <c r="A865" s="1"/>
      <c r="B865" s="1"/>
      <c r="C865" s="1"/>
      <c r="D865" s="1"/>
      <c r="F865" s="1"/>
      <c r="G865" s="1"/>
      <c r="H865" s="1"/>
      <c r="I865" s="4"/>
      <c r="J865" s="1"/>
      <c r="K865" s="1"/>
      <c r="L865" s="1"/>
      <c r="M865" s="4"/>
      <c r="N865" s="1"/>
      <c r="O865" s="1"/>
      <c r="P865" s="1"/>
      <c r="Q865" s="12"/>
      <c r="R865" s="1"/>
      <c r="S865" s="1"/>
      <c r="T865" s="13"/>
      <c r="U865" s="1"/>
      <c r="V865" s="1"/>
      <c r="W865" s="1"/>
      <c r="AA865" s="14"/>
      <c r="AB865" s="1"/>
      <c r="AC865" s="1"/>
      <c r="AD865" s="1"/>
      <c r="AE865" s="1"/>
      <c r="AF865" s="1"/>
      <c r="AH865" s="1"/>
      <c r="AI865" s="1"/>
      <c r="AK865" s="4"/>
      <c r="AL865" s="1"/>
      <c r="AM865" s="1"/>
      <c r="AN865" s="1"/>
      <c r="AO865" s="1"/>
      <c r="AP865" s="1"/>
      <c r="AQ865" s="1"/>
    </row>
    <row r="866" spans="1:43" customFormat="1" x14ac:dyDescent="0.3">
      <c r="M866" s="14"/>
      <c r="Q866" s="10"/>
      <c r="T866" s="11"/>
      <c r="AA866" s="14"/>
      <c r="AK866" s="4"/>
    </row>
    <row r="867" spans="1:43" customFormat="1" x14ac:dyDescent="0.3">
      <c r="M867" s="14"/>
      <c r="Q867" s="10"/>
      <c r="T867" s="11"/>
      <c r="AA867" s="14"/>
      <c r="AK867" s="4"/>
    </row>
    <row r="868" spans="1:43" customFormat="1" x14ac:dyDescent="0.3">
      <c r="M868" s="14"/>
      <c r="Q868" s="10"/>
      <c r="T868" s="11"/>
      <c r="AA868" s="14"/>
      <c r="AK868" s="4"/>
    </row>
    <row r="869" spans="1:43" customFormat="1" x14ac:dyDescent="0.3">
      <c r="M869" s="14"/>
      <c r="Q869" s="10"/>
      <c r="T869" s="11"/>
      <c r="AA869" s="14"/>
      <c r="AK869" s="4"/>
    </row>
    <row r="870" spans="1:43" x14ac:dyDescent="0.3">
      <c r="A870"/>
      <c r="B870"/>
      <c r="C870"/>
      <c r="D870"/>
      <c r="F870"/>
      <c r="G870"/>
      <c r="H870"/>
      <c r="I870"/>
      <c r="J870"/>
      <c r="K870"/>
      <c r="L870"/>
      <c r="M870" s="14"/>
      <c r="N870"/>
      <c r="O870"/>
      <c r="P870"/>
      <c r="Q870" s="10"/>
      <c r="R870"/>
      <c r="S870"/>
      <c r="T870" s="11"/>
      <c r="U870"/>
      <c r="V870"/>
      <c r="W870"/>
      <c r="AA870" s="14"/>
      <c r="AB870"/>
      <c r="AC870"/>
      <c r="AD870"/>
      <c r="AE870"/>
      <c r="AF870"/>
      <c r="AH870"/>
      <c r="AI870"/>
      <c r="AK870" s="4"/>
      <c r="AL870"/>
      <c r="AM870"/>
      <c r="AN870"/>
      <c r="AO870"/>
      <c r="AP870"/>
      <c r="AQ870"/>
    </row>
    <row r="871" spans="1:43" x14ac:dyDescent="0.3">
      <c r="A871"/>
      <c r="B871"/>
      <c r="C871"/>
      <c r="D871"/>
      <c r="F871"/>
      <c r="G871"/>
      <c r="H871"/>
      <c r="I871"/>
      <c r="J871"/>
      <c r="K871"/>
      <c r="L871"/>
      <c r="M871" s="14"/>
      <c r="N871"/>
      <c r="O871"/>
      <c r="P871"/>
      <c r="Q871" s="10"/>
      <c r="R871"/>
      <c r="S871"/>
      <c r="T871" s="11"/>
      <c r="U871"/>
      <c r="V871"/>
      <c r="W871"/>
      <c r="AA871" s="14"/>
      <c r="AB871"/>
      <c r="AC871"/>
      <c r="AD871"/>
      <c r="AE871"/>
      <c r="AF871"/>
      <c r="AH871"/>
      <c r="AI871"/>
      <c r="AK871" s="4"/>
      <c r="AL871"/>
      <c r="AM871"/>
      <c r="AN871"/>
      <c r="AO871"/>
      <c r="AP871"/>
      <c r="AQ871"/>
    </row>
    <row r="872" spans="1:43" x14ac:dyDescent="0.3">
      <c r="A872"/>
      <c r="B872"/>
      <c r="C872"/>
      <c r="D872"/>
      <c r="F872"/>
      <c r="G872"/>
      <c r="H872"/>
      <c r="I872"/>
      <c r="J872"/>
      <c r="K872"/>
      <c r="L872"/>
      <c r="M872" s="14"/>
      <c r="N872"/>
      <c r="O872"/>
      <c r="P872"/>
      <c r="Q872" s="10"/>
      <c r="R872"/>
      <c r="S872"/>
      <c r="T872" s="11"/>
      <c r="U872"/>
      <c r="V872"/>
      <c r="W872"/>
      <c r="AA872" s="14"/>
      <c r="AB872"/>
      <c r="AC872"/>
      <c r="AD872"/>
      <c r="AE872"/>
      <c r="AF872"/>
      <c r="AH872"/>
      <c r="AI872"/>
      <c r="AK872" s="4"/>
      <c r="AL872"/>
      <c r="AM872"/>
      <c r="AN872"/>
      <c r="AO872"/>
      <c r="AP872"/>
      <c r="AQ872"/>
    </row>
    <row r="873" spans="1:43" x14ac:dyDescent="0.3">
      <c r="A873"/>
      <c r="B873"/>
      <c r="C873"/>
      <c r="D873"/>
      <c r="F873"/>
      <c r="G873"/>
      <c r="H873"/>
      <c r="I873"/>
      <c r="J873"/>
      <c r="K873"/>
      <c r="L873"/>
      <c r="M873" s="14"/>
      <c r="N873"/>
      <c r="O873"/>
      <c r="P873"/>
      <c r="Q873" s="10"/>
      <c r="R873"/>
      <c r="S873"/>
      <c r="T873" s="11"/>
      <c r="U873"/>
      <c r="V873"/>
      <c r="W873"/>
      <c r="AA873" s="14"/>
      <c r="AB873"/>
      <c r="AC873"/>
      <c r="AD873"/>
      <c r="AE873"/>
      <c r="AF873"/>
      <c r="AH873"/>
      <c r="AI873"/>
      <c r="AK873" s="4"/>
      <c r="AL873"/>
      <c r="AM873"/>
      <c r="AN873"/>
      <c r="AO873"/>
      <c r="AP873"/>
      <c r="AQ873"/>
    </row>
    <row r="874" spans="1:43" x14ac:dyDescent="0.3">
      <c r="A874"/>
      <c r="B874"/>
      <c r="C874"/>
      <c r="D874"/>
      <c r="F874"/>
      <c r="G874"/>
      <c r="H874"/>
      <c r="I874"/>
      <c r="J874"/>
      <c r="K874"/>
      <c r="L874"/>
      <c r="M874" s="14"/>
      <c r="N874"/>
      <c r="O874"/>
      <c r="P874"/>
      <c r="Q874" s="10"/>
      <c r="R874"/>
      <c r="S874"/>
      <c r="T874" s="11"/>
      <c r="U874"/>
      <c r="V874"/>
      <c r="W874"/>
      <c r="AA874" s="14"/>
      <c r="AB874"/>
      <c r="AC874"/>
      <c r="AD874"/>
      <c r="AE874"/>
      <c r="AF874"/>
      <c r="AH874"/>
      <c r="AI874"/>
      <c r="AK874" s="4"/>
      <c r="AL874"/>
      <c r="AM874"/>
      <c r="AN874"/>
      <c r="AO874"/>
      <c r="AP874"/>
      <c r="AQ874"/>
    </row>
    <row r="875" spans="1:43" x14ac:dyDescent="0.3">
      <c r="A875"/>
      <c r="B875"/>
      <c r="C875"/>
      <c r="D875"/>
      <c r="F875"/>
      <c r="G875"/>
      <c r="H875"/>
      <c r="I875"/>
      <c r="J875"/>
      <c r="K875"/>
      <c r="L875"/>
      <c r="M875" s="14"/>
      <c r="N875"/>
      <c r="O875"/>
      <c r="P875"/>
      <c r="Q875" s="10"/>
      <c r="R875"/>
      <c r="S875"/>
      <c r="T875" s="11"/>
      <c r="U875"/>
      <c r="V875"/>
      <c r="W875"/>
      <c r="AA875" s="14"/>
      <c r="AB875"/>
      <c r="AC875"/>
      <c r="AD875"/>
      <c r="AE875"/>
      <c r="AF875"/>
      <c r="AH875"/>
      <c r="AI875"/>
      <c r="AK875" s="4"/>
      <c r="AL875"/>
      <c r="AM875"/>
      <c r="AN875"/>
      <c r="AO875"/>
      <c r="AP875"/>
      <c r="AQ875"/>
    </row>
    <row r="876" spans="1:43" x14ac:dyDescent="0.3">
      <c r="A876"/>
      <c r="B876"/>
      <c r="C876"/>
      <c r="D876"/>
      <c r="F876"/>
      <c r="G876"/>
      <c r="H876"/>
      <c r="I876"/>
      <c r="J876"/>
      <c r="K876"/>
      <c r="L876"/>
      <c r="M876" s="14"/>
      <c r="N876"/>
      <c r="O876"/>
      <c r="P876"/>
      <c r="Q876" s="10"/>
      <c r="R876"/>
      <c r="S876"/>
      <c r="T876" s="11"/>
      <c r="U876"/>
      <c r="V876"/>
      <c r="W876"/>
      <c r="AA876" s="14"/>
      <c r="AB876"/>
      <c r="AC876"/>
      <c r="AD876"/>
      <c r="AE876"/>
      <c r="AF876"/>
      <c r="AH876"/>
      <c r="AI876"/>
      <c r="AK876" s="4"/>
      <c r="AL876"/>
      <c r="AM876"/>
      <c r="AN876"/>
      <c r="AO876"/>
      <c r="AP876"/>
      <c r="AQ876"/>
    </row>
    <row r="877" spans="1:43" customFormat="1" x14ac:dyDescent="0.3">
      <c r="M877" s="14"/>
      <c r="Q877" s="10"/>
      <c r="T877" s="11"/>
      <c r="AA877" s="14"/>
      <c r="AK877" s="4"/>
    </row>
    <row r="878" spans="1:43" customFormat="1" x14ac:dyDescent="0.3">
      <c r="M878" s="14"/>
      <c r="Q878" s="10"/>
      <c r="T878" s="11"/>
      <c r="AA878" s="14"/>
      <c r="AK878" s="4"/>
    </row>
    <row r="879" spans="1:43" customFormat="1" x14ac:dyDescent="0.3">
      <c r="M879" s="14"/>
      <c r="Q879" s="10"/>
      <c r="T879" s="11"/>
      <c r="AA879" s="14"/>
      <c r="AK879" s="4"/>
    </row>
    <row r="880" spans="1:43" customFormat="1" x14ac:dyDescent="0.3">
      <c r="M880" s="14"/>
      <c r="Q880" s="10"/>
      <c r="T880" s="11"/>
      <c r="AA880" s="14"/>
      <c r="AK880" s="4"/>
    </row>
    <row r="881" spans="1:43" customFormat="1" x14ac:dyDescent="0.3">
      <c r="M881" s="14"/>
      <c r="Q881" s="10"/>
      <c r="T881" s="11"/>
      <c r="AA881" s="14"/>
      <c r="AK881" s="4"/>
    </row>
    <row r="882" spans="1:43" customFormat="1" x14ac:dyDescent="0.3">
      <c r="M882" s="14"/>
      <c r="Q882" s="10"/>
      <c r="T882" s="11"/>
      <c r="AA882" s="14"/>
      <c r="AK882" s="4"/>
    </row>
    <row r="883" spans="1:43" customFormat="1" x14ac:dyDescent="0.3">
      <c r="M883" s="14"/>
      <c r="Q883" s="10"/>
      <c r="T883" s="11"/>
      <c r="AA883" s="14"/>
      <c r="AK883" s="4"/>
    </row>
    <row r="884" spans="1:43" customFormat="1" x14ac:dyDescent="0.3">
      <c r="M884" s="14"/>
      <c r="Q884" s="10"/>
      <c r="T884" s="11"/>
      <c r="AA884" s="14"/>
      <c r="AK884" s="4"/>
    </row>
    <row r="885" spans="1:43" customFormat="1" x14ac:dyDescent="0.3">
      <c r="M885" s="14"/>
      <c r="Q885" s="10"/>
      <c r="T885" s="11"/>
      <c r="AA885" s="14"/>
      <c r="AK885" s="4"/>
    </row>
    <row r="886" spans="1:43" customFormat="1" x14ac:dyDescent="0.3">
      <c r="M886" s="14"/>
      <c r="Q886" s="10"/>
      <c r="T886" s="11"/>
      <c r="AA886" s="14"/>
      <c r="AK886" s="4"/>
    </row>
    <row r="887" spans="1:43" customFormat="1" x14ac:dyDescent="0.3">
      <c r="M887" s="14"/>
      <c r="Q887" s="10"/>
      <c r="T887" s="11"/>
      <c r="AA887" s="14"/>
      <c r="AK887" s="4"/>
    </row>
    <row r="888" spans="1:43" x14ac:dyDescent="0.3">
      <c r="A888"/>
      <c r="B888"/>
      <c r="C888"/>
      <c r="D888"/>
      <c r="F888"/>
      <c r="G888"/>
      <c r="H888"/>
      <c r="I888"/>
      <c r="J888"/>
      <c r="K888"/>
      <c r="L888"/>
      <c r="M888" s="14"/>
      <c r="N888"/>
      <c r="O888"/>
      <c r="P888"/>
      <c r="Q888" s="10"/>
      <c r="R888"/>
      <c r="S888"/>
      <c r="T888" s="11"/>
      <c r="U888"/>
      <c r="V888"/>
      <c r="W888"/>
      <c r="AA888" s="14"/>
      <c r="AB888"/>
      <c r="AC888"/>
      <c r="AD888"/>
      <c r="AE888"/>
      <c r="AF888"/>
      <c r="AH888"/>
      <c r="AI888"/>
      <c r="AK888" s="4"/>
      <c r="AL888"/>
      <c r="AM888"/>
      <c r="AN888"/>
      <c r="AO888"/>
      <c r="AP888"/>
      <c r="AQ888"/>
    </row>
    <row r="889" spans="1:43" x14ac:dyDescent="0.3">
      <c r="A889"/>
      <c r="B889"/>
      <c r="C889"/>
      <c r="D889"/>
      <c r="F889"/>
      <c r="G889"/>
      <c r="H889"/>
      <c r="I889"/>
      <c r="J889"/>
      <c r="K889"/>
      <c r="L889"/>
      <c r="M889" s="14"/>
      <c r="N889"/>
      <c r="O889"/>
      <c r="P889"/>
      <c r="Q889" s="10"/>
      <c r="R889"/>
      <c r="S889"/>
      <c r="T889" s="11"/>
      <c r="U889"/>
      <c r="V889"/>
      <c r="W889"/>
      <c r="AA889" s="14"/>
      <c r="AB889"/>
      <c r="AC889"/>
      <c r="AD889"/>
      <c r="AE889"/>
      <c r="AF889"/>
      <c r="AH889"/>
      <c r="AI889"/>
      <c r="AK889" s="4"/>
      <c r="AL889"/>
      <c r="AM889"/>
      <c r="AN889"/>
      <c r="AO889"/>
      <c r="AP889"/>
      <c r="AQ889"/>
    </row>
    <row r="890" spans="1:43" x14ac:dyDescent="0.3">
      <c r="A890"/>
      <c r="B890"/>
      <c r="C890"/>
      <c r="D890"/>
      <c r="F890"/>
      <c r="G890"/>
      <c r="H890"/>
      <c r="I890"/>
      <c r="J890"/>
      <c r="K890"/>
      <c r="L890"/>
      <c r="M890" s="14"/>
      <c r="N890"/>
      <c r="O890"/>
      <c r="P890"/>
      <c r="Q890" s="10"/>
      <c r="R890"/>
      <c r="S890"/>
      <c r="T890" s="11"/>
      <c r="U890"/>
      <c r="V890"/>
      <c r="W890"/>
      <c r="AA890" s="14"/>
      <c r="AB890"/>
      <c r="AC890"/>
      <c r="AD890"/>
      <c r="AE890"/>
      <c r="AF890"/>
      <c r="AH890"/>
      <c r="AI890"/>
      <c r="AK890" s="4"/>
      <c r="AL890"/>
      <c r="AM890"/>
      <c r="AN890"/>
      <c r="AO890"/>
      <c r="AP890"/>
      <c r="AQ890"/>
    </row>
    <row r="891" spans="1:43" x14ac:dyDescent="0.3">
      <c r="A891"/>
      <c r="B891"/>
      <c r="C891"/>
      <c r="D891"/>
      <c r="F891"/>
      <c r="G891"/>
      <c r="H891"/>
      <c r="I891"/>
      <c r="J891"/>
      <c r="K891"/>
      <c r="L891"/>
      <c r="M891" s="14"/>
      <c r="N891"/>
      <c r="O891"/>
      <c r="P891"/>
      <c r="Q891" s="10"/>
      <c r="R891"/>
      <c r="S891"/>
      <c r="T891" s="11"/>
      <c r="U891"/>
      <c r="V891"/>
      <c r="W891"/>
      <c r="AA891" s="14"/>
      <c r="AB891"/>
      <c r="AC891"/>
      <c r="AD891"/>
      <c r="AE891"/>
      <c r="AF891"/>
      <c r="AH891"/>
      <c r="AI891"/>
      <c r="AK891" s="4"/>
      <c r="AL891"/>
      <c r="AM891"/>
      <c r="AN891"/>
      <c r="AO891"/>
      <c r="AP891"/>
      <c r="AQ891"/>
    </row>
    <row r="892" spans="1:43" customFormat="1" x14ac:dyDescent="0.3">
      <c r="M892" s="14"/>
      <c r="Q892" s="10"/>
      <c r="T892" s="11"/>
      <c r="AA892" s="14"/>
      <c r="AK892" s="4"/>
    </row>
    <row r="893" spans="1:43" customFormat="1" x14ac:dyDescent="0.3">
      <c r="M893" s="14"/>
      <c r="Q893" s="10"/>
      <c r="T893" s="11"/>
      <c r="AA893" s="14"/>
      <c r="AK893" s="4"/>
    </row>
    <row r="894" spans="1:43" customFormat="1" x14ac:dyDescent="0.3">
      <c r="A894" s="1"/>
      <c r="B894" s="1"/>
      <c r="C894" s="1"/>
      <c r="D894" s="1"/>
      <c r="F894" s="1"/>
      <c r="G894" s="1"/>
      <c r="H894" s="1"/>
      <c r="I894" s="4"/>
      <c r="J894" s="1"/>
      <c r="K894" s="1"/>
      <c r="L894" s="12"/>
      <c r="M894" s="18"/>
      <c r="N894" s="1"/>
      <c r="O894" s="1"/>
      <c r="P894" s="1"/>
      <c r="Q894" s="12"/>
      <c r="R894" s="1"/>
      <c r="S894" s="1"/>
      <c r="T894" s="13"/>
      <c r="U894" s="1"/>
      <c r="V894" s="1"/>
      <c r="W894" s="1"/>
      <c r="AA894" s="14"/>
      <c r="AB894" s="1"/>
      <c r="AC894" s="1"/>
      <c r="AD894" s="1"/>
      <c r="AE894" s="1"/>
      <c r="AF894" s="1"/>
      <c r="AH894" s="1"/>
      <c r="AI894" s="1"/>
      <c r="AK894" s="4"/>
      <c r="AL894" s="1"/>
      <c r="AM894" s="1"/>
      <c r="AN894" s="1"/>
      <c r="AO894" s="1"/>
      <c r="AP894" s="1"/>
      <c r="AQ894" s="1"/>
    </row>
    <row r="895" spans="1:43" customFormat="1" x14ac:dyDescent="0.3">
      <c r="A895" s="1"/>
      <c r="B895" s="1"/>
      <c r="C895" s="1"/>
      <c r="D895" s="1"/>
      <c r="F895" s="1"/>
      <c r="G895" s="1"/>
      <c r="H895" s="1"/>
      <c r="I895" s="4"/>
      <c r="J895" s="1"/>
      <c r="K895" s="1"/>
      <c r="L895" s="1"/>
      <c r="M895" s="4"/>
      <c r="N895" s="1"/>
      <c r="O895" s="1"/>
      <c r="P895" s="1"/>
      <c r="Q895" s="12"/>
      <c r="R895" s="1"/>
      <c r="S895" s="1"/>
      <c r="T895" s="13"/>
      <c r="U895" s="1"/>
      <c r="V895" s="1"/>
      <c r="W895" s="1"/>
      <c r="AA895" s="14"/>
      <c r="AB895" s="1"/>
      <c r="AC895" s="1"/>
      <c r="AD895" s="1"/>
      <c r="AE895" s="1"/>
      <c r="AF895" s="1"/>
      <c r="AH895" s="1"/>
      <c r="AI895" s="1"/>
      <c r="AK895" s="4"/>
      <c r="AL895" s="1"/>
      <c r="AM895" s="1"/>
      <c r="AN895" s="1"/>
      <c r="AO895" s="1"/>
      <c r="AP895" s="1"/>
      <c r="AQ895" s="1"/>
    </row>
    <row r="896" spans="1:43" customFormat="1" x14ac:dyDescent="0.3">
      <c r="A896" s="1"/>
      <c r="B896" s="1"/>
      <c r="C896" s="1"/>
      <c r="D896" s="1"/>
      <c r="F896" s="1"/>
      <c r="G896" s="1"/>
      <c r="H896" s="1"/>
      <c r="I896" s="4"/>
      <c r="J896" s="1"/>
      <c r="K896" s="1"/>
      <c r="L896" s="12"/>
      <c r="M896" s="18"/>
      <c r="N896" s="1"/>
      <c r="O896" s="1"/>
      <c r="P896" s="1"/>
      <c r="Q896" s="12"/>
      <c r="R896" s="1"/>
      <c r="S896" s="1"/>
      <c r="T896" s="13"/>
      <c r="U896" s="1"/>
      <c r="V896" s="1"/>
      <c r="W896" s="1"/>
      <c r="AA896" s="14"/>
      <c r="AB896" s="1"/>
      <c r="AC896" s="1"/>
      <c r="AD896" s="1"/>
      <c r="AE896" s="1"/>
      <c r="AF896" s="1"/>
      <c r="AH896" s="1"/>
      <c r="AI896" s="1"/>
      <c r="AK896" s="4"/>
      <c r="AL896" s="1"/>
      <c r="AM896" s="1"/>
      <c r="AN896" s="1"/>
      <c r="AO896" s="1"/>
      <c r="AP896" s="1"/>
      <c r="AQ896" s="1"/>
    </row>
    <row r="897" spans="1:43" x14ac:dyDescent="0.3">
      <c r="A897"/>
      <c r="B897"/>
      <c r="C897"/>
      <c r="D897"/>
      <c r="F897"/>
      <c r="G897"/>
      <c r="H897"/>
      <c r="I897"/>
      <c r="J897"/>
      <c r="K897"/>
      <c r="L897"/>
      <c r="M897" s="14"/>
      <c r="N897"/>
      <c r="O897"/>
      <c r="P897"/>
      <c r="Q897" s="10"/>
      <c r="R897"/>
      <c r="S897"/>
      <c r="T897" s="11"/>
      <c r="U897"/>
      <c r="V897"/>
      <c r="W897"/>
      <c r="AA897" s="14"/>
      <c r="AB897"/>
      <c r="AC897"/>
      <c r="AD897"/>
      <c r="AE897"/>
      <c r="AF897"/>
      <c r="AH897"/>
      <c r="AI897"/>
      <c r="AK897" s="4"/>
      <c r="AL897"/>
      <c r="AM897"/>
      <c r="AN897"/>
      <c r="AO897"/>
      <c r="AP897"/>
      <c r="AQ897"/>
    </row>
    <row r="898" spans="1:43" x14ac:dyDescent="0.3">
      <c r="A898"/>
      <c r="B898"/>
      <c r="C898"/>
      <c r="D898"/>
      <c r="F898"/>
      <c r="G898"/>
      <c r="H898"/>
      <c r="I898"/>
      <c r="J898"/>
      <c r="K898"/>
      <c r="L898"/>
      <c r="M898" s="14"/>
      <c r="N898"/>
      <c r="O898"/>
      <c r="P898"/>
      <c r="Q898" s="10"/>
      <c r="R898"/>
      <c r="S898"/>
      <c r="T898" s="11"/>
      <c r="U898"/>
      <c r="V898"/>
      <c r="W898"/>
      <c r="AA898" s="14"/>
      <c r="AB898"/>
      <c r="AC898"/>
      <c r="AD898"/>
      <c r="AE898"/>
      <c r="AF898"/>
      <c r="AH898"/>
      <c r="AI898"/>
      <c r="AK898" s="4"/>
      <c r="AL898"/>
      <c r="AM898"/>
      <c r="AN898"/>
      <c r="AO898"/>
      <c r="AP898"/>
      <c r="AQ898"/>
    </row>
    <row r="899" spans="1:43" x14ac:dyDescent="0.3">
      <c r="A899"/>
      <c r="B899"/>
      <c r="C899"/>
      <c r="D899"/>
      <c r="F899"/>
      <c r="G899"/>
      <c r="H899"/>
      <c r="I899"/>
      <c r="J899"/>
      <c r="K899"/>
      <c r="L899"/>
      <c r="M899" s="14"/>
      <c r="N899"/>
      <c r="O899"/>
      <c r="P899"/>
      <c r="Q899" s="10"/>
      <c r="R899"/>
      <c r="S899"/>
      <c r="T899" s="11"/>
      <c r="U899"/>
      <c r="V899"/>
      <c r="W899"/>
      <c r="AA899" s="14"/>
      <c r="AB899"/>
      <c r="AC899"/>
      <c r="AD899"/>
      <c r="AE899"/>
      <c r="AF899"/>
      <c r="AH899"/>
      <c r="AI899"/>
      <c r="AK899" s="4"/>
      <c r="AL899"/>
      <c r="AM899"/>
      <c r="AN899"/>
      <c r="AO899"/>
      <c r="AP899"/>
      <c r="AQ899"/>
    </row>
    <row r="900" spans="1:43" x14ac:dyDescent="0.3">
      <c r="A900"/>
      <c r="B900"/>
      <c r="C900"/>
      <c r="D900"/>
      <c r="F900"/>
      <c r="G900"/>
      <c r="H900"/>
      <c r="I900"/>
      <c r="J900"/>
      <c r="K900"/>
      <c r="L900"/>
      <c r="M900" s="14"/>
      <c r="N900"/>
      <c r="O900"/>
      <c r="P900"/>
      <c r="Q900" s="10"/>
      <c r="R900"/>
      <c r="S900"/>
      <c r="T900" s="11"/>
      <c r="U900"/>
      <c r="V900"/>
      <c r="W900"/>
      <c r="AA900" s="14"/>
      <c r="AB900"/>
      <c r="AC900"/>
      <c r="AD900"/>
      <c r="AE900"/>
      <c r="AF900"/>
      <c r="AH900"/>
      <c r="AI900"/>
      <c r="AK900" s="4"/>
      <c r="AL900"/>
      <c r="AM900"/>
      <c r="AN900"/>
      <c r="AO900"/>
      <c r="AP900"/>
      <c r="AQ900"/>
    </row>
    <row r="901" spans="1:43" x14ac:dyDescent="0.3">
      <c r="A901"/>
      <c r="B901"/>
      <c r="C901"/>
      <c r="D901"/>
      <c r="F901"/>
      <c r="G901"/>
      <c r="H901"/>
      <c r="I901"/>
      <c r="J901"/>
      <c r="K901"/>
      <c r="L901"/>
      <c r="M901" s="14"/>
      <c r="N901"/>
      <c r="O901"/>
      <c r="P901"/>
      <c r="Q901" s="10"/>
      <c r="R901"/>
      <c r="S901"/>
      <c r="T901" s="11"/>
      <c r="U901"/>
      <c r="V901"/>
      <c r="W901"/>
      <c r="AA901" s="14"/>
      <c r="AB901"/>
      <c r="AC901"/>
      <c r="AD901"/>
      <c r="AE901"/>
      <c r="AF901"/>
      <c r="AH901"/>
      <c r="AI901"/>
      <c r="AK901" s="4"/>
      <c r="AL901"/>
      <c r="AM901"/>
      <c r="AN901"/>
      <c r="AO901"/>
      <c r="AP901"/>
      <c r="AQ901"/>
    </row>
    <row r="902" spans="1:43" x14ac:dyDescent="0.3">
      <c r="A902"/>
      <c r="B902"/>
      <c r="C902"/>
      <c r="D902"/>
      <c r="F902"/>
      <c r="G902"/>
      <c r="H902"/>
      <c r="I902"/>
      <c r="J902"/>
      <c r="K902"/>
      <c r="L902"/>
      <c r="M902" s="14"/>
      <c r="N902"/>
      <c r="O902"/>
      <c r="P902"/>
      <c r="Q902" s="10"/>
      <c r="R902"/>
      <c r="S902"/>
      <c r="T902" s="11"/>
      <c r="U902"/>
      <c r="V902"/>
      <c r="W902"/>
      <c r="AA902" s="14"/>
      <c r="AB902"/>
      <c r="AC902"/>
      <c r="AD902"/>
      <c r="AE902"/>
      <c r="AF902"/>
      <c r="AH902"/>
      <c r="AI902"/>
      <c r="AK902" s="4"/>
      <c r="AL902"/>
      <c r="AM902"/>
      <c r="AN902"/>
      <c r="AO902"/>
      <c r="AP902"/>
      <c r="AQ902"/>
    </row>
    <row r="903" spans="1:43" x14ac:dyDescent="0.3">
      <c r="A903"/>
      <c r="B903"/>
      <c r="C903"/>
      <c r="D903"/>
      <c r="F903"/>
      <c r="G903"/>
      <c r="H903"/>
      <c r="I903"/>
      <c r="J903"/>
      <c r="K903"/>
      <c r="L903"/>
      <c r="M903" s="14"/>
      <c r="N903"/>
      <c r="O903"/>
      <c r="P903"/>
      <c r="Q903" s="10"/>
      <c r="R903"/>
      <c r="S903"/>
      <c r="T903" s="11"/>
      <c r="U903"/>
      <c r="V903"/>
      <c r="W903"/>
      <c r="AA903" s="14"/>
      <c r="AB903"/>
      <c r="AC903"/>
      <c r="AD903"/>
      <c r="AE903"/>
      <c r="AF903"/>
      <c r="AH903"/>
      <c r="AI903"/>
      <c r="AK903" s="4"/>
      <c r="AL903"/>
      <c r="AM903"/>
      <c r="AN903"/>
      <c r="AO903"/>
      <c r="AP903"/>
      <c r="AQ903"/>
    </row>
    <row r="904" spans="1:43" x14ac:dyDescent="0.3">
      <c r="A904"/>
      <c r="B904"/>
      <c r="C904"/>
      <c r="D904"/>
      <c r="F904"/>
      <c r="G904"/>
      <c r="H904"/>
      <c r="I904"/>
      <c r="J904"/>
      <c r="K904"/>
      <c r="L904"/>
      <c r="M904" s="14"/>
      <c r="N904"/>
      <c r="O904"/>
      <c r="P904"/>
      <c r="Q904" s="10"/>
      <c r="R904"/>
      <c r="S904"/>
      <c r="T904" s="11"/>
      <c r="U904"/>
      <c r="V904"/>
      <c r="W904"/>
      <c r="AA904" s="14"/>
      <c r="AB904"/>
      <c r="AC904"/>
      <c r="AD904"/>
      <c r="AE904"/>
      <c r="AF904"/>
      <c r="AH904"/>
      <c r="AI904"/>
      <c r="AK904" s="4"/>
      <c r="AL904"/>
      <c r="AM904"/>
      <c r="AN904"/>
      <c r="AO904"/>
      <c r="AP904"/>
      <c r="AQ904"/>
    </row>
    <row r="905" spans="1:43" customFormat="1" x14ac:dyDescent="0.3">
      <c r="M905" s="14"/>
      <c r="Q905" s="10"/>
      <c r="T905" s="11"/>
      <c r="AA905" s="14"/>
      <c r="AK905" s="4"/>
    </row>
    <row r="906" spans="1:43" customFormat="1" x14ac:dyDescent="0.3">
      <c r="M906" s="14"/>
      <c r="Q906" s="10"/>
      <c r="T906" s="11"/>
      <c r="AA906" s="14"/>
      <c r="AK906" s="4"/>
    </row>
    <row r="907" spans="1:43" customFormat="1" x14ac:dyDescent="0.3">
      <c r="A907" s="1"/>
      <c r="B907" s="1"/>
      <c r="C907" s="1"/>
      <c r="D907" s="1"/>
      <c r="F907" s="1"/>
      <c r="G907" s="1"/>
      <c r="H907" s="1"/>
      <c r="I907" s="4"/>
      <c r="J907" s="1"/>
      <c r="K907" s="1"/>
      <c r="L907" s="1"/>
      <c r="M907" s="4"/>
      <c r="N907" s="1"/>
      <c r="O907" s="1"/>
      <c r="P907" s="1"/>
      <c r="Q907" s="12"/>
      <c r="R907" s="1"/>
      <c r="S907" s="1"/>
      <c r="T907" s="13"/>
      <c r="U907" s="1"/>
      <c r="V907" s="1"/>
      <c r="W907" s="1"/>
      <c r="AA907" s="14"/>
      <c r="AB907" s="1"/>
      <c r="AC907" s="1"/>
      <c r="AD907" s="1"/>
      <c r="AE907" s="1"/>
      <c r="AF907" s="1"/>
      <c r="AH907" s="1"/>
      <c r="AI907" s="1"/>
      <c r="AK907" s="4"/>
      <c r="AL907" s="1"/>
      <c r="AM907" s="1"/>
      <c r="AN907" s="1"/>
      <c r="AO907" s="1"/>
      <c r="AP907" s="1"/>
      <c r="AQ907" s="1"/>
    </row>
    <row r="908" spans="1:43" customFormat="1" x14ac:dyDescent="0.3">
      <c r="M908" s="14"/>
      <c r="Q908" s="10"/>
      <c r="T908" s="11"/>
      <c r="AA908" s="14"/>
      <c r="AK908" s="4"/>
    </row>
    <row r="909" spans="1:43" customFormat="1" x14ac:dyDescent="0.3">
      <c r="M909" s="14"/>
      <c r="Q909" s="10"/>
      <c r="T909" s="11"/>
      <c r="AA909" s="14"/>
      <c r="AK909" s="4"/>
    </row>
    <row r="910" spans="1:43" customFormat="1" x14ac:dyDescent="0.3">
      <c r="M910" s="14"/>
      <c r="Q910" s="10"/>
      <c r="T910" s="11"/>
      <c r="AA910" s="14"/>
      <c r="AK910" s="4"/>
    </row>
    <row r="911" spans="1:43" customFormat="1" x14ac:dyDescent="0.3">
      <c r="A911" s="1"/>
      <c r="B911" s="1"/>
      <c r="C911" s="1"/>
      <c r="D911" s="1"/>
      <c r="F911" s="1"/>
      <c r="G911" s="1"/>
      <c r="H911" s="1"/>
      <c r="I911" s="4"/>
      <c r="J911" s="1"/>
      <c r="K911" s="1"/>
      <c r="L911" s="12"/>
      <c r="M911" s="18"/>
      <c r="N911" s="1"/>
      <c r="O911" s="1"/>
      <c r="P911" s="1"/>
      <c r="Q911" s="12"/>
      <c r="R911" s="1"/>
      <c r="S911" s="1"/>
      <c r="T911" s="13"/>
      <c r="U911" s="1"/>
      <c r="V911" s="1"/>
      <c r="W911" s="1"/>
      <c r="AA911" s="14"/>
      <c r="AB911" s="1"/>
      <c r="AC911" s="1"/>
      <c r="AD911" s="1"/>
      <c r="AE911" s="1"/>
      <c r="AF911" s="1"/>
      <c r="AH911" s="1"/>
      <c r="AI911" s="1"/>
      <c r="AK911" s="4"/>
      <c r="AL911" s="1"/>
      <c r="AM911" s="1"/>
      <c r="AN911" s="1"/>
      <c r="AO911" s="1"/>
      <c r="AP911" s="1"/>
      <c r="AQ911" s="1"/>
    </row>
    <row r="912" spans="1:43" customFormat="1" x14ac:dyDescent="0.3">
      <c r="M912" s="14"/>
      <c r="Q912" s="10"/>
      <c r="T912" s="11"/>
      <c r="AA912" s="14"/>
      <c r="AK912" s="4"/>
    </row>
    <row r="913" spans="1:43" x14ac:dyDescent="0.3">
      <c r="A913"/>
      <c r="B913"/>
      <c r="C913"/>
      <c r="D913"/>
      <c r="F913"/>
      <c r="G913"/>
      <c r="H913"/>
      <c r="I913"/>
      <c r="J913"/>
      <c r="K913"/>
      <c r="L913"/>
      <c r="M913" s="14"/>
      <c r="N913"/>
      <c r="O913"/>
      <c r="P913"/>
      <c r="Q913" s="10"/>
      <c r="R913"/>
      <c r="S913"/>
      <c r="T913" s="11"/>
      <c r="U913"/>
      <c r="V913"/>
      <c r="W913"/>
      <c r="AA913" s="14"/>
      <c r="AB913"/>
      <c r="AC913"/>
      <c r="AD913"/>
      <c r="AE913"/>
      <c r="AF913"/>
      <c r="AH913"/>
      <c r="AI913"/>
      <c r="AK913" s="4"/>
      <c r="AL913"/>
      <c r="AM913"/>
      <c r="AN913"/>
      <c r="AO913"/>
      <c r="AP913"/>
      <c r="AQ913"/>
    </row>
    <row r="914" spans="1:43" x14ac:dyDescent="0.3">
      <c r="A914"/>
      <c r="B914"/>
      <c r="C914"/>
      <c r="D914"/>
      <c r="F914"/>
      <c r="G914"/>
      <c r="H914"/>
      <c r="I914"/>
      <c r="J914"/>
      <c r="K914"/>
      <c r="L914"/>
      <c r="M914" s="14"/>
      <c r="N914"/>
      <c r="O914"/>
      <c r="P914"/>
      <c r="Q914" s="10"/>
      <c r="R914"/>
      <c r="S914"/>
      <c r="T914" s="11"/>
      <c r="U914"/>
      <c r="V914"/>
      <c r="W914"/>
      <c r="AA914" s="14"/>
      <c r="AB914"/>
      <c r="AC914"/>
      <c r="AD914"/>
      <c r="AE914"/>
      <c r="AF914"/>
      <c r="AH914"/>
      <c r="AI914"/>
      <c r="AK914" s="4"/>
      <c r="AL914"/>
      <c r="AM914"/>
      <c r="AN914"/>
      <c r="AO914"/>
      <c r="AP914"/>
      <c r="AQ914"/>
    </row>
    <row r="915" spans="1:43" x14ac:dyDescent="0.3">
      <c r="A915"/>
      <c r="B915"/>
      <c r="C915"/>
      <c r="D915"/>
      <c r="F915"/>
      <c r="G915"/>
      <c r="H915"/>
      <c r="I915"/>
      <c r="J915"/>
      <c r="K915"/>
      <c r="L915"/>
      <c r="M915" s="14"/>
      <c r="N915"/>
      <c r="O915"/>
      <c r="P915"/>
      <c r="Q915" s="10"/>
      <c r="R915"/>
      <c r="S915"/>
      <c r="T915" s="11"/>
      <c r="U915"/>
      <c r="V915"/>
      <c r="W915"/>
      <c r="AA915" s="14"/>
      <c r="AB915"/>
      <c r="AC915"/>
      <c r="AD915"/>
      <c r="AE915"/>
      <c r="AF915"/>
      <c r="AH915"/>
      <c r="AI915"/>
      <c r="AK915" s="4"/>
      <c r="AL915"/>
      <c r="AM915"/>
      <c r="AN915"/>
      <c r="AO915"/>
      <c r="AP915"/>
      <c r="AQ915"/>
    </row>
    <row r="916" spans="1:43" x14ac:dyDescent="0.3">
      <c r="A916"/>
      <c r="B916"/>
      <c r="C916"/>
      <c r="D916"/>
      <c r="F916"/>
      <c r="G916"/>
      <c r="H916"/>
      <c r="I916"/>
      <c r="J916"/>
      <c r="K916"/>
      <c r="L916"/>
      <c r="M916" s="14"/>
      <c r="N916"/>
      <c r="O916"/>
      <c r="P916"/>
      <c r="Q916" s="10"/>
      <c r="R916"/>
      <c r="S916"/>
      <c r="T916" s="11"/>
      <c r="U916"/>
      <c r="V916"/>
      <c r="W916"/>
      <c r="AA916" s="14"/>
      <c r="AB916"/>
      <c r="AC916"/>
      <c r="AD916"/>
      <c r="AE916"/>
      <c r="AF916"/>
      <c r="AH916"/>
      <c r="AI916"/>
      <c r="AK916" s="4"/>
      <c r="AL916"/>
      <c r="AM916"/>
      <c r="AN916"/>
      <c r="AO916"/>
      <c r="AP916"/>
      <c r="AQ916"/>
    </row>
    <row r="917" spans="1:43" x14ac:dyDescent="0.3">
      <c r="A917"/>
      <c r="B917"/>
      <c r="C917"/>
      <c r="D917"/>
      <c r="F917"/>
      <c r="G917"/>
      <c r="H917"/>
      <c r="I917"/>
      <c r="J917"/>
      <c r="K917"/>
      <c r="L917"/>
      <c r="M917" s="14"/>
      <c r="N917"/>
      <c r="O917"/>
      <c r="P917"/>
      <c r="Q917" s="10"/>
      <c r="R917"/>
      <c r="S917"/>
      <c r="T917" s="11"/>
      <c r="U917"/>
      <c r="V917"/>
      <c r="W917"/>
      <c r="AA917" s="14"/>
      <c r="AB917"/>
      <c r="AC917"/>
      <c r="AD917"/>
      <c r="AE917"/>
      <c r="AF917"/>
      <c r="AH917"/>
      <c r="AI917"/>
      <c r="AK917" s="4"/>
      <c r="AL917"/>
      <c r="AM917"/>
      <c r="AN917"/>
      <c r="AO917"/>
      <c r="AP917"/>
      <c r="AQ917"/>
    </row>
    <row r="918" spans="1:43" x14ac:dyDescent="0.3">
      <c r="A918"/>
      <c r="B918"/>
      <c r="C918"/>
      <c r="D918"/>
      <c r="F918"/>
      <c r="G918"/>
      <c r="H918"/>
      <c r="I918"/>
      <c r="J918"/>
      <c r="K918"/>
      <c r="L918"/>
      <c r="M918" s="14"/>
      <c r="N918"/>
      <c r="O918"/>
      <c r="P918"/>
      <c r="Q918" s="10"/>
      <c r="R918"/>
      <c r="S918"/>
      <c r="T918" s="11"/>
      <c r="U918"/>
      <c r="V918"/>
      <c r="W918"/>
      <c r="AA918" s="14"/>
      <c r="AB918"/>
      <c r="AC918"/>
      <c r="AD918"/>
      <c r="AE918"/>
      <c r="AF918"/>
      <c r="AH918"/>
      <c r="AI918"/>
      <c r="AK918" s="4"/>
      <c r="AL918"/>
      <c r="AM918"/>
      <c r="AN918"/>
      <c r="AO918"/>
      <c r="AP918"/>
      <c r="AQ918"/>
    </row>
    <row r="919" spans="1:43" x14ac:dyDescent="0.3">
      <c r="A919"/>
      <c r="B919"/>
      <c r="C919"/>
      <c r="D919"/>
      <c r="F919"/>
      <c r="G919"/>
      <c r="H919"/>
      <c r="I919"/>
      <c r="J919"/>
      <c r="K919"/>
      <c r="L919"/>
      <c r="M919" s="14"/>
      <c r="N919"/>
      <c r="O919"/>
      <c r="P919"/>
      <c r="Q919" s="10"/>
      <c r="R919"/>
      <c r="S919"/>
      <c r="T919" s="11"/>
      <c r="U919"/>
      <c r="V919"/>
      <c r="W919"/>
      <c r="AA919" s="14"/>
      <c r="AB919"/>
      <c r="AC919"/>
      <c r="AD919"/>
      <c r="AE919"/>
      <c r="AF919"/>
      <c r="AH919"/>
      <c r="AI919"/>
      <c r="AK919" s="4"/>
      <c r="AL919"/>
      <c r="AM919"/>
      <c r="AN919"/>
      <c r="AO919"/>
      <c r="AP919"/>
      <c r="AQ919"/>
    </row>
    <row r="920" spans="1:43" x14ac:dyDescent="0.3">
      <c r="A920"/>
      <c r="B920"/>
      <c r="C920"/>
      <c r="D920"/>
      <c r="F920"/>
      <c r="G920"/>
      <c r="H920"/>
      <c r="I920"/>
      <c r="J920"/>
      <c r="K920"/>
      <c r="L920"/>
      <c r="M920" s="14"/>
      <c r="N920"/>
      <c r="O920"/>
      <c r="P920"/>
      <c r="Q920" s="10"/>
      <c r="R920"/>
      <c r="S920"/>
      <c r="T920" s="11"/>
      <c r="U920"/>
      <c r="V920"/>
      <c r="W920"/>
      <c r="AA920" s="14"/>
      <c r="AB920"/>
      <c r="AC920"/>
      <c r="AD920"/>
      <c r="AE920"/>
      <c r="AF920"/>
      <c r="AH920"/>
      <c r="AI920"/>
      <c r="AK920" s="4"/>
      <c r="AL920"/>
      <c r="AM920"/>
      <c r="AN920"/>
      <c r="AO920"/>
      <c r="AP920"/>
      <c r="AQ920"/>
    </row>
    <row r="921" spans="1:43" x14ac:dyDescent="0.3">
      <c r="A921"/>
      <c r="B921"/>
      <c r="C921"/>
      <c r="D921"/>
      <c r="F921"/>
      <c r="G921"/>
      <c r="H921"/>
      <c r="I921"/>
      <c r="J921"/>
      <c r="K921"/>
      <c r="L921"/>
      <c r="M921" s="14"/>
      <c r="N921"/>
      <c r="O921"/>
      <c r="P921"/>
      <c r="Q921" s="10"/>
      <c r="R921"/>
      <c r="S921"/>
      <c r="T921" s="11"/>
      <c r="U921"/>
      <c r="V921"/>
      <c r="W921"/>
      <c r="AA921" s="14"/>
      <c r="AB921"/>
      <c r="AC921"/>
      <c r="AD921"/>
      <c r="AE921"/>
      <c r="AF921"/>
      <c r="AH921"/>
      <c r="AI921"/>
      <c r="AK921" s="4"/>
      <c r="AL921"/>
      <c r="AM921"/>
      <c r="AN921"/>
      <c r="AO921"/>
      <c r="AP921"/>
      <c r="AQ921"/>
    </row>
    <row r="922" spans="1:43" customFormat="1" x14ac:dyDescent="0.3">
      <c r="M922" s="14"/>
      <c r="Q922" s="10"/>
      <c r="T922" s="11"/>
      <c r="AA922" s="14"/>
      <c r="AK922" s="4"/>
    </row>
    <row r="923" spans="1:43" customFormat="1" x14ac:dyDescent="0.3">
      <c r="M923" s="14"/>
      <c r="Q923" s="10"/>
      <c r="T923" s="11"/>
      <c r="AA923" s="14"/>
      <c r="AK923" s="4"/>
    </row>
    <row r="924" spans="1:43" x14ac:dyDescent="0.3">
      <c r="A924"/>
      <c r="B924"/>
      <c r="C924"/>
      <c r="D924"/>
      <c r="F924"/>
      <c r="G924"/>
      <c r="H924"/>
      <c r="I924"/>
      <c r="J924"/>
      <c r="K924"/>
      <c r="L924"/>
      <c r="M924" s="14"/>
      <c r="N924"/>
      <c r="O924"/>
      <c r="P924"/>
      <c r="Q924" s="10"/>
      <c r="R924"/>
      <c r="S924"/>
      <c r="T924" s="11"/>
      <c r="U924"/>
      <c r="V924"/>
      <c r="W924"/>
      <c r="AA924" s="14"/>
      <c r="AB924"/>
      <c r="AC924"/>
      <c r="AD924"/>
      <c r="AE924"/>
      <c r="AF924"/>
      <c r="AH924"/>
      <c r="AI924"/>
      <c r="AK924" s="4"/>
      <c r="AL924"/>
      <c r="AM924"/>
      <c r="AN924"/>
      <c r="AO924"/>
      <c r="AP924"/>
      <c r="AQ924"/>
    </row>
    <row r="925" spans="1:43" x14ac:dyDescent="0.3">
      <c r="A925"/>
      <c r="B925"/>
      <c r="C925"/>
      <c r="D925"/>
      <c r="F925"/>
      <c r="G925"/>
      <c r="H925"/>
      <c r="I925"/>
      <c r="J925"/>
      <c r="K925"/>
      <c r="L925"/>
      <c r="M925" s="14"/>
      <c r="N925"/>
      <c r="O925"/>
      <c r="P925"/>
      <c r="Q925" s="10"/>
      <c r="R925"/>
      <c r="S925"/>
      <c r="T925" s="11"/>
      <c r="U925"/>
      <c r="V925"/>
      <c r="W925"/>
      <c r="AA925" s="14"/>
      <c r="AB925"/>
      <c r="AC925"/>
      <c r="AD925"/>
      <c r="AE925"/>
      <c r="AF925"/>
      <c r="AH925"/>
      <c r="AI925"/>
      <c r="AK925" s="4"/>
      <c r="AL925"/>
      <c r="AM925"/>
      <c r="AN925"/>
      <c r="AO925"/>
      <c r="AP925"/>
      <c r="AQ925"/>
    </row>
    <row r="926" spans="1:43" x14ac:dyDescent="0.3">
      <c r="A926"/>
      <c r="B926"/>
      <c r="C926"/>
      <c r="D926"/>
      <c r="F926"/>
      <c r="G926"/>
      <c r="H926"/>
      <c r="I926"/>
      <c r="J926"/>
      <c r="K926"/>
      <c r="L926"/>
      <c r="M926" s="14"/>
      <c r="N926"/>
      <c r="O926"/>
      <c r="P926"/>
      <c r="Q926" s="10"/>
      <c r="R926"/>
      <c r="S926"/>
      <c r="T926" s="11"/>
      <c r="U926"/>
      <c r="V926"/>
      <c r="W926"/>
      <c r="AA926" s="14"/>
      <c r="AB926"/>
      <c r="AC926"/>
      <c r="AD926"/>
      <c r="AE926"/>
      <c r="AF926"/>
      <c r="AH926"/>
      <c r="AI926"/>
      <c r="AK926" s="4"/>
      <c r="AL926"/>
      <c r="AM926"/>
      <c r="AN926"/>
      <c r="AO926"/>
      <c r="AP926"/>
      <c r="AQ926"/>
    </row>
    <row r="927" spans="1:43" x14ac:dyDescent="0.3">
      <c r="A927"/>
      <c r="B927"/>
      <c r="C927"/>
      <c r="D927"/>
      <c r="F927"/>
      <c r="G927"/>
      <c r="H927"/>
      <c r="I927"/>
      <c r="J927"/>
      <c r="K927"/>
      <c r="L927"/>
      <c r="M927" s="14"/>
      <c r="N927"/>
      <c r="O927"/>
      <c r="P927"/>
      <c r="Q927" s="10"/>
      <c r="R927"/>
      <c r="S927"/>
      <c r="T927" s="11"/>
      <c r="U927"/>
      <c r="V927"/>
      <c r="W927"/>
      <c r="AA927" s="14"/>
      <c r="AB927"/>
      <c r="AC927"/>
      <c r="AD927"/>
      <c r="AE927"/>
      <c r="AF927"/>
      <c r="AH927"/>
      <c r="AI927"/>
      <c r="AK927" s="4"/>
      <c r="AL927"/>
      <c r="AM927"/>
      <c r="AN927"/>
      <c r="AO927"/>
      <c r="AP927"/>
      <c r="AQ927"/>
    </row>
    <row r="928" spans="1:43" x14ac:dyDescent="0.3">
      <c r="A928"/>
      <c r="B928"/>
      <c r="C928"/>
      <c r="D928"/>
      <c r="F928"/>
      <c r="G928"/>
      <c r="H928"/>
      <c r="I928"/>
      <c r="J928"/>
      <c r="K928"/>
      <c r="L928"/>
      <c r="M928" s="14"/>
      <c r="N928"/>
      <c r="O928"/>
      <c r="P928"/>
      <c r="Q928" s="10"/>
      <c r="R928"/>
      <c r="S928"/>
      <c r="T928" s="11"/>
      <c r="U928"/>
      <c r="V928"/>
      <c r="W928"/>
      <c r="AA928" s="14"/>
      <c r="AB928"/>
      <c r="AC928"/>
      <c r="AD928"/>
      <c r="AE928"/>
      <c r="AF928"/>
      <c r="AH928"/>
      <c r="AI928"/>
      <c r="AK928" s="4"/>
      <c r="AL928"/>
      <c r="AM928"/>
      <c r="AN928"/>
      <c r="AO928"/>
      <c r="AP928"/>
      <c r="AQ928"/>
    </row>
    <row r="929" spans="1:43" customFormat="1" x14ac:dyDescent="0.3">
      <c r="M929" s="14"/>
      <c r="Q929" s="10"/>
      <c r="T929" s="11"/>
      <c r="AA929" s="14"/>
      <c r="AK929" s="4"/>
    </row>
    <row r="930" spans="1:43" customFormat="1" x14ac:dyDescent="0.3">
      <c r="M930" s="14"/>
      <c r="Q930" s="10"/>
      <c r="T930" s="11"/>
      <c r="AA930" s="14"/>
      <c r="AK930" s="4"/>
    </row>
    <row r="931" spans="1:43" customFormat="1" x14ac:dyDescent="0.3">
      <c r="M931" s="14"/>
      <c r="Q931" s="10"/>
      <c r="T931" s="11"/>
      <c r="AA931" s="14"/>
      <c r="AK931" s="4"/>
    </row>
    <row r="932" spans="1:43" customFormat="1" x14ac:dyDescent="0.3">
      <c r="M932" s="14"/>
      <c r="Q932" s="10"/>
      <c r="T932" s="11"/>
      <c r="AA932" s="14"/>
      <c r="AK932" s="4"/>
    </row>
    <row r="933" spans="1:43" customFormat="1" x14ac:dyDescent="0.3">
      <c r="M933" s="14"/>
      <c r="Q933" s="10"/>
      <c r="T933" s="11"/>
      <c r="AA933" s="14"/>
      <c r="AK933" s="4"/>
    </row>
    <row r="934" spans="1:43" customFormat="1" x14ac:dyDescent="0.3">
      <c r="M934" s="14"/>
      <c r="Q934" s="10"/>
      <c r="T934" s="11"/>
      <c r="AA934" s="14"/>
      <c r="AK934" s="4"/>
    </row>
    <row r="935" spans="1:43" customFormat="1" x14ac:dyDescent="0.3">
      <c r="M935" s="14"/>
      <c r="Q935" s="10"/>
      <c r="T935" s="11"/>
      <c r="AA935" s="14"/>
      <c r="AK935" s="4"/>
    </row>
    <row r="936" spans="1:43" x14ac:dyDescent="0.3">
      <c r="A936"/>
      <c r="B936"/>
      <c r="C936"/>
      <c r="D936"/>
      <c r="F936"/>
      <c r="G936"/>
      <c r="H936"/>
      <c r="I936"/>
      <c r="J936"/>
      <c r="K936"/>
      <c r="L936"/>
      <c r="M936" s="14"/>
      <c r="N936"/>
      <c r="O936"/>
      <c r="P936"/>
      <c r="Q936" s="10"/>
      <c r="R936"/>
      <c r="S936"/>
      <c r="T936" s="11"/>
      <c r="U936"/>
      <c r="V936"/>
      <c r="W936"/>
      <c r="AA936" s="14"/>
      <c r="AB936"/>
      <c r="AC936"/>
      <c r="AD936"/>
      <c r="AE936"/>
      <c r="AF936"/>
      <c r="AH936"/>
      <c r="AI936"/>
      <c r="AK936" s="4"/>
      <c r="AL936"/>
      <c r="AM936"/>
      <c r="AN936"/>
      <c r="AO936"/>
      <c r="AP936"/>
      <c r="AQ936"/>
    </row>
    <row r="937" spans="1:43" x14ac:dyDescent="0.3">
      <c r="A937"/>
      <c r="B937"/>
      <c r="C937"/>
      <c r="D937"/>
      <c r="F937"/>
      <c r="G937"/>
      <c r="H937"/>
      <c r="I937"/>
      <c r="J937"/>
      <c r="K937"/>
      <c r="L937"/>
      <c r="M937" s="14"/>
      <c r="N937"/>
      <c r="O937"/>
      <c r="P937"/>
      <c r="Q937" s="10"/>
      <c r="R937"/>
      <c r="S937"/>
      <c r="T937" s="11"/>
      <c r="U937"/>
      <c r="V937"/>
      <c r="W937"/>
      <c r="AA937" s="14"/>
      <c r="AB937"/>
      <c r="AC937"/>
      <c r="AD937"/>
      <c r="AE937"/>
      <c r="AF937"/>
      <c r="AH937"/>
      <c r="AI937"/>
      <c r="AK937" s="4"/>
      <c r="AL937"/>
      <c r="AM937"/>
      <c r="AN937"/>
      <c r="AO937"/>
      <c r="AP937"/>
      <c r="AQ937"/>
    </row>
    <row r="938" spans="1:43" x14ac:dyDescent="0.3">
      <c r="A938"/>
      <c r="B938"/>
      <c r="C938"/>
      <c r="D938"/>
      <c r="F938"/>
      <c r="G938"/>
      <c r="H938"/>
      <c r="I938"/>
      <c r="J938"/>
      <c r="K938"/>
      <c r="L938"/>
      <c r="M938" s="14"/>
      <c r="N938"/>
      <c r="O938"/>
      <c r="P938"/>
      <c r="Q938" s="10"/>
      <c r="R938"/>
      <c r="S938"/>
      <c r="T938" s="11"/>
      <c r="U938"/>
      <c r="V938"/>
      <c r="W938"/>
      <c r="AA938" s="14"/>
      <c r="AB938"/>
      <c r="AC938"/>
      <c r="AD938"/>
      <c r="AE938"/>
      <c r="AF938"/>
      <c r="AH938"/>
      <c r="AI938"/>
      <c r="AK938" s="4"/>
      <c r="AL938"/>
      <c r="AM938"/>
      <c r="AN938"/>
      <c r="AO938"/>
      <c r="AP938"/>
      <c r="AQ938"/>
    </row>
    <row r="939" spans="1:43" x14ac:dyDescent="0.3">
      <c r="A939"/>
      <c r="B939"/>
      <c r="C939"/>
      <c r="D939"/>
      <c r="F939"/>
      <c r="G939"/>
      <c r="H939"/>
      <c r="I939"/>
      <c r="J939"/>
      <c r="K939"/>
      <c r="L939"/>
      <c r="M939" s="14"/>
      <c r="N939"/>
      <c r="O939"/>
      <c r="P939"/>
      <c r="Q939" s="10"/>
      <c r="R939"/>
      <c r="S939"/>
      <c r="T939" s="11"/>
      <c r="U939"/>
      <c r="V939"/>
      <c r="W939"/>
      <c r="AA939" s="14"/>
      <c r="AB939"/>
      <c r="AC939"/>
      <c r="AD939"/>
      <c r="AE939"/>
      <c r="AF939"/>
      <c r="AH939"/>
      <c r="AI939"/>
      <c r="AK939" s="4"/>
      <c r="AL939"/>
      <c r="AM939"/>
      <c r="AN939"/>
      <c r="AO939"/>
      <c r="AP939"/>
      <c r="AQ939"/>
    </row>
    <row r="940" spans="1:43" customFormat="1" x14ac:dyDescent="0.3">
      <c r="M940" s="14"/>
      <c r="Q940" s="10"/>
      <c r="T940" s="11"/>
      <c r="AA940" s="14"/>
      <c r="AK940" s="4"/>
    </row>
    <row r="941" spans="1:43" x14ac:dyDescent="0.3">
      <c r="A941"/>
      <c r="B941"/>
      <c r="C941"/>
      <c r="D941"/>
      <c r="F941"/>
      <c r="G941"/>
      <c r="H941"/>
      <c r="I941"/>
      <c r="J941"/>
      <c r="K941"/>
      <c r="L941"/>
      <c r="M941" s="14"/>
      <c r="N941"/>
      <c r="O941"/>
      <c r="P941"/>
      <c r="Q941" s="10"/>
      <c r="R941"/>
      <c r="S941"/>
      <c r="T941" s="11"/>
      <c r="U941"/>
      <c r="V941"/>
      <c r="W941"/>
      <c r="AA941" s="14"/>
      <c r="AB941"/>
      <c r="AC941"/>
      <c r="AD941"/>
      <c r="AE941"/>
      <c r="AF941"/>
      <c r="AH941"/>
      <c r="AI941"/>
      <c r="AK941" s="4"/>
      <c r="AL941"/>
      <c r="AM941"/>
      <c r="AN941"/>
      <c r="AO941"/>
      <c r="AP941"/>
      <c r="AQ941"/>
    </row>
    <row r="942" spans="1:43" x14ac:dyDescent="0.3">
      <c r="A942"/>
      <c r="B942"/>
      <c r="C942"/>
      <c r="D942"/>
      <c r="F942"/>
      <c r="G942"/>
      <c r="H942"/>
      <c r="I942"/>
      <c r="J942"/>
      <c r="K942"/>
      <c r="L942"/>
      <c r="M942" s="14"/>
      <c r="N942"/>
      <c r="O942"/>
      <c r="P942"/>
      <c r="Q942" s="10"/>
      <c r="R942"/>
      <c r="S942"/>
      <c r="T942" s="11"/>
      <c r="U942"/>
      <c r="V942"/>
      <c r="W942"/>
      <c r="AA942" s="14"/>
      <c r="AB942"/>
      <c r="AC942"/>
      <c r="AD942"/>
      <c r="AE942"/>
      <c r="AF942"/>
      <c r="AH942"/>
      <c r="AI942"/>
      <c r="AK942" s="4"/>
      <c r="AL942"/>
      <c r="AM942"/>
      <c r="AN942"/>
      <c r="AO942"/>
      <c r="AP942"/>
      <c r="AQ942"/>
    </row>
    <row r="943" spans="1:43" x14ac:dyDescent="0.3">
      <c r="A943"/>
      <c r="B943"/>
      <c r="C943"/>
      <c r="D943"/>
      <c r="F943"/>
      <c r="G943"/>
      <c r="H943"/>
      <c r="I943"/>
      <c r="J943"/>
      <c r="K943"/>
      <c r="L943"/>
      <c r="M943" s="14"/>
      <c r="N943"/>
      <c r="O943"/>
      <c r="P943"/>
      <c r="Q943" s="10"/>
      <c r="R943"/>
      <c r="S943"/>
      <c r="T943" s="11"/>
      <c r="U943"/>
      <c r="V943"/>
      <c r="W943"/>
      <c r="AA943" s="14"/>
      <c r="AB943"/>
      <c r="AC943"/>
      <c r="AD943"/>
      <c r="AE943"/>
      <c r="AF943"/>
      <c r="AH943"/>
      <c r="AI943"/>
      <c r="AK943" s="4"/>
      <c r="AL943"/>
      <c r="AM943"/>
      <c r="AN943"/>
      <c r="AO943"/>
      <c r="AP943"/>
      <c r="AQ943"/>
    </row>
    <row r="944" spans="1:43" x14ac:dyDescent="0.3">
      <c r="A944"/>
      <c r="B944"/>
      <c r="C944"/>
      <c r="D944"/>
      <c r="F944"/>
      <c r="G944"/>
      <c r="H944"/>
      <c r="I944"/>
      <c r="J944"/>
      <c r="K944"/>
      <c r="L944"/>
      <c r="M944" s="14"/>
      <c r="N944"/>
      <c r="O944"/>
      <c r="P944"/>
      <c r="Q944" s="10"/>
      <c r="R944"/>
      <c r="S944"/>
      <c r="T944" s="11"/>
      <c r="U944"/>
      <c r="V944"/>
      <c r="W944"/>
      <c r="AA944" s="14"/>
      <c r="AB944"/>
      <c r="AC944"/>
      <c r="AD944"/>
      <c r="AE944"/>
      <c r="AF944"/>
      <c r="AH944"/>
      <c r="AI944"/>
      <c r="AK944" s="4"/>
      <c r="AL944"/>
      <c r="AM944"/>
      <c r="AN944"/>
      <c r="AO944"/>
      <c r="AP944"/>
      <c r="AQ944"/>
    </row>
    <row r="945" spans="1:43" customFormat="1" x14ac:dyDescent="0.3">
      <c r="M945" s="14"/>
      <c r="Q945" s="10"/>
      <c r="T945" s="11"/>
      <c r="AA945" s="14"/>
      <c r="AK945" s="4"/>
    </row>
    <row r="946" spans="1:43" customFormat="1" x14ac:dyDescent="0.3">
      <c r="M946" s="14"/>
      <c r="Q946" s="10"/>
      <c r="T946" s="11"/>
      <c r="AA946" s="14"/>
      <c r="AK946" s="4"/>
    </row>
    <row r="947" spans="1:43" customFormat="1" x14ac:dyDescent="0.3">
      <c r="M947" s="14"/>
      <c r="Q947" s="10"/>
      <c r="T947" s="11"/>
      <c r="AA947" s="14"/>
      <c r="AK947" s="4"/>
    </row>
    <row r="948" spans="1:43" customFormat="1" x14ac:dyDescent="0.3">
      <c r="M948" s="14"/>
      <c r="Q948" s="10"/>
      <c r="T948" s="11"/>
      <c r="AA948" s="14"/>
      <c r="AK948" s="4"/>
    </row>
    <row r="949" spans="1:43" customFormat="1" x14ac:dyDescent="0.3">
      <c r="M949" s="14"/>
      <c r="Q949" s="10"/>
      <c r="T949" s="11"/>
      <c r="AA949" s="14"/>
      <c r="AK949" s="4"/>
    </row>
    <row r="950" spans="1:43" customFormat="1" x14ac:dyDescent="0.3">
      <c r="M950" s="14"/>
      <c r="Q950" s="10"/>
      <c r="T950" s="11"/>
      <c r="AA950" s="14"/>
      <c r="AK950" s="4"/>
    </row>
    <row r="951" spans="1:43" customFormat="1" x14ac:dyDescent="0.3">
      <c r="M951" s="14"/>
      <c r="Q951" s="10"/>
      <c r="T951" s="11"/>
      <c r="AA951" s="14"/>
      <c r="AK951" s="4"/>
    </row>
    <row r="952" spans="1:43" customFormat="1" x14ac:dyDescent="0.3">
      <c r="M952" s="14"/>
      <c r="Q952" s="10"/>
      <c r="T952" s="11"/>
      <c r="AA952" s="14"/>
      <c r="AK952" s="4"/>
    </row>
    <row r="953" spans="1:43" customFormat="1" x14ac:dyDescent="0.3">
      <c r="M953" s="14"/>
      <c r="Q953" s="10"/>
      <c r="T953" s="11"/>
      <c r="AA953" s="14"/>
      <c r="AK953" s="4"/>
    </row>
    <row r="954" spans="1:43" customFormat="1" x14ac:dyDescent="0.3">
      <c r="M954" s="14"/>
      <c r="Q954" s="10"/>
      <c r="T954" s="11"/>
      <c r="AA954" s="14"/>
      <c r="AK954" s="4"/>
    </row>
    <row r="955" spans="1:43" customFormat="1" x14ac:dyDescent="0.3">
      <c r="M955" s="14"/>
      <c r="Q955" s="10"/>
      <c r="T955" s="11"/>
      <c r="AA955" s="14"/>
      <c r="AK955" s="4"/>
    </row>
    <row r="956" spans="1:43" customFormat="1" x14ac:dyDescent="0.3">
      <c r="M956" s="14"/>
      <c r="Q956" s="10"/>
      <c r="T956" s="11"/>
      <c r="AA956" s="14"/>
      <c r="AK956" s="4"/>
    </row>
    <row r="957" spans="1:43" customFormat="1" x14ac:dyDescent="0.3">
      <c r="M957" s="14"/>
      <c r="Q957" s="10"/>
      <c r="T957" s="11"/>
      <c r="AA957" s="14"/>
      <c r="AK957" s="4"/>
    </row>
    <row r="958" spans="1:43" customFormat="1" x14ac:dyDescent="0.3">
      <c r="A958" s="1"/>
      <c r="B958" s="1"/>
      <c r="C958" s="1"/>
      <c r="D958" s="1"/>
      <c r="F958" s="1"/>
      <c r="G958" s="1"/>
      <c r="H958" s="1"/>
      <c r="I958" s="4"/>
      <c r="J958" s="1"/>
      <c r="K958" s="1"/>
      <c r="L958" s="12"/>
      <c r="M958" s="18"/>
      <c r="N958" s="1"/>
      <c r="O958" s="1"/>
      <c r="P958" s="1"/>
      <c r="Q958" s="12"/>
      <c r="R958" s="1"/>
      <c r="S958" s="1"/>
      <c r="T958" s="13"/>
      <c r="U958" s="1"/>
      <c r="V958" s="1"/>
      <c r="W958" s="1"/>
      <c r="AA958" s="14"/>
      <c r="AB958" s="1"/>
      <c r="AC958" s="1"/>
      <c r="AD958" s="1"/>
      <c r="AE958" s="1"/>
      <c r="AF958" s="1"/>
      <c r="AH958" s="1"/>
      <c r="AI958" s="1"/>
      <c r="AK958" s="4"/>
      <c r="AL958" s="1"/>
      <c r="AM958" s="1"/>
      <c r="AN958" s="1"/>
      <c r="AO958" s="1"/>
      <c r="AP958" s="1"/>
      <c r="AQ958" s="1"/>
    </row>
    <row r="959" spans="1:43" customFormat="1" x14ac:dyDescent="0.3">
      <c r="M959" s="14"/>
      <c r="Q959" s="10"/>
      <c r="T959" s="11"/>
      <c r="AA959" s="14"/>
      <c r="AK959" s="4"/>
    </row>
    <row r="960" spans="1:43" customFormat="1" x14ac:dyDescent="0.3">
      <c r="M960" s="14"/>
      <c r="Q960" s="10"/>
      <c r="T960" s="11"/>
      <c r="AA960" s="14"/>
      <c r="AK960" s="4"/>
    </row>
    <row r="961" spans="1:43" customFormat="1" x14ac:dyDescent="0.3">
      <c r="M961" s="14"/>
      <c r="Q961" s="10"/>
      <c r="T961" s="11"/>
      <c r="AA961" s="14"/>
      <c r="AK961" s="4"/>
    </row>
    <row r="962" spans="1:43" customFormat="1" x14ac:dyDescent="0.3">
      <c r="M962" s="14"/>
      <c r="Q962" s="10"/>
      <c r="T962" s="11"/>
      <c r="AA962" s="14"/>
      <c r="AK962" s="4"/>
    </row>
    <row r="963" spans="1:43" customFormat="1" x14ac:dyDescent="0.3">
      <c r="M963" s="14"/>
      <c r="Q963" s="10"/>
      <c r="T963" s="11"/>
      <c r="AA963" s="14"/>
      <c r="AK963" s="4"/>
    </row>
    <row r="964" spans="1:43" customFormat="1" x14ac:dyDescent="0.3">
      <c r="M964" s="14"/>
      <c r="Q964" s="10"/>
      <c r="T964" s="11"/>
      <c r="AA964" s="14"/>
      <c r="AK964" s="4"/>
    </row>
    <row r="965" spans="1:43" customFormat="1" x14ac:dyDescent="0.3">
      <c r="M965" s="14"/>
      <c r="Q965" s="10"/>
      <c r="T965" s="11"/>
      <c r="AA965" s="14"/>
      <c r="AK965" s="4"/>
    </row>
    <row r="966" spans="1:43" x14ac:dyDescent="0.3">
      <c r="A966"/>
      <c r="B966"/>
      <c r="C966"/>
      <c r="D966"/>
      <c r="F966"/>
      <c r="G966"/>
      <c r="H966"/>
      <c r="I966"/>
      <c r="J966"/>
      <c r="K966"/>
      <c r="L966"/>
      <c r="M966" s="14"/>
      <c r="N966"/>
      <c r="O966"/>
      <c r="P966"/>
      <c r="Q966" s="10"/>
      <c r="R966"/>
      <c r="S966"/>
      <c r="T966" s="11"/>
      <c r="U966"/>
      <c r="V966"/>
      <c r="W966"/>
      <c r="AA966" s="14"/>
      <c r="AB966"/>
      <c r="AC966"/>
      <c r="AD966"/>
      <c r="AE966"/>
      <c r="AF966"/>
      <c r="AH966"/>
      <c r="AI966"/>
      <c r="AK966" s="4"/>
      <c r="AL966"/>
      <c r="AM966"/>
      <c r="AN966"/>
      <c r="AO966"/>
      <c r="AP966"/>
      <c r="AQ966"/>
    </row>
    <row r="967" spans="1:43" customFormat="1" x14ac:dyDescent="0.3">
      <c r="M967" s="14"/>
      <c r="Q967" s="10"/>
      <c r="T967" s="11"/>
      <c r="AA967" s="14"/>
      <c r="AK967" s="4"/>
    </row>
    <row r="968" spans="1:43" customFormat="1" x14ac:dyDescent="0.3">
      <c r="M968" s="14"/>
      <c r="Q968" s="10"/>
      <c r="T968" s="11"/>
      <c r="AA968" s="14"/>
      <c r="AK968" s="4"/>
    </row>
    <row r="969" spans="1:43" customFormat="1" x14ac:dyDescent="0.3">
      <c r="M969" s="14"/>
      <c r="Q969" s="10"/>
      <c r="T969" s="11"/>
      <c r="AA969" s="14"/>
      <c r="AK969" s="4"/>
    </row>
    <row r="970" spans="1:43" customFormat="1" x14ac:dyDescent="0.3">
      <c r="M970" s="14"/>
      <c r="Q970" s="10"/>
      <c r="T970" s="11"/>
      <c r="AA970" s="14"/>
      <c r="AK970" s="4"/>
    </row>
    <row r="971" spans="1:43" customFormat="1" x14ac:dyDescent="0.3">
      <c r="M971" s="14"/>
      <c r="Q971" s="10"/>
      <c r="T971" s="11"/>
      <c r="AA971" s="14"/>
      <c r="AK971" s="4"/>
    </row>
    <row r="972" spans="1:43" customFormat="1" x14ac:dyDescent="0.3">
      <c r="M972" s="14"/>
      <c r="Q972" s="10"/>
      <c r="T972" s="11"/>
      <c r="AA972" s="14"/>
      <c r="AK972" s="4"/>
    </row>
    <row r="973" spans="1:43" customFormat="1" x14ac:dyDescent="0.3">
      <c r="M973" s="14"/>
      <c r="Q973" s="10"/>
      <c r="T973" s="11"/>
      <c r="AA973" s="14"/>
      <c r="AK973" s="4"/>
    </row>
    <row r="974" spans="1:43" customFormat="1" x14ac:dyDescent="0.3">
      <c r="M974" s="14"/>
      <c r="Q974" s="10"/>
      <c r="T974" s="11"/>
      <c r="AA974" s="14"/>
      <c r="AK974" s="4"/>
    </row>
    <row r="975" spans="1:43" customFormat="1" x14ac:dyDescent="0.3">
      <c r="M975" s="14"/>
      <c r="Q975" s="10"/>
      <c r="T975" s="11"/>
      <c r="AA975" s="14"/>
      <c r="AK975" s="4"/>
    </row>
    <row r="976" spans="1:43" customFormat="1" x14ac:dyDescent="0.3">
      <c r="M976" s="14"/>
      <c r="Q976" s="10"/>
      <c r="T976" s="11"/>
      <c r="AA976" s="14"/>
      <c r="AK976" s="4"/>
    </row>
    <row r="977" spans="1:43" x14ac:dyDescent="0.3">
      <c r="A977"/>
      <c r="B977"/>
      <c r="C977"/>
      <c r="D977"/>
      <c r="F977"/>
      <c r="G977"/>
      <c r="H977"/>
      <c r="I977"/>
      <c r="J977"/>
      <c r="K977"/>
      <c r="L977"/>
      <c r="M977" s="14"/>
      <c r="N977"/>
      <c r="O977"/>
      <c r="P977"/>
      <c r="Q977" s="10"/>
      <c r="R977"/>
      <c r="S977"/>
      <c r="T977" s="11"/>
      <c r="U977"/>
      <c r="V977"/>
      <c r="W977"/>
      <c r="AA977" s="14"/>
      <c r="AB977"/>
      <c r="AC977"/>
      <c r="AD977"/>
      <c r="AE977"/>
      <c r="AF977"/>
      <c r="AH977"/>
      <c r="AI977"/>
      <c r="AK977" s="4"/>
      <c r="AL977"/>
      <c r="AM977"/>
      <c r="AN977"/>
      <c r="AO977"/>
      <c r="AP977"/>
      <c r="AQ977"/>
    </row>
    <row r="978" spans="1:43" x14ac:dyDescent="0.3">
      <c r="A978"/>
      <c r="B978"/>
      <c r="C978"/>
      <c r="D978"/>
      <c r="F978"/>
      <c r="G978"/>
      <c r="H978"/>
      <c r="I978"/>
      <c r="J978"/>
      <c r="K978"/>
      <c r="L978"/>
      <c r="M978" s="14"/>
      <c r="N978"/>
      <c r="O978"/>
      <c r="P978"/>
      <c r="Q978" s="10"/>
      <c r="R978"/>
      <c r="S978"/>
      <c r="T978" s="11"/>
      <c r="U978"/>
      <c r="V978"/>
      <c r="W978"/>
      <c r="AA978" s="14"/>
      <c r="AB978"/>
      <c r="AC978"/>
      <c r="AD978"/>
      <c r="AE978"/>
      <c r="AF978"/>
      <c r="AH978"/>
      <c r="AI978"/>
      <c r="AK978" s="4"/>
      <c r="AL978"/>
      <c r="AM978"/>
      <c r="AN978"/>
      <c r="AO978"/>
      <c r="AP978"/>
      <c r="AQ978"/>
    </row>
    <row r="979" spans="1:43" customFormat="1" x14ac:dyDescent="0.3">
      <c r="M979" s="14"/>
      <c r="Q979" s="10"/>
      <c r="T979" s="11"/>
      <c r="AA979" s="14"/>
      <c r="AK979" s="4"/>
    </row>
    <row r="980" spans="1:43" customFormat="1" x14ac:dyDescent="0.3">
      <c r="M980" s="14"/>
      <c r="Q980" s="10"/>
      <c r="T980" s="11"/>
      <c r="AA980" s="14"/>
      <c r="AK980" s="4"/>
    </row>
    <row r="981" spans="1:43" customFormat="1" x14ac:dyDescent="0.3">
      <c r="M981" s="14"/>
      <c r="Q981" s="10"/>
      <c r="T981" s="11"/>
      <c r="AA981" s="14"/>
      <c r="AK981" s="4"/>
    </row>
    <row r="982" spans="1:43" customFormat="1" x14ac:dyDescent="0.3">
      <c r="M982" s="14"/>
      <c r="Q982" s="10"/>
      <c r="T982" s="11"/>
      <c r="AA982" s="14"/>
      <c r="AK982" s="4"/>
    </row>
    <row r="983" spans="1:43" customFormat="1" x14ac:dyDescent="0.3">
      <c r="M983" s="14"/>
      <c r="Q983" s="10"/>
      <c r="T983" s="11"/>
      <c r="AA983" s="14"/>
      <c r="AK983" s="4"/>
    </row>
    <row r="984" spans="1:43" customFormat="1" x14ac:dyDescent="0.3">
      <c r="M984" s="14"/>
      <c r="Q984" s="10"/>
      <c r="T984" s="11"/>
      <c r="AA984" s="14"/>
      <c r="AK984" s="4"/>
    </row>
    <row r="985" spans="1:43" customFormat="1" x14ac:dyDescent="0.3">
      <c r="M985" s="14"/>
      <c r="Q985" s="10"/>
      <c r="T985" s="11"/>
      <c r="AA985" s="14"/>
      <c r="AK985" s="4"/>
    </row>
    <row r="986" spans="1:43" x14ac:dyDescent="0.3">
      <c r="A986"/>
      <c r="B986"/>
      <c r="C986"/>
      <c r="D986"/>
      <c r="F986"/>
      <c r="G986"/>
      <c r="H986"/>
      <c r="I986"/>
      <c r="J986"/>
      <c r="K986"/>
      <c r="L986"/>
      <c r="M986" s="14"/>
      <c r="N986"/>
      <c r="O986"/>
      <c r="P986"/>
      <c r="Q986" s="10"/>
      <c r="R986"/>
      <c r="S986"/>
      <c r="T986" s="11"/>
      <c r="U986"/>
      <c r="V986"/>
      <c r="W986"/>
      <c r="AA986" s="14"/>
      <c r="AB986"/>
      <c r="AC986"/>
      <c r="AD986"/>
      <c r="AE986"/>
      <c r="AF986"/>
      <c r="AH986"/>
      <c r="AI986"/>
      <c r="AK986" s="4"/>
      <c r="AL986"/>
      <c r="AM986"/>
      <c r="AN986"/>
      <c r="AO986"/>
      <c r="AP986"/>
      <c r="AQ986"/>
    </row>
    <row r="987" spans="1:43" x14ac:dyDescent="0.3">
      <c r="A987"/>
      <c r="B987"/>
      <c r="C987"/>
      <c r="D987"/>
      <c r="F987"/>
      <c r="G987"/>
      <c r="H987"/>
      <c r="I987"/>
      <c r="J987"/>
      <c r="K987"/>
      <c r="L987"/>
      <c r="M987" s="14"/>
      <c r="N987"/>
      <c r="O987"/>
      <c r="P987"/>
      <c r="Q987" s="10"/>
      <c r="R987"/>
      <c r="S987"/>
      <c r="T987" s="11"/>
      <c r="U987"/>
      <c r="V987"/>
      <c r="W987"/>
      <c r="AA987" s="14"/>
      <c r="AB987"/>
      <c r="AC987"/>
      <c r="AD987"/>
      <c r="AE987"/>
      <c r="AF987"/>
      <c r="AH987"/>
      <c r="AI987"/>
      <c r="AK987" s="4"/>
      <c r="AL987"/>
      <c r="AM987"/>
      <c r="AN987"/>
      <c r="AO987"/>
      <c r="AP987"/>
      <c r="AQ987"/>
    </row>
    <row r="988" spans="1:43" x14ac:dyDescent="0.3">
      <c r="A988"/>
      <c r="B988"/>
      <c r="C988"/>
      <c r="D988"/>
      <c r="F988"/>
      <c r="G988"/>
      <c r="H988"/>
      <c r="I988"/>
      <c r="J988"/>
      <c r="K988"/>
      <c r="L988"/>
      <c r="M988" s="14"/>
      <c r="N988"/>
      <c r="O988"/>
      <c r="P988"/>
      <c r="Q988" s="10"/>
      <c r="R988"/>
      <c r="S988"/>
      <c r="T988" s="11"/>
      <c r="U988"/>
      <c r="V988"/>
      <c r="W988"/>
      <c r="AA988" s="14"/>
      <c r="AB988"/>
      <c r="AC988"/>
      <c r="AD988"/>
      <c r="AE988"/>
      <c r="AF988"/>
      <c r="AH988"/>
      <c r="AI988"/>
      <c r="AK988" s="4"/>
      <c r="AL988"/>
      <c r="AM988"/>
      <c r="AN988"/>
      <c r="AO988"/>
      <c r="AP988"/>
      <c r="AQ988"/>
    </row>
    <row r="989" spans="1:43" x14ac:dyDescent="0.3">
      <c r="A989"/>
      <c r="B989"/>
      <c r="C989"/>
      <c r="D989"/>
      <c r="F989"/>
      <c r="G989"/>
      <c r="H989"/>
      <c r="I989"/>
      <c r="J989"/>
      <c r="K989"/>
      <c r="L989"/>
      <c r="M989" s="14"/>
      <c r="N989"/>
      <c r="O989"/>
      <c r="P989"/>
      <c r="Q989" s="10"/>
      <c r="R989"/>
      <c r="S989"/>
      <c r="T989" s="11"/>
      <c r="U989"/>
      <c r="V989"/>
      <c r="W989"/>
      <c r="AA989" s="14"/>
      <c r="AB989"/>
      <c r="AC989"/>
      <c r="AD989"/>
      <c r="AE989"/>
      <c r="AF989"/>
      <c r="AH989"/>
      <c r="AI989"/>
      <c r="AK989" s="4"/>
      <c r="AL989"/>
      <c r="AM989"/>
      <c r="AN989"/>
      <c r="AO989"/>
      <c r="AP989"/>
      <c r="AQ989"/>
    </row>
    <row r="990" spans="1:43" customFormat="1" x14ac:dyDescent="0.3">
      <c r="M990" s="14"/>
      <c r="Q990" s="10"/>
      <c r="T990" s="11"/>
      <c r="AA990" s="14"/>
      <c r="AK990" s="4"/>
    </row>
    <row r="991" spans="1:43" customFormat="1" x14ac:dyDescent="0.3">
      <c r="A991" s="1"/>
      <c r="B991" s="1"/>
      <c r="C991" s="1"/>
      <c r="D991" s="1"/>
      <c r="F991" s="1"/>
      <c r="G991" s="1"/>
      <c r="H991" s="1"/>
      <c r="I991" s="4"/>
      <c r="J991" s="1"/>
      <c r="K991" s="1"/>
      <c r="L991" s="12"/>
      <c r="M991" s="18"/>
      <c r="N991" s="1"/>
      <c r="O991" s="1"/>
      <c r="P991" s="1"/>
      <c r="Q991" s="12"/>
      <c r="R991" s="1"/>
      <c r="S991" s="1"/>
      <c r="T991" s="13"/>
      <c r="U991" s="1"/>
      <c r="V991" s="1"/>
      <c r="W991" s="1"/>
      <c r="AA991" s="14"/>
      <c r="AB991" s="1"/>
      <c r="AC991" s="1"/>
      <c r="AD991" s="1"/>
      <c r="AE991" s="1"/>
      <c r="AF991" s="1"/>
      <c r="AH991" s="1"/>
      <c r="AI991" s="1"/>
      <c r="AK991" s="4"/>
      <c r="AL991" s="1"/>
      <c r="AM991" s="1"/>
      <c r="AN991" s="1"/>
      <c r="AO991" s="1"/>
      <c r="AP991" s="1"/>
      <c r="AQ991" s="1"/>
    </row>
    <row r="992" spans="1:43" x14ac:dyDescent="0.3">
      <c r="A992"/>
      <c r="B992"/>
      <c r="C992"/>
      <c r="D992"/>
      <c r="F992"/>
      <c r="G992"/>
      <c r="H992"/>
      <c r="I992"/>
      <c r="J992"/>
      <c r="K992"/>
      <c r="L992"/>
      <c r="M992" s="14"/>
      <c r="N992"/>
      <c r="O992"/>
      <c r="P992"/>
      <c r="Q992" s="10"/>
      <c r="R992"/>
      <c r="S992"/>
      <c r="T992" s="11"/>
      <c r="U992"/>
      <c r="V992"/>
      <c r="W992"/>
      <c r="AA992" s="14"/>
      <c r="AB992"/>
      <c r="AC992"/>
      <c r="AD992"/>
      <c r="AE992"/>
      <c r="AF992"/>
      <c r="AH992"/>
      <c r="AI992"/>
      <c r="AK992" s="4"/>
      <c r="AL992"/>
      <c r="AM992"/>
      <c r="AN992"/>
      <c r="AO992"/>
      <c r="AP992"/>
      <c r="AQ992"/>
    </row>
    <row r="993" spans="1:43" customFormat="1" x14ac:dyDescent="0.3">
      <c r="M993" s="14"/>
      <c r="Q993" s="10"/>
      <c r="T993" s="11"/>
      <c r="AA993" s="14"/>
      <c r="AK993" s="4"/>
    </row>
    <row r="994" spans="1:43" customFormat="1" x14ac:dyDescent="0.3">
      <c r="M994" s="14"/>
      <c r="Q994" s="10"/>
      <c r="T994" s="11"/>
      <c r="AA994" s="14"/>
      <c r="AK994" s="4"/>
    </row>
    <row r="995" spans="1:43" customFormat="1" x14ac:dyDescent="0.3">
      <c r="M995" s="14"/>
      <c r="Q995" s="10"/>
      <c r="T995" s="11"/>
      <c r="AA995" s="14"/>
      <c r="AK995" s="4"/>
    </row>
    <row r="996" spans="1:43" customFormat="1" x14ac:dyDescent="0.3">
      <c r="M996" s="14"/>
      <c r="Q996" s="10"/>
      <c r="T996" s="11"/>
      <c r="AA996" s="14"/>
      <c r="AK996" s="4"/>
    </row>
    <row r="997" spans="1:43" x14ac:dyDescent="0.3">
      <c r="A997"/>
      <c r="B997"/>
      <c r="C997"/>
      <c r="D997"/>
      <c r="F997"/>
      <c r="G997"/>
      <c r="H997"/>
      <c r="I997"/>
      <c r="J997"/>
      <c r="K997"/>
      <c r="L997"/>
      <c r="M997" s="14"/>
      <c r="N997"/>
      <c r="O997"/>
      <c r="P997"/>
      <c r="Q997" s="10"/>
      <c r="R997"/>
      <c r="S997"/>
      <c r="T997" s="11"/>
      <c r="U997"/>
      <c r="V997"/>
      <c r="W997"/>
      <c r="AA997" s="14"/>
      <c r="AB997"/>
      <c r="AC997"/>
      <c r="AD997"/>
      <c r="AE997"/>
      <c r="AF997"/>
      <c r="AH997"/>
      <c r="AI997"/>
      <c r="AK997" s="4"/>
      <c r="AL997"/>
      <c r="AM997"/>
      <c r="AN997"/>
      <c r="AO997"/>
      <c r="AP997"/>
      <c r="AQ997"/>
    </row>
    <row r="998" spans="1:43" customFormat="1" x14ac:dyDescent="0.3">
      <c r="M998" s="14"/>
      <c r="Q998" s="10"/>
      <c r="T998" s="11"/>
      <c r="AA998" s="14"/>
      <c r="AK998" s="4"/>
    </row>
    <row r="999" spans="1:43" customFormat="1" x14ac:dyDescent="0.3">
      <c r="M999" s="14"/>
      <c r="Q999" s="10"/>
      <c r="T999" s="11"/>
      <c r="AA999" s="14"/>
      <c r="AK999" s="4"/>
    </row>
    <row r="1000" spans="1:43" customFormat="1" x14ac:dyDescent="0.3">
      <c r="M1000" s="14"/>
      <c r="Q1000" s="10"/>
      <c r="T1000" s="11"/>
      <c r="AA1000" s="14"/>
      <c r="AK1000" s="4"/>
    </row>
    <row r="1001" spans="1:43" customFormat="1" x14ac:dyDescent="0.3">
      <c r="M1001" s="14"/>
      <c r="Q1001" s="10"/>
      <c r="T1001" s="11"/>
      <c r="AA1001" s="14"/>
      <c r="AK1001" s="4"/>
    </row>
    <row r="1002" spans="1:43" x14ac:dyDescent="0.3">
      <c r="A1002"/>
      <c r="B1002"/>
      <c r="C1002"/>
      <c r="D1002"/>
      <c r="F1002"/>
      <c r="G1002"/>
      <c r="H1002"/>
      <c r="I1002"/>
      <c r="J1002"/>
      <c r="K1002"/>
      <c r="L1002"/>
      <c r="M1002" s="14"/>
      <c r="N1002"/>
      <c r="O1002"/>
      <c r="P1002"/>
      <c r="Q1002" s="10"/>
      <c r="R1002"/>
      <c r="S1002"/>
      <c r="T1002" s="11"/>
      <c r="U1002"/>
      <c r="V1002"/>
      <c r="W1002"/>
      <c r="AA1002" s="14"/>
      <c r="AB1002"/>
      <c r="AC1002"/>
      <c r="AD1002"/>
      <c r="AE1002"/>
      <c r="AF1002"/>
      <c r="AH1002"/>
      <c r="AI1002"/>
      <c r="AK1002" s="4"/>
      <c r="AL1002"/>
      <c r="AM1002"/>
      <c r="AN1002"/>
      <c r="AO1002"/>
      <c r="AP1002"/>
      <c r="AQ1002"/>
    </row>
    <row r="1003" spans="1:43" customFormat="1" x14ac:dyDescent="0.3">
      <c r="M1003" s="14"/>
      <c r="Q1003" s="10"/>
      <c r="T1003" s="11"/>
      <c r="AA1003" s="14"/>
      <c r="AK1003" s="4"/>
    </row>
    <row r="1004" spans="1:43" customFormat="1" x14ac:dyDescent="0.3">
      <c r="M1004" s="14"/>
      <c r="Q1004" s="10"/>
      <c r="T1004" s="11"/>
      <c r="AA1004" s="14"/>
      <c r="AK1004" s="4"/>
    </row>
    <row r="1005" spans="1:43" customFormat="1" x14ac:dyDescent="0.3">
      <c r="M1005" s="14"/>
      <c r="Q1005" s="10"/>
      <c r="T1005" s="11"/>
      <c r="AA1005" s="14"/>
      <c r="AK1005" s="4"/>
    </row>
    <row r="1006" spans="1:43" customFormat="1" x14ac:dyDescent="0.3">
      <c r="M1006" s="14"/>
      <c r="Q1006" s="10"/>
      <c r="T1006" s="11"/>
      <c r="AA1006" s="14"/>
      <c r="AK1006" s="4"/>
    </row>
    <row r="1007" spans="1:43" customFormat="1" x14ac:dyDescent="0.3">
      <c r="M1007" s="14"/>
      <c r="Q1007" s="10"/>
      <c r="T1007" s="11"/>
      <c r="AA1007" s="14"/>
      <c r="AK1007" s="4"/>
    </row>
    <row r="1008" spans="1:43" customFormat="1" x14ac:dyDescent="0.3">
      <c r="A1008" s="1"/>
      <c r="B1008" s="1"/>
      <c r="C1008" s="1"/>
      <c r="D1008" s="1"/>
      <c r="F1008" s="1"/>
      <c r="G1008" s="1"/>
      <c r="H1008" s="1"/>
      <c r="I1008" s="4"/>
      <c r="J1008" s="1"/>
      <c r="K1008" s="1"/>
      <c r="L1008" s="1"/>
      <c r="M1008" s="4"/>
      <c r="N1008" s="1"/>
      <c r="O1008" s="1"/>
      <c r="P1008" s="1"/>
      <c r="Q1008" s="12"/>
      <c r="R1008" s="1"/>
      <c r="S1008" s="1"/>
      <c r="T1008" s="13"/>
      <c r="U1008" s="1"/>
      <c r="V1008" s="1"/>
      <c r="W1008" s="1"/>
      <c r="AA1008" s="14"/>
      <c r="AB1008" s="1"/>
      <c r="AC1008" s="1"/>
      <c r="AD1008" s="1"/>
      <c r="AE1008" s="1"/>
      <c r="AF1008" s="1"/>
      <c r="AH1008" s="1"/>
      <c r="AI1008" s="1"/>
      <c r="AK1008" s="4"/>
      <c r="AL1008" s="1"/>
      <c r="AM1008" s="1"/>
      <c r="AN1008" s="1"/>
      <c r="AO1008" s="1"/>
      <c r="AP1008" s="1"/>
      <c r="AQ1008" s="1"/>
    </row>
    <row r="1009" spans="1:43" customFormat="1" x14ac:dyDescent="0.3">
      <c r="M1009" s="14"/>
      <c r="Q1009" s="10"/>
      <c r="T1009" s="11"/>
      <c r="AA1009" s="14"/>
      <c r="AK1009" s="4"/>
    </row>
    <row r="1010" spans="1:43" customFormat="1" x14ac:dyDescent="0.3">
      <c r="M1010" s="14"/>
      <c r="Q1010" s="10"/>
      <c r="T1010" s="11"/>
      <c r="AA1010" s="14"/>
      <c r="AK1010" s="4"/>
    </row>
    <row r="1011" spans="1:43" customFormat="1" x14ac:dyDescent="0.3">
      <c r="M1011" s="14"/>
      <c r="Q1011" s="10"/>
      <c r="T1011" s="11"/>
      <c r="AA1011" s="14"/>
      <c r="AK1011" s="4"/>
    </row>
    <row r="1012" spans="1:43" customFormat="1" x14ac:dyDescent="0.3">
      <c r="M1012" s="14"/>
      <c r="Q1012" s="10"/>
      <c r="T1012" s="11"/>
      <c r="AA1012" s="14"/>
      <c r="AK1012" s="4"/>
    </row>
    <row r="1013" spans="1:43" x14ac:dyDescent="0.3">
      <c r="A1013"/>
      <c r="B1013"/>
      <c r="C1013"/>
      <c r="D1013"/>
      <c r="F1013"/>
      <c r="G1013"/>
      <c r="H1013"/>
      <c r="I1013"/>
      <c r="J1013"/>
      <c r="K1013"/>
      <c r="L1013"/>
      <c r="M1013" s="14"/>
      <c r="N1013"/>
      <c r="O1013"/>
      <c r="P1013"/>
      <c r="Q1013" s="10"/>
      <c r="R1013"/>
      <c r="S1013"/>
      <c r="T1013" s="11"/>
      <c r="U1013"/>
      <c r="V1013"/>
      <c r="W1013"/>
      <c r="AA1013" s="14"/>
      <c r="AB1013"/>
      <c r="AC1013"/>
      <c r="AD1013"/>
      <c r="AE1013"/>
      <c r="AF1013"/>
      <c r="AH1013"/>
      <c r="AI1013"/>
      <c r="AK1013" s="4"/>
      <c r="AL1013"/>
      <c r="AM1013"/>
      <c r="AN1013"/>
      <c r="AO1013"/>
      <c r="AP1013"/>
      <c r="AQ1013"/>
    </row>
    <row r="1014" spans="1:43" x14ac:dyDescent="0.3">
      <c r="A1014"/>
      <c r="B1014"/>
      <c r="C1014"/>
      <c r="D1014"/>
      <c r="F1014"/>
      <c r="G1014"/>
      <c r="H1014"/>
      <c r="I1014"/>
      <c r="J1014"/>
      <c r="K1014"/>
      <c r="L1014"/>
      <c r="M1014" s="14"/>
      <c r="N1014"/>
      <c r="O1014"/>
      <c r="P1014"/>
      <c r="Q1014" s="10"/>
      <c r="R1014"/>
      <c r="S1014"/>
      <c r="T1014" s="11"/>
      <c r="U1014"/>
      <c r="V1014"/>
      <c r="W1014"/>
      <c r="AA1014" s="14"/>
      <c r="AB1014"/>
      <c r="AC1014"/>
      <c r="AD1014"/>
      <c r="AE1014"/>
      <c r="AF1014"/>
      <c r="AH1014"/>
      <c r="AI1014"/>
      <c r="AK1014" s="4"/>
      <c r="AL1014"/>
      <c r="AM1014"/>
      <c r="AN1014"/>
      <c r="AO1014"/>
      <c r="AP1014"/>
      <c r="AQ1014"/>
    </row>
    <row r="1015" spans="1:43" x14ac:dyDescent="0.3">
      <c r="A1015"/>
      <c r="B1015"/>
      <c r="C1015"/>
      <c r="D1015"/>
      <c r="F1015"/>
      <c r="G1015"/>
      <c r="H1015"/>
      <c r="I1015"/>
      <c r="J1015"/>
      <c r="K1015"/>
      <c r="L1015"/>
      <c r="M1015" s="14"/>
      <c r="N1015"/>
      <c r="O1015"/>
      <c r="P1015"/>
      <c r="Q1015" s="10"/>
      <c r="R1015"/>
      <c r="S1015"/>
      <c r="T1015" s="11"/>
      <c r="U1015"/>
      <c r="V1015"/>
      <c r="W1015"/>
      <c r="AA1015" s="14"/>
      <c r="AB1015"/>
      <c r="AC1015"/>
      <c r="AD1015"/>
      <c r="AE1015"/>
      <c r="AF1015"/>
      <c r="AH1015"/>
      <c r="AI1015"/>
      <c r="AK1015" s="4"/>
      <c r="AL1015"/>
      <c r="AM1015"/>
      <c r="AN1015"/>
      <c r="AO1015"/>
      <c r="AP1015"/>
      <c r="AQ1015"/>
    </row>
    <row r="1016" spans="1:43" x14ac:dyDescent="0.3">
      <c r="A1016"/>
      <c r="B1016"/>
      <c r="C1016"/>
      <c r="D1016"/>
      <c r="F1016"/>
      <c r="G1016"/>
      <c r="H1016"/>
      <c r="I1016"/>
      <c r="J1016"/>
      <c r="K1016"/>
      <c r="L1016"/>
      <c r="M1016" s="14"/>
      <c r="N1016"/>
      <c r="O1016"/>
      <c r="P1016"/>
      <c r="Q1016" s="10"/>
      <c r="R1016"/>
      <c r="S1016"/>
      <c r="T1016" s="11"/>
      <c r="U1016"/>
      <c r="V1016"/>
      <c r="W1016"/>
      <c r="AA1016" s="14"/>
      <c r="AB1016"/>
      <c r="AC1016"/>
      <c r="AD1016"/>
      <c r="AE1016"/>
      <c r="AF1016"/>
      <c r="AH1016"/>
      <c r="AI1016"/>
      <c r="AK1016" s="4"/>
      <c r="AL1016"/>
      <c r="AM1016"/>
      <c r="AN1016"/>
      <c r="AO1016"/>
      <c r="AP1016"/>
      <c r="AQ1016"/>
    </row>
    <row r="1017" spans="1:43" x14ac:dyDescent="0.3">
      <c r="A1017"/>
      <c r="B1017"/>
      <c r="C1017"/>
      <c r="D1017"/>
      <c r="F1017"/>
      <c r="G1017"/>
      <c r="H1017"/>
      <c r="I1017"/>
      <c r="J1017"/>
      <c r="K1017"/>
      <c r="L1017"/>
      <c r="M1017" s="14"/>
      <c r="N1017"/>
      <c r="O1017"/>
      <c r="P1017"/>
      <c r="Q1017" s="10"/>
      <c r="R1017"/>
      <c r="S1017"/>
      <c r="T1017" s="11"/>
      <c r="U1017"/>
      <c r="V1017"/>
      <c r="W1017"/>
      <c r="AA1017" s="14"/>
      <c r="AB1017"/>
      <c r="AC1017"/>
      <c r="AD1017"/>
      <c r="AE1017"/>
      <c r="AF1017"/>
      <c r="AH1017"/>
      <c r="AI1017"/>
      <c r="AK1017" s="4"/>
      <c r="AL1017"/>
      <c r="AM1017"/>
      <c r="AN1017"/>
      <c r="AO1017"/>
      <c r="AP1017"/>
      <c r="AQ1017"/>
    </row>
    <row r="1018" spans="1:43" x14ac:dyDescent="0.3">
      <c r="A1018"/>
      <c r="B1018"/>
      <c r="C1018"/>
      <c r="D1018"/>
      <c r="F1018"/>
      <c r="G1018"/>
      <c r="H1018"/>
      <c r="I1018"/>
      <c r="J1018"/>
      <c r="K1018"/>
      <c r="L1018"/>
      <c r="M1018" s="14"/>
      <c r="N1018"/>
      <c r="O1018"/>
      <c r="P1018"/>
      <c r="Q1018" s="10"/>
      <c r="R1018"/>
      <c r="S1018"/>
      <c r="T1018" s="11"/>
      <c r="U1018"/>
      <c r="V1018"/>
      <c r="W1018"/>
      <c r="AA1018" s="14"/>
      <c r="AB1018"/>
      <c r="AC1018"/>
      <c r="AD1018"/>
      <c r="AE1018"/>
      <c r="AF1018"/>
      <c r="AH1018"/>
      <c r="AI1018"/>
      <c r="AK1018" s="4"/>
      <c r="AL1018"/>
      <c r="AM1018"/>
      <c r="AN1018"/>
      <c r="AO1018"/>
      <c r="AP1018"/>
      <c r="AQ1018"/>
    </row>
    <row r="1019" spans="1:43" x14ac:dyDescent="0.3">
      <c r="A1019"/>
      <c r="B1019"/>
      <c r="C1019"/>
      <c r="D1019"/>
      <c r="F1019"/>
      <c r="G1019"/>
      <c r="H1019"/>
      <c r="I1019"/>
      <c r="J1019"/>
      <c r="K1019"/>
      <c r="L1019"/>
      <c r="M1019" s="14"/>
      <c r="N1019"/>
      <c r="O1019"/>
      <c r="P1019"/>
      <c r="Q1019" s="10"/>
      <c r="R1019"/>
      <c r="S1019"/>
      <c r="T1019" s="11"/>
      <c r="U1019"/>
      <c r="V1019"/>
      <c r="W1019"/>
      <c r="AA1019" s="14"/>
      <c r="AB1019"/>
      <c r="AC1019"/>
      <c r="AD1019"/>
      <c r="AE1019"/>
      <c r="AF1019"/>
      <c r="AH1019"/>
      <c r="AI1019"/>
      <c r="AK1019" s="4"/>
      <c r="AL1019"/>
      <c r="AM1019"/>
      <c r="AN1019"/>
      <c r="AO1019"/>
      <c r="AP1019"/>
      <c r="AQ1019"/>
    </row>
    <row r="1020" spans="1:43" x14ac:dyDescent="0.3">
      <c r="A1020"/>
      <c r="B1020"/>
      <c r="C1020"/>
      <c r="D1020"/>
      <c r="F1020"/>
      <c r="G1020"/>
      <c r="H1020"/>
      <c r="I1020"/>
      <c r="J1020"/>
      <c r="K1020"/>
      <c r="L1020"/>
      <c r="M1020" s="14"/>
      <c r="N1020"/>
      <c r="O1020"/>
      <c r="P1020"/>
      <c r="Q1020" s="10"/>
      <c r="R1020"/>
      <c r="S1020"/>
      <c r="T1020" s="11"/>
      <c r="U1020"/>
      <c r="V1020"/>
      <c r="W1020"/>
      <c r="AA1020" s="14"/>
      <c r="AB1020"/>
      <c r="AC1020"/>
      <c r="AD1020"/>
      <c r="AE1020"/>
      <c r="AF1020"/>
      <c r="AH1020"/>
      <c r="AI1020"/>
      <c r="AK1020" s="4"/>
      <c r="AL1020"/>
      <c r="AM1020"/>
      <c r="AN1020"/>
      <c r="AO1020"/>
      <c r="AP1020"/>
      <c r="AQ1020"/>
    </row>
    <row r="1021" spans="1:43" x14ac:dyDescent="0.3">
      <c r="A1021"/>
      <c r="B1021"/>
      <c r="C1021"/>
      <c r="D1021"/>
      <c r="F1021"/>
      <c r="G1021"/>
      <c r="H1021"/>
      <c r="I1021"/>
      <c r="J1021"/>
      <c r="K1021"/>
      <c r="L1021"/>
      <c r="M1021" s="14"/>
      <c r="N1021"/>
      <c r="O1021"/>
      <c r="P1021"/>
      <c r="Q1021" s="10"/>
      <c r="R1021"/>
      <c r="S1021"/>
      <c r="T1021" s="11"/>
      <c r="U1021"/>
      <c r="V1021"/>
      <c r="W1021"/>
      <c r="AA1021" s="14"/>
      <c r="AB1021"/>
      <c r="AC1021"/>
      <c r="AD1021"/>
      <c r="AE1021"/>
      <c r="AF1021"/>
      <c r="AH1021"/>
      <c r="AI1021"/>
      <c r="AK1021" s="4"/>
      <c r="AL1021"/>
      <c r="AM1021"/>
      <c r="AN1021"/>
      <c r="AO1021"/>
      <c r="AP1021"/>
      <c r="AQ1021"/>
    </row>
    <row r="1022" spans="1:43" x14ac:dyDescent="0.3">
      <c r="A1022"/>
      <c r="B1022"/>
      <c r="C1022"/>
      <c r="D1022"/>
      <c r="F1022"/>
      <c r="G1022"/>
      <c r="H1022"/>
      <c r="I1022"/>
      <c r="J1022"/>
      <c r="K1022"/>
      <c r="L1022"/>
      <c r="M1022" s="14"/>
      <c r="N1022"/>
      <c r="O1022"/>
      <c r="P1022"/>
      <c r="Q1022" s="10"/>
      <c r="R1022"/>
      <c r="S1022"/>
      <c r="T1022" s="11"/>
      <c r="U1022"/>
      <c r="V1022"/>
      <c r="W1022"/>
      <c r="AA1022" s="14"/>
      <c r="AB1022"/>
      <c r="AC1022"/>
      <c r="AD1022"/>
      <c r="AE1022"/>
      <c r="AF1022"/>
      <c r="AH1022"/>
      <c r="AI1022"/>
      <c r="AK1022" s="4"/>
      <c r="AL1022"/>
      <c r="AM1022"/>
      <c r="AN1022"/>
      <c r="AO1022"/>
      <c r="AP1022"/>
      <c r="AQ1022"/>
    </row>
    <row r="1023" spans="1:43" x14ac:dyDescent="0.3">
      <c r="A1023"/>
      <c r="B1023"/>
      <c r="C1023"/>
      <c r="D1023"/>
      <c r="F1023"/>
      <c r="G1023"/>
      <c r="H1023"/>
      <c r="I1023"/>
      <c r="J1023"/>
      <c r="K1023"/>
      <c r="L1023"/>
      <c r="M1023" s="14"/>
      <c r="N1023"/>
      <c r="O1023"/>
      <c r="P1023"/>
      <c r="Q1023" s="10"/>
      <c r="R1023"/>
      <c r="S1023"/>
      <c r="T1023" s="11"/>
      <c r="U1023"/>
      <c r="V1023"/>
      <c r="W1023"/>
      <c r="AA1023" s="14"/>
      <c r="AB1023"/>
      <c r="AC1023"/>
      <c r="AD1023"/>
      <c r="AE1023"/>
      <c r="AF1023"/>
      <c r="AH1023"/>
      <c r="AI1023"/>
      <c r="AK1023" s="4"/>
      <c r="AL1023"/>
      <c r="AM1023"/>
      <c r="AN1023"/>
      <c r="AO1023"/>
      <c r="AP1023"/>
      <c r="AQ1023"/>
    </row>
    <row r="1024" spans="1:43" x14ac:dyDescent="0.3">
      <c r="A1024"/>
      <c r="B1024"/>
      <c r="C1024"/>
      <c r="D1024"/>
      <c r="F1024"/>
      <c r="G1024"/>
      <c r="H1024"/>
      <c r="I1024"/>
      <c r="J1024"/>
      <c r="K1024"/>
      <c r="L1024"/>
      <c r="M1024" s="14"/>
      <c r="N1024"/>
      <c r="O1024"/>
      <c r="P1024"/>
      <c r="Q1024" s="10"/>
      <c r="R1024"/>
      <c r="S1024"/>
      <c r="T1024" s="11"/>
      <c r="U1024"/>
      <c r="V1024"/>
      <c r="W1024"/>
      <c r="AA1024" s="14"/>
      <c r="AB1024"/>
      <c r="AC1024"/>
      <c r="AD1024"/>
      <c r="AE1024"/>
      <c r="AF1024"/>
      <c r="AH1024"/>
      <c r="AI1024"/>
      <c r="AK1024" s="4"/>
      <c r="AL1024"/>
      <c r="AM1024"/>
      <c r="AN1024"/>
      <c r="AO1024"/>
      <c r="AP1024"/>
      <c r="AQ1024"/>
    </row>
    <row r="1025" spans="1:43" x14ac:dyDescent="0.3">
      <c r="A1025"/>
      <c r="B1025"/>
      <c r="C1025"/>
      <c r="D1025"/>
      <c r="F1025"/>
      <c r="G1025"/>
      <c r="H1025"/>
      <c r="I1025"/>
      <c r="J1025"/>
      <c r="K1025"/>
      <c r="L1025"/>
      <c r="M1025" s="14"/>
      <c r="N1025"/>
      <c r="O1025"/>
      <c r="P1025"/>
      <c r="Q1025" s="10"/>
      <c r="R1025"/>
      <c r="S1025"/>
      <c r="T1025" s="11"/>
      <c r="U1025"/>
      <c r="V1025"/>
      <c r="W1025"/>
      <c r="AA1025" s="14"/>
      <c r="AB1025"/>
      <c r="AC1025"/>
      <c r="AD1025"/>
      <c r="AE1025"/>
      <c r="AF1025"/>
      <c r="AH1025"/>
      <c r="AI1025"/>
      <c r="AK1025" s="4"/>
      <c r="AL1025"/>
      <c r="AM1025"/>
      <c r="AN1025"/>
      <c r="AO1025"/>
      <c r="AP1025"/>
      <c r="AQ1025"/>
    </row>
    <row r="1026" spans="1:43" customFormat="1" x14ac:dyDescent="0.3">
      <c r="M1026" s="14"/>
      <c r="Q1026" s="10"/>
      <c r="T1026" s="11"/>
      <c r="AA1026" s="14"/>
      <c r="AK1026" s="4"/>
    </row>
    <row r="1027" spans="1:43" customFormat="1" x14ac:dyDescent="0.3">
      <c r="M1027" s="14"/>
      <c r="Q1027" s="10"/>
      <c r="T1027" s="11"/>
      <c r="AA1027" s="14"/>
      <c r="AK1027" s="4"/>
    </row>
    <row r="1028" spans="1:43" customFormat="1" x14ac:dyDescent="0.3">
      <c r="M1028" s="14"/>
      <c r="Q1028" s="10"/>
      <c r="T1028" s="11"/>
      <c r="AA1028" s="14"/>
      <c r="AK1028" s="4"/>
    </row>
    <row r="1029" spans="1:43" customFormat="1" x14ac:dyDescent="0.3">
      <c r="M1029" s="14"/>
      <c r="Q1029" s="10"/>
      <c r="T1029" s="11"/>
      <c r="AA1029" s="14"/>
      <c r="AK1029" s="4"/>
    </row>
    <row r="1030" spans="1:43" x14ac:dyDescent="0.3">
      <c r="A1030"/>
      <c r="B1030"/>
      <c r="C1030"/>
      <c r="D1030"/>
      <c r="F1030"/>
      <c r="G1030"/>
      <c r="H1030"/>
      <c r="I1030"/>
      <c r="J1030"/>
      <c r="K1030"/>
      <c r="L1030"/>
      <c r="M1030" s="14"/>
      <c r="N1030"/>
      <c r="O1030"/>
      <c r="P1030"/>
      <c r="Q1030" s="10"/>
      <c r="R1030"/>
      <c r="S1030"/>
      <c r="T1030" s="11"/>
      <c r="U1030"/>
      <c r="V1030"/>
      <c r="W1030"/>
      <c r="AA1030" s="14"/>
      <c r="AB1030"/>
      <c r="AC1030"/>
      <c r="AD1030"/>
      <c r="AE1030"/>
      <c r="AF1030"/>
      <c r="AH1030"/>
      <c r="AI1030"/>
      <c r="AK1030" s="4"/>
      <c r="AL1030"/>
      <c r="AM1030"/>
      <c r="AN1030"/>
      <c r="AO1030"/>
      <c r="AP1030"/>
      <c r="AQ1030"/>
    </row>
    <row r="1031" spans="1:43" customFormat="1" x14ac:dyDescent="0.3">
      <c r="M1031" s="14"/>
      <c r="Q1031" s="10"/>
      <c r="T1031" s="11"/>
      <c r="AA1031" s="14"/>
      <c r="AK1031" s="4"/>
    </row>
    <row r="1032" spans="1:43" customFormat="1" x14ac:dyDescent="0.3">
      <c r="M1032" s="14"/>
      <c r="Q1032" s="10"/>
      <c r="T1032" s="11"/>
      <c r="AA1032" s="14"/>
      <c r="AK1032" s="4"/>
    </row>
    <row r="1033" spans="1:43" customFormat="1" x14ac:dyDescent="0.3">
      <c r="M1033" s="14"/>
      <c r="Q1033" s="10"/>
      <c r="T1033" s="11"/>
      <c r="AA1033" s="14"/>
      <c r="AK1033" s="4"/>
    </row>
    <row r="1034" spans="1:43" customFormat="1" x14ac:dyDescent="0.3">
      <c r="M1034" s="14"/>
      <c r="Q1034" s="10"/>
      <c r="T1034" s="11"/>
      <c r="AA1034" s="14"/>
      <c r="AK1034" s="4"/>
    </row>
    <row r="1035" spans="1:43" customFormat="1" x14ac:dyDescent="0.3">
      <c r="M1035" s="14"/>
      <c r="Q1035" s="10"/>
      <c r="T1035" s="11"/>
      <c r="AA1035" s="14"/>
      <c r="AK1035" s="4"/>
    </row>
    <row r="1036" spans="1:43" customFormat="1" x14ac:dyDescent="0.3">
      <c r="M1036" s="14"/>
      <c r="Q1036" s="10"/>
      <c r="T1036" s="11"/>
      <c r="AA1036" s="14"/>
      <c r="AK1036" s="4"/>
    </row>
    <row r="1037" spans="1:43" customFormat="1" x14ac:dyDescent="0.3">
      <c r="M1037" s="14"/>
      <c r="Q1037" s="10"/>
      <c r="T1037" s="11"/>
      <c r="AA1037" s="14"/>
      <c r="AK1037" s="4"/>
    </row>
    <row r="1038" spans="1:43" customFormat="1" x14ac:dyDescent="0.3">
      <c r="M1038" s="14"/>
      <c r="Q1038" s="10"/>
      <c r="T1038" s="11"/>
      <c r="AA1038" s="14"/>
      <c r="AK1038" s="4"/>
    </row>
    <row r="1039" spans="1:43" customFormat="1" x14ac:dyDescent="0.3">
      <c r="M1039" s="14"/>
      <c r="Q1039" s="10"/>
      <c r="T1039" s="11"/>
      <c r="AA1039" s="14"/>
      <c r="AK1039" s="4"/>
    </row>
    <row r="1040" spans="1:43" x14ac:dyDescent="0.3">
      <c r="A1040"/>
      <c r="B1040"/>
      <c r="C1040"/>
      <c r="D1040"/>
      <c r="F1040"/>
      <c r="G1040"/>
      <c r="H1040"/>
      <c r="I1040"/>
      <c r="J1040"/>
      <c r="K1040"/>
      <c r="L1040"/>
      <c r="M1040" s="14"/>
      <c r="N1040"/>
      <c r="O1040"/>
      <c r="P1040"/>
      <c r="Q1040" s="10"/>
      <c r="R1040"/>
      <c r="S1040"/>
      <c r="T1040" s="11"/>
      <c r="U1040"/>
      <c r="V1040"/>
      <c r="W1040"/>
      <c r="AA1040" s="14"/>
      <c r="AB1040"/>
      <c r="AC1040"/>
      <c r="AD1040"/>
      <c r="AE1040"/>
      <c r="AF1040"/>
      <c r="AH1040"/>
      <c r="AI1040"/>
      <c r="AK1040" s="4"/>
      <c r="AL1040"/>
      <c r="AM1040"/>
      <c r="AN1040"/>
      <c r="AO1040"/>
      <c r="AP1040"/>
      <c r="AQ1040"/>
    </row>
    <row r="1041" spans="1:43" x14ac:dyDescent="0.3">
      <c r="A1041"/>
      <c r="B1041"/>
      <c r="C1041"/>
      <c r="D1041"/>
      <c r="F1041"/>
      <c r="G1041"/>
      <c r="H1041"/>
      <c r="I1041"/>
      <c r="J1041"/>
      <c r="K1041"/>
      <c r="L1041"/>
      <c r="M1041" s="14"/>
      <c r="N1041"/>
      <c r="O1041"/>
      <c r="P1041"/>
      <c r="Q1041" s="10"/>
      <c r="R1041"/>
      <c r="S1041"/>
      <c r="T1041" s="11"/>
      <c r="U1041"/>
      <c r="V1041"/>
      <c r="W1041"/>
      <c r="AA1041" s="14"/>
      <c r="AB1041"/>
      <c r="AC1041"/>
      <c r="AD1041"/>
      <c r="AE1041"/>
      <c r="AF1041"/>
      <c r="AH1041"/>
      <c r="AI1041"/>
      <c r="AK1041" s="4"/>
      <c r="AL1041"/>
      <c r="AM1041"/>
      <c r="AN1041"/>
      <c r="AO1041"/>
      <c r="AP1041"/>
      <c r="AQ1041"/>
    </row>
    <row r="1042" spans="1:43" customFormat="1" x14ac:dyDescent="0.3">
      <c r="M1042" s="14"/>
      <c r="Q1042" s="10"/>
      <c r="T1042" s="11"/>
      <c r="AA1042" s="14"/>
      <c r="AK1042" s="4"/>
    </row>
    <row r="1043" spans="1:43" x14ac:dyDescent="0.3">
      <c r="A1043"/>
      <c r="B1043"/>
      <c r="C1043"/>
      <c r="D1043"/>
      <c r="F1043"/>
      <c r="G1043"/>
      <c r="H1043"/>
      <c r="I1043"/>
      <c r="J1043"/>
      <c r="K1043"/>
      <c r="L1043"/>
      <c r="M1043" s="14"/>
      <c r="N1043"/>
      <c r="O1043"/>
      <c r="P1043"/>
      <c r="Q1043" s="10"/>
      <c r="R1043"/>
      <c r="S1043"/>
      <c r="T1043" s="11"/>
      <c r="U1043"/>
      <c r="V1043"/>
      <c r="W1043"/>
      <c r="AA1043" s="14"/>
      <c r="AB1043"/>
      <c r="AC1043"/>
      <c r="AD1043"/>
      <c r="AE1043"/>
      <c r="AF1043"/>
      <c r="AH1043"/>
      <c r="AI1043"/>
      <c r="AK1043" s="4"/>
      <c r="AL1043"/>
      <c r="AM1043"/>
      <c r="AN1043"/>
      <c r="AO1043"/>
      <c r="AP1043"/>
      <c r="AQ1043"/>
    </row>
    <row r="1044" spans="1:43" x14ac:dyDescent="0.3">
      <c r="A1044"/>
      <c r="B1044"/>
      <c r="C1044"/>
      <c r="D1044"/>
      <c r="F1044"/>
      <c r="G1044"/>
      <c r="H1044"/>
      <c r="I1044"/>
      <c r="J1044"/>
      <c r="K1044"/>
      <c r="L1044"/>
      <c r="M1044" s="14"/>
      <c r="N1044"/>
      <c r="O1044"/>
      <c r="P1044"/>
      <c r="Q1044" s="10"/>
      <c r="R1044"/>
      <c r="S1044"/>
      <c r="T1044" s="11"/>
      <c r="U1044"/>
      <c r="V1044"/>
      <c r="W1044"/>
      <c r="AA1044" s="14"/>
      <c r="AB1044"/>
      <c r="AC1044"/>
      <c r="AD1044"/>
      <c r="AE1044"/>
      <c r="AF1044"/>
      <c r="AH1044"/>
      <c r="AI1044"/>
      <c r="AK1044" s="4"/>
      <c r="AL1044"/>
      <c r="AM1044"/>
      <c r="AN1044"/>
      <c r="AO1044"/>
      <c r="AP1044"/>
      <c r="AQ1044"/>
    </row>
    <row r="1045" spans="1:43" customFormat="1" x14ac:dyDescent="0.3">
      <c r="M1045" s="14"/>
      <c r="Q1045" s="10"/>
      <c r="T1045" s="11"/>
      <c r="AA1045" s="14"/>
      <c r="AK1045" s="4"/>
    </row>
    <row r="1046" spans="1:43" customFormat="1" x14ac:dyDescent="0.3">
      <c r="M1046" s="14"/>
      <c r="Q1046" s="10"/>
      <c r="T1046" s="11"/>
      <c r="AA1046" s="14"/>
      <c r="AK1046" s="4"/>
    </row>
    <row r="1047" spans="1:43" x14ac:dyDescent="0.3">
      <c r="A1047"/>
      <c r="B1047"/>
      <c r="C1047"/>
      <c r="D1047"/>
      <c r="F1047"/>
      <c r="G1047"/>
      <c r="H1047"/>
      <c r="I1047"/>
      <c r="J1047"/>
      <c r="K1047"/>
      <c r="L1047"/>
      <c r="M1047" s="14"/>
      <c r="N1047"/>
      <c r="O1047"/>
      <c r="P1047"/>
      <c r="Q1047" s="10"/>
      <c r="R1047"/>
      <c r="S1047"/>
      <c r="T1047" s="11"/>
      <c r="U1047"/>
      <c r="V1047"/>
      <c r="W1047"/>
      <c r="AA1047" s="14"/>
      <c r="AB1047"/>
      <c r="AC1047"/>
      <c r="AD1047"/>
      <c r="AE1047"/>
      <c r="AF1047"/>
      <c r="AH1047"/>
      <c r="AI1047"/>
      <c r="AK1047" s="4"/>
      <c r="AL1047"/>
      <c r="AM1047"/>
      <c r="AN1047"/>
      <c r="AO1047"/>
      <c r="AP1047"/>
      <c r="AQ1047"/>
    </row>
    <row r="1048" spans="1:43" x14ac:dyDescent="0.3">
      <c r="A1048"/>
      <c r="B1048"/>
      <c r="C1048"/>
      <c r="D1048"/>
      <c r="F1048"/>
      <c r="G1048"/>
      <c r="H1048"/>
      <c r="I1048"/>
      <c r="J1048"/>
      <c r="K1048"/>
      <c r="L1048"/>
      <c r="M1048" s="14"/>
      <c r="N1048"/>
      <c r="O1048"/>
      <c r="P1048"/>
      <c r="Q1048" s="10"/>
      <c r="R1048"/>
      <c r="S1048"/>
      <c r="T1048" s="11"/>
      <c r="U1048"/>
      <c r="V1048"/>
      <c r="W1048"/>
      <c r="AA1048" s="14"/>
      <c r="AB1048"/>
      <c r="AC1048"/>
      <c r="AD1048"/>
      <c r="AE1048"/>
      <c r="AF1048"/>
      <c r="AH1048"/>
      <c r="AI1048"/>
      <c r="AK1048" s="4"/>
      <c r="AL1048"/>
      <c r="AM1048"/>
      <c r="AN1048"/>
      <c r="AO1048"/>
      <c r="AP1048"/>
      <c r="AQ1048"/>
    </row>
    <row r="1049" spans="1:43" customFormat="1" x14ac:dyDescent="0.3">
      <c r="M1049" s="14"/>
      <c r="Q1049" s="10"/>
      <c r="T1049" s="11"/>
      <c r="AA1049" s="14"/>
      <c r="AK1049" s="4"/>
    </row>
    <row r="1050" spans="1:43" customFormat="1" x14ac:dyDescent="0.3">
      <c r="M1050" s="14"/>
      <c r="Q1050" s="10"/>
      <c r="T1050" s="11"/>
      <c r="AA1050" s="14"/>
      <c r="AK1050" s="4"/>
    </row>
    <row r="1051" spans="1:43" customFormat="1" x14ac:dyDescent="0.3">
      <c r="M1051" s="14"/>
      <c r="Q1051" s="10"/>
      <c r="T1051" s="11"/>
      <c r="AA1051" s="14"/>
      <c r="AK1051" s="4"/>
    </row>
    <row r="1052" spans="1:43" x14ac:dyDescent="0.3">
      <c r="A1052"/>
      <c r="B1052"/>
      <c r="C1052"/>
      <c r="D1052"/>
      <c r="F1052"/>
      <c r="G1052"/>
      <c r="H1052"/>
      <c r="I1052"/>
      <c r="J1052"/>
      <c r="K1052"/>
      <c r="L1052"/>
      <c r="M1052" s="14"/>
      <c r="N1052"/>
      <c r="O1052"/>
      <c r="P1052"/>
      <c r="Q1052" s="10"/>
      <c r="R1052"/>
      <c r="S1052"/>
      <c r="T1052" s="11"/>
      <c r="U1052"/>
      <c r="V1052"/>
      <c r="W1052"/>
      <c r="AA1052" s="14"/>
      <c r="AB1052"/>
      <c r="AC1052"/>
      <c r="AD1052"/>
      <c r="AE1052"/>
      <c r="AF1052"/>
      <c r="AH1052"/>
      <c r="AI1052"/>
      <c r="AK1052" s="4"/>
      <c r="AL1052"/>
      <c r="AM1052"/>
      <c r="AN1052"/>
      <c r="AO1052"/>
      <c r="AP1052"/>
      <c r="AQ1052"/>
    </row>
    <row r="1053" spans="1:43" x14ac:dyDescent="0.3">
      <c r="A1053"/>
      <c r="B1053"/>
      <c r="C1053"/>
      <c r="D1053"/>
      <c r="F1053"/>
      <c r="G1053"/>
      <c r="H1053"/>
      <c r="I1053"/>
      <c r="J1053"/>
      <c r="K1053"/>
      <c r="L1053"/>
      <c r="M1053" s="14"/>
      <c r="N1053"/>
      <c r="O1053"/>
      <c r="P1053"/>
      <c r="Q1053" s="10"/>
      <c r="R1053"/>
      <c r="S1053"/>
      <c r="T1053" s="11"/>
      <c r="U1053"/>
      <c r="V1053"/>
      <c r="W1053"/>
      <c r="AA1053" s="14"/>
      <c r="AB1053"/>
      <c r="AC1053"/>
      <c r="AD1053"/>
      <c r="AE1053"/>
      <c r="AF1053"/>
      <c r="AH1053"/>
      <c r="AI1053"/>
      <c r="AK1053" s="4"/>
      <c r="AL1053"/>
      <c r="AM1053"/>
      <c r="AN1053"/>
      <c r="AO1053"/>
      <c r="AP1053"/>
      <c r="AQ1053"/>
    </row>
    <row r="1054" spans="1:43" x14ac:dyDescent="0.3">
      <c r="A1054"/>
      <c r="B1054"/>
      <c r="C1054"/>
      <c r="D1054"/>
      <c r="F1054"/>
      <c r="G1054"/>
      <c r="H1054"/>
      <c r="I1054"/>
      <c r="J1054"/>
      <c r="K1054"/>
      <c r="L1054"/>
      <c r="M1054" s="14"/>
      <c r="N1054"/>
      <c r="O1054"/>
      <c r="P1054"/>
      <c r="Q1054" s="10"/>
      <c r="R1054"/>
      <c r="S1054"/>
      <c r="T1054" s="11"/>
      <c r="U1054"/>
      <c r="V1054"/>
      <c r="W1054"/>
      <c r="AA1054" s="14"/>
      <c r="AB1054"/>
      <c r="AC1054"/>
      <c r="AD1054"/>
      <c r="AE1054"/>
      <c r="AF1054"/>
      <c r="AH1054"/>
      <c r="AI1054"/>
      <c r="AK1054" s="4"/>
      <c r="AL1054"/>
      <c r="AM1054"/>
      <c r="AN1054"/>
      <c r="AO1054"/>
      <c r="AP1054"/>
      <c r="AQ1054"/>
    </row>
    <row r="1055" spans="1:43" x14ac:dyDescent="0.3">
      <c r="A1055"/>
      <c r="B1055"/>
      <c r="C1055"/>
      <c r="D1055"/>
      <c r="F1055"/>
      <c r="G1055"/>
      <c r="H1055"/>
      <c r="I1055"/>
      <c r="J1055"/>
      <c r="K1055"/>
      <c r="L1055"/>
      <c r="M1055" s="14"/>
      <c r="N1055"/>
      <c r="O1055"/>
      <c r="P1055"/>
      <c r="Q1055" s="10"/>
      <c r="R1055"/>
      <c r="S1055"/>
      <c r="T1055" s="11"/>
      <c r="U1055"/>
      <c r="V1055"/>
      <c r="W1055"/>
      <c r="AA1055" s="14"/>
      <c r="AB1055"/>
      <c r="AC1055"/>
      <c r="AD1055"/>
      <c r="AE1055"/>
      <c r="AF1055"/>
      <c r="AH1055"/>
      <c r="AI1055"/>
      <c r="AK1055" s="4"/>
      <c r="AL1055"/>
      <c r="AM1055"/>
      <c r="AN1055"/>
      <c r="AO1055"/>
      <c r="AP1055"/>
      <c r="AQ1055"/>
    </row>
    <row r="1056" spans="1:43" x14ac:dyDescent="0.3">
      <c r="A1056"/>
      <c r="B1056"/>
      <c r="C1056"/>
      <c r="D1056"/>
      <c r="F1056"/>
      <c r="G1056"/>
      <c r="H1056"/>
      <c r="I1056"/>
      <c r="J1056"/>
      <c r="K1056"/>
      <c r="L1056"/>
      <c r="M1056" s="14"/>
      <c r="N1056"/>
      <c r="O1056"/>
      <c r="P1056"/>
      <c r="Q1056" s="10"/>
      <c r="R1056"/>
      <c r="S1056"/>
      <c r="T1056" s="11"/>
      <c r="U1056"/>
      <c r="V1056"/>
      <c r="W1056"/>
      <c r="AA1056" s="14"/>
      <c r="AB1056"/>
      <c r="AC1056"/>
      <c r="AD1056"/>
      <c r="AE1056"/>
      <c r="AF1056"/>
      <c r="AH1056"/>
      <c r="AI1056"/>
      <c r="AK1056" s="4"/>
      <c r="AL1056"/>
      <c r="AM1056"/>
      <c r="AN1056"/>
      <c r="AO1056"/>
      <c r="AP1056"/>
      <c r="AQ1056"/>
    </row>
    <row r="1057" spans="1:43" x14ac:dyDescent="0.3">
      <c r="A1057"/>
      <c r="B1057"/>
      <c r="C1057"/>
      <c r="D1057"/>
      <c r="F1057"/>
      <c r="G1057"/>
      <c r="H1057"/>
      <c r="I1057"/>
      <c r="J1057"/>
      <c r="K1057"/>
      <c r="L1057"/>
      <c r="M1057" s="14"/>
      <c r="N1057"/>
      <c r="O1057"/>
      <c r="P1057"/>
      <c r="Q1057" s="10"/>
      <c r="R1057"/>
      <c r="S1057"/>
      <c r="T1057" s="11"/>
      <c r="U1057"/>
      <c r="V1057"/>
      <c r="W1057"/>
      <c r="AA1057" s="14"/>
      <c r="AB1057"/>
      <c r="AC1057"/>
      <c r="AD1057"/>
      <c r="AE1057"/>
      <c r="AF1057"/>
      <c r="AH1057"/>
      <c r="AI1057"/>
      <c r="AK1057" s="4"/>
      <c r="AL1057"/>
      <c r="AM1057"/>
      <c r="AN1057"/>
      <c r="AO1057"/>
      <c r="AP1057"/>
      <c r="AQ1057"/>
    </row>
    <row r="1058" spans="1:43" x14ac:dyDescent="0.3">
      <c r="A1058"/>
      <c r="B1058"/>
      <c r="C1058"/>
      <c r="D1058"/>
      <c r="F1058"/>
      <c r="G1058"/>
      <c r="H1058"/>
      <c r="I1058"/>
      <c r="J1058"/>
      <c r="K1058"/>
      <c r="L1058"/>
      <c r="M1058" s="14"/>
      <c r="N1058"/>
      <c r="O1058"/>
      <c r="P1058"/>
      <c r="Q1058" s="10"/>
      <c r="R1058"/>
      <c r="S1058"/>
      <c r="T1058" s="11"/>
      <c r="U1058"/>
      <c r="V1058"/>
      <c r="W1058"/>
      <c r="AA1058" s="14"/>
      <c r="AB1058"/>
      <c r="AC1058"/>
      <c r="AD1058"/>
      <c r="AE1058"/>
      <c r="AF1058"/>
      <c r="AH1058"/>
      <c r="AI1058"/>
      <c r="AK1058" s="4"/>
      <c r="AL1058"/>
      <c r="AM1058"/>
      <c r="AN1058"/>
      <c r="AO1058"/>
      <c r="AP1058"/>
      <c r="AQ1058"/>
    </row>
    <row r="1059" spans="1:43" x14ac:dyDescent="0.3">
      <c r="A1059"/>
      <c r="B1059"/>
      <c r="C1059"/>
      <c r="D1059"/>
      <c r="F1059"/>
      <c r="G1059"/>
      <c r="H1059"/>
      <c r="I1059"/>
      <c r="J1059"/>
      <c r="K1059"/>
      <c r="L1059"/>
      <c r="M1059" s="14"/>
      <c r="N1059"/>
      <c r="O1059"/>
      <c r="P1059"/>
      <c r="Q1059" s="10"/>
      <c r="R1059"/>
      <c r="S1059"/>
      <c r="T1059" s="11"/>
      <c r="U1059"/>
      <c r="V1059"/>
      <c r="W1059"/>
      <c r="AA1059" s="14"/>
      <c r="AB1059"/>
      <c r="AC1059"/>
      <c r="AD1059"/>
      <c r="AE1059"/>
      <c r="AF1059"/>
      <c r="AH1059"/>
      <c r="AI1059"/>
      <c r="AK1059" s="4"/>
      <c r="AL1059"/>
      <c r="AM1059"/>
      <c r="AN1059"/>
      <c r="AO1059"/>
      <c r="AP1059"/>
      <c r="AQ1059"/>
    </row>
    <row r="1060" spans="1:43" x14ac:dyDescent="0.3">
      <c r="A1060"/>
      <c r="B1060"/>
      <c r="C1060"/>
      <c r="D1060"/>
      <c r="F1060"/>
      <c r="G1060"/>
      <c r="H1060"/>
      <c r="I1060"/>
      <c r="J1060"/>
      <c r="K1060"/>
      <c r="L1060"/>
      <c r="M1060" s="14"/>
      <c r="N1060"/>
      <c r="O1060"/>
      <c r="P1060"/>
      <c r="Q1060" s="10"/>
      <c r="R1060"/>
      <c r="S1060"/>
      <c r="T1060" s="11"/>
      <c r="U1060"/>
      <c r="V1060"/>
      <c r="W1060"/>
      <c r="AA1060" s="14"/>
      <c r="AB1060"/>
      <c r="AC1060"/>
      <c r="AD1060"/>
      <c r="AE1060"/>
      <c r="AF1060"/>
      <c r="AH1060"/>
      <c r="AI1060"/>
      <c r="AK1060" s="4"/>
      <c r="AL1060"/>
      <c r="AM1060"/>
      <c r="AN1060"/>
      <c r="AO1060"/>
      <c r="AP1060"/>
      <c r="AQ1060"/>
    </row>
    <row r="1061" spans="1:43" x14ac:dyDescent="0.3">
      <c r="A1061"/>
      <c r="B1061"/>
      <c r="C1061"/>
      <c r="D1061"/>
      <c r="F1061"/>
      <c r="G1061"/>
      <c r="H1061"/>
      <c r="I1061"/>
      <c r="J1061"/>
      <c r="K1061"/>
      <c r="L1061"/>
      <c r="M1061" s="14"/>
      <c r="N1061"/>
      <c r="O1061"/>
      <c r="P1061"/>
      <c r="Q1061" s="10"/>
      <c r="R1061"/>
      <c r="S1061"/>
      <c r="T1061" s="11"/>
      <c r="U1061"/>
      <c r="V1061"/>
      <c r="W1061"/>
      <c r="AA1061" s="14"/>
      <c r="AB1061"/>
      <c r="AC1061"/>
      <c r="AD1061"/>
      <c r="AE1061"/>
      <c r="AF1061"/>
      <c r="AH1061"/>
      <c r="AI1061"/>
      <c r="AK1061" s="4"/>
      <c r="AL1061"/>
      <c r="AM1061"/>
      <c r="AN1061"/>
      <c r="AO1061"/>
      <c r="AP1061"/>
      <c r="AQ1061"/>
    </row>
    <row r="1062" spans="1:43" x14ac:dyDescent="0.3">
      <c r="A1062"/>
      <c r="B1062"/>
      <c r="C1062"/>
      <c r="D1062"/>
      <c r="F1062"/>
      <c r="G1062"/>
      <c r="H1062"/>
      <c r="I1062"/>
      <c r="J1062"/>
      <c r="K1062"/>
      <c r="L1062"/>
      <c r="M1062" s="14"/>
      <c r="N1062"/>
      <c r="O1062"/>
      <c r="P1062"/>
      <c r="Q1062" s="10"/>
      <c r="R1062"/>
      <c r="S1062"/>
      <c r="T1062" s="11"/>
      <c r="U1062"/>
      <c r="V1062"/>
      <c r="W1062"/>
      <c r="AA1062" s="14"/>
      <c r="AB1062"/>
      <c r="AC1062"/>
      <c r="AD1062"/>
      <c r="AE1062"/>
      <c r="AF1062"/>
      <c r="AH1062"/>
      <c r="AI1062"/>
      <c r="AK1062" s="4"/>
      <c r="AL1062"/>
      <c r="AM1062"/>
      <c r="AN1062"/>
      <c r="AO1062"/>
      <c r="AP1062"/>
      <c r="AQ1062"/>
    </row>
    <row r="1063" spans="1:43" x14ac:dyDescent="0.3">
      <c r="A1063"/>
      <c r="B1063"/>
      <c r="C1063"/>
      <c r="D1063"/>
      <c r="F1063"/>
      <c r="G1063"/>
      <c r="H1063"/>
      <c r="I1063"/>
      <c r="J1063"/>
      <c r="K1063"/>
      <c r="L1063"/>
      <c r="M1063" s="14"/>
      <c r="N1063"/>
      <c r="O1063"/>
      <c r="P1063"/>
      <c r="Q1063" s="10"/>
      <c r="R1063"/>
      <c r="S1063"/>
      <c r="T1063" s="11"/>
      <c r="U1063"/>
      <c r="V1063"/>
      <c r="W1063"/>
      <c r="AA1063" s="14"/>
      <c r="AB1063"/>
      <c r="AC1063"/>
      <c r="AD1063"/>
      <c r="AE1063"/>
      <c r="AF1063"/>
      <c r="AH1063"/>
      <c r="AI1063"/>
      <c r="AK1063" s="4"/>
      <c r="AL1063"/>
      <c r="AM1063"/>
      <c r="AN1063"/>
      <c r="AO1063"/>
      <c r="AP1063"/>
      <c r="AQ1063"/>
    </row>
    <row r="1064" spans="1:43" x14ac:dyDescent="0.3">
      <c r="A1064"/>
      <c r="B1064"/>
      <c r="C1064"/>
      <c r="D1064"/>
      <c r="F1064"/>
      <c r="G1064"/>
      <c r="H1064"/>
      <c r="I1064"/>
      <c r="J1064"/>
      <c r="K1064"/>
      <c r="L1064"/>
      <c r="M1064" s="14"/>
      <c r="N1064"/>
      <c r="O1064"/>
      <c r="P1064"/>
      <c r="Q1064" s="10"/>
      <c r="R1064"/>
      <c r="S1064"/>
      <c r="T1064" s="11"/>
      <c r="U1064"/>
      <c r="V1064"/>
      <c r="W1064"/>
      <c r="AA1064" s="14"/>
      <c r="AB1064"/>
      <c r="AC1064"/>
      <c r="AD1064"/>
      <c r="AE1064"/>
      <c r="AF1064"/>
      <c r="AH1064"/>
      <c r="AI1064"/>
      <c r="AK1064" s="4"/>
      <c r="AL1064"/>
      <c r="AM1064"/>
      <c r="AN1064"/>
      <c r="AO1064"/>
      <c r="AP1064"/>
      <c r="AQ1064"/>
    </row>
    <row r="1065" spans="1:43" x14ac:dyDescent="0.3">
      <c r="A1065"/>
      <c r="B1065"/>
      <c r="C1065"/>
      <c r="D1065"/>
      <c r="F1065"/>
      <c r="G1065"/>
      <c r="H1065"/>
      <c r="I1065"/>
      <c r="J1065"/>
      <c r="K1065"/>
      <c r="L1065"/>
      <c r="M1065" s="14"/>
      <c r="N1065"/>
      <c r="O1065"/>
      <c r="P1065"/>
      <c r="Q1065" s="10"/>
      <c r="R1065"/>
      <c r="S1065"/>
      <c r="T1065" s="11"/>
      <c r="U1065"/>
      <c r="V1065"/>
      <c r="W1065"/>
      <c r="AA1065" s="14"/>
      <c r="AB1065"/>
      <c r="AC1065"/>
      <c r="AD1065"/>
      <c r="AE1065"/>
      <c r="AF1065"/>
      <c r="AH1065"/>
      <c r="AI1065"/>
      <c r="AK1065" s="4"/>
      <c r="AL1065"/>
      <c r="AM1065"/>
      <c r="AN1065"/>
      <c r="AO1065"/>
      <c r="AP1065"/>
      <c r="AQ1065"/>
    </row>
    <row r="1066" spans="1:43" customFormat="1" x14ac:dyDescent="0.3">
      <c r="M1066" s="14"/>
      <c r="Q1066" s="10"/>
      <c r="T1066" s="11"/>
      <c r="AA1066" s="14"/>
      <c r="AK1066" s="4"/>
    </row>
    <row r="1067" spans="1:43" customFormat="1" x14ac:dyDescent="0.3">
      <c r="M1067" s="14"/>
      <c r="Q1067" s="10"/>
      <c r="T1067" s="11"/>
      <c r="AA1067" s="14"/>
      <c r="AK1067" s="4"/>
    </row>
    <row r="1068" spans="1:43" customFormat="1" x14ac:dyDescent="0.3">
      <c r="M1068" s="14"/>
      <c r="Q1068" s="10"/>
      <c r="T1068" s="11"/>
      <c r="AA1068" s="14"/>
      <c r="AK1068" s="4"/>
    </row>
    <row r="1069" spans="1:43" customFormat="1" x14ac:dyDescent="0.3">
      <c r="M1069" s="14"/>
      <c r="Q1069" s="10"/>
      <c r="T1069" s="11"/>
      <c r="AA1069" s="14"/>
      <c r="AK1069" s="4"/>
    </row>
    <row r="1070" spans="1:43" customFormat="1" x14ac:dyDescent="0.3">
      <c r="M1070" s="14"/>
      <c r="Q1070" s="10"/>
      <c r="T1070" s="11"/>
      <c r="AA1070" s="14"/>
      <c r="AK1070" s="4"/>
    </row>
    <row r="1071" spans="1:43" customFormat="1" x14ac:dyDescent="0.3">
      <c r="M1071" s="14"/>
      <c r="Q1071" s="10"/>
      <c r="T1071" s="11"/>
      <c r="AA1071" s="14"/>
      <c r="AK1071" s="4"/>
    </row>
    <row r="1072" spans="1:43" x14ac:dyDescent="0.3">
      <c r="A1072"/>
      <c r="B1072"/>
      <c r="C1072"/>
      <c r="D1072"/>
      <c r="F1072"/>
      <c r="G1072"/>
      <c r="H1072"/>
      <c r="I1072"/>
      <c r="J1072"/>
      <c r="K1072"/>
      <c r="L1072"/>
      <c r="M1072" s="14"/>
      <c r="N1072"/>
      <c r="O1072"/>
      <c r="P1072"/>
      <c r="Q1072" s="10"/>
      <c r="R1072"/>
      <c r="S1072"/>
      <c r="T1072" s="11"/>
      <c r="U1072"/>
      <c r="V1072"/>
      <c r="W1072"/>
      <c r="AA1072" s="14"/>
      <c r="AB1072"/>
      <c r="AC1072"/>
      <c r="AD1072"/>
      <c r="AE1072"/>
      <c r="AF1072"/>
      <c r="AH1072"/>
      <c r="AI1072"/>
      <c r="AK1072" s="4"/>
      <c r="AL1072"/>
      <c r="AM1072"/>
      <c r="AN1072"/>
      <c r="AO1072"/>
      <c r="AP1072"/>
      <c r="AQ1072"/>
    </row>
    <row r="1073" spans="1:43" x14ac:dyDescent="0.3">
      <c r="A1073"/>
      <c r="B1073"/>
      <c r="C1073"/>
      <c r="D1073"/>
      <c r="F1073"/>
      <c r="G1073"/>
      <c r="H1073"/>
      <c r="I1073"/>
      <c r="J1073"/>
      <c r="K1073"/>
      <c r="L1073"/>
      <c r="M1073" s="14"/>
      <c r="N1073"/>
      <c r="O1073"/>
      <c r="P1073"/>
      <c r="Q1073" s="10"/>
      <c r="R1073"/>
      <c r="S1073"/>
      <c r="T1073" s="11"/>
      <c r="U1073"/>
      <c r="V1073"/>
      <c r="W1073"/>
      <c r="AA1073" s="14"/>
      <c r="AB1073"/>
      <c r="AC1073"/>
      <c r="AD1073"/>
      <c r="AE1073"/>
      <c r="AF1073"/>
      <c r="AH1073"/>
      <c r="AI1073"/>
      <c r="AK1073" s="4"/>
      <c r="AL1073"/>
      <c r="AM1073"/>
      <c r="AN1073"/>
      <c r="AO1073"/>
      <c r="AP1073"/>
      <c r="AQ1073"/>
    </row>
    <row r="1074" spans="1:43" x14ac:dyDescent="0.3">
      <c r="A1074"/>
      <c r="B1074"/>
      <c r="C1074"/>
      <c r="D1074"/>
      <c r="F1074"/>
      <c r="G1074"/>
      <c r="H1074"/>
      <c r="I1074"/>
      <c r="J1074"/>
      <c r="K1074"/>
      <c r="L1074"/>
      <c r="M1074" s="14"/>
      <c r="N1074"/>
      <c r="O1074"/>
      <c r="P1074"/>
      <c r="Q1074" s="10"/>
      <c r="R1074"/>
      <c r="S1074"/>
      <c r="T1074" s="11"/>
      <c r="U1074"/>
      <c r="V1074"/>
      <c r="W1074"/>
      <c r="AA1074" s="14"/>
      <c r="AB1074"/>
      <c r="AC1074"/>
      <c r="AD1074"/>
      <c r="AE1074"/>
      <c r="AF1074"/>
      <c r="AH1074"/>
      <c r="AI1074"/>
      <c r="AK1074" s="4"/>
      <c r="AL1074"/>
      <c r="AM1074"/>
      <c r="AN1074"/>
      <c r="AO1074"/>
      <c r="AP1074"/>
      <c r="AQ1074"/>
    </row>
    <row r="1075" spans="1:43" x14ac:dyDescent="0.3">
      <c r="I1075" s="4"/>
      <c r="L1075" s="12"/>
      <c r="M1075" s="18"/>
      <c r="Q1075" s="12"/>
      <c r="T1075" s="13"/>
      <c r="AA1075" s="14"/>
      <c r="AK1075" s="4"/>
    </row>
    <row r="1076" spans="1:43" x14ac:dyDescent="0.3">
      <c r="A1076"/>
      <c r="B1076"/>
      <c r="C1076"/>
      <c r="D1076"/>
      <c r="F1076"/>
      <c r="G1076"/>
      <c r="H1076"/>
      <c r="I1076"/>
      <c r="J1076"/>
      <c r="K1076"/>
      <c r="L1076"/>
      <c r="M1076" s="14"/>
      <c r="N1076"/>
      <c r="O1076"/>
      <c r="P1076"/>
      <c r="Q1076" s="10"/>
      <c r="R1076"/>
      <c r="S1076"/>
      <c r="T1076" s="11"/>
      <c r="U1076"/>
      <c r="V1076"/>
      <c r="W1076"/>
      <c r="AA1076" s="14"/>
      <c r="AB1076"/>
      <c r="AC1076"/>
      <c r="AD1076"/>
      <c r="AE1076"/>
      <c r="AF1076"/>
      <c r="AH1076"/>
      <c r="AI1076"/>
      <c r="AK1076" s="4"/>
      <c r="AL1076"/>
      <c r="AM1076"/>
      <c r="AN1076"/>
      <c r="AO1076"/>
      <c r="AP1076"/>
      <c r="AQ1076"/>
    </row>
    <row r="1077" spans="1:43" x14ac:dyDescent="0.3">
      <c r="A1077"/>
      <c r="B1077"/>
      <c r="C1077"/>
      <c r="D1077"/>
      <c r="F1077"/>
      <c r="G1077"/>
      <c r="H1077"/>
      <c r="I1077"/>
      <c r="J1077"/>
      <c r="K1077"/>
      <c r="L1077"/>
      <c r="M1077" s="14"/>
      <c r="N1077"/>
      <c r="O1077"/>
      <c r="P1077"/>
      <c r="Q1077" s="10"/>
      <c r="R1077"/>
      <c r="S1077"/>
      <c r="T1077" s="11"/>
      <c r="U1077"/>
      <c r="V1077"/>
      <c r="W1077"/>
      <c r="AA1077" s="14"/>
      <c r="AB1077"/>
      <c r="AC1077"/>
      <c r="AD1077"/>
      <c r="AE1077"/>
      <c r="AF1077"/>
      <c r="AH1077"/>
      <c r="AI1077"/>
      <c r="AK1077" s="4"/>
      <c r="AL1077"/>
      <c r="AM1077"/>
      <c r="AN1077"/>
      <c r="AO1077"/>
      <c r="AP1077"/>
      <c r="AQ1077"/>
    </row>
    <row r="1078" spans="1:43" x14ac:dyDescent="0.3">
      <c r="A1078"/>
      <c r="B1078"/>
      <c r="C1078"/>
      <c r="D1078"/>
      <c r="F1078"/>
      <c r="G1078"/>
      <c r="H1078"/>
      <c r="I1078"/>
      <c r="J1078"/>
      <c r="K1078"/>
      <c r="L1078"/>
      <c r="M1078" s="14"/>
      <c r="N1078"/>
      <c r="O1078"/>
      <c r="P1078"/>
      <c r="Q1078" s="10"/>
      <c r="R1078"/>
      <c r="S1078"/>
      <c r="T1078" s="11"/>
      <c r="U1078"/>
      <c r="V1078"/>
      <c r="W1078"/>
      <c r="AA1078" s="14"/>
      <c r="AB1078"/>
      <c r="AC1078"/>
      <c r="AD1078"/>
      <c r="AE1078"/>
      <c r="AF1078"/>
      <c r="AH1078"/>
      <c r="AI1078"/>
      <c r="AK1078" s="4"/>
      <c r="AL1078"/>
      <c r="AM1078"/>
      <c r="AN1078"/>
      <c r="AO1078"/>
      <c r="AP1078"/>
      <c r="AQ1078"/>
    </row>
    <row r="1079" spans="1:43" customFormat="1" x14ac:dyDescent="0.3">
      <c r="M1079" s="14"/>
      <c r="Q1079" s="10"/>
      <c r="T1079" s="11"/>
      <c r="AA1079" s="14"/>
      <c r="AK1079" s="4"/>
    </row>
    <row r="1080" spans="1:43" customFormat="1" x14ac:dyDescent="0.3">
      <c r="M1080" s="14"/>
      <c r="Q1080" s="10"/>
      <c r="T1080" s="11"/>
      <c r="AA1080" s="14"/>
      <c r="AK1080" s="4"/>
    </row>
    <row r="1081" spans="1:43" customFormat="1" x14ac:dyDescent="0.3">
      <c r="M1081" s="14"/>
      <c r="Q1081" s="10"/>
      <c r="T1081" s="11"/>
      <c r="AA1081" s="14"/>
      <c r="AK1081" s="4"/>
    </row>
    <row r="1082" spans="1:43" customFormat="1" x14ac:dyDescent="0.3">
      <c r="M1082" s="14"/>
      <c r="Q1082" s="10"/>
      <c r="T1082" s="11"/>
      <c r="AA1082" s="14"/>
      <c r="AK1082" s="4"/>
    </row>
    <row r="1083" spans="1:43" customFormat="1" x14ac:dyDescent="0.3">
      <c r="M1083" s="14"/>
      <c r="Q1083" s="10"/>
      <c r="T1083" s="11"/>
      <c r="AA1083" s="14"/>
      <c r="AK1083" s="4"/>
    </row>
    <row r="1084" spans="1:43" customFormat="1" x14ac:dyDescent="0.3">
      <c r="M1084" s="14"/>
      <c r="Q1084" s="10"/>
      <c r="T1084" s="11"/>
      <c r="AA1084" s="14"/>
      <c r="AK1084" s="4"/>
    </row>
    <row r="1085" spans="1:43" customFormat="1" x14ac:dyDescent="0.3">
      <c r="M1085" s="14"/>
      <c r="Q1085" s="10"/>
      <c r="T1085" s="11"/>
      <c r="AA1085" s="14"/>
      <c r="AK1085" s="4"/>
    </row>
    <row r="1086" spans="1:43" customFormat="1" x14ac:dyDescent="0.3">
      <c r="M1086" s="14"/>
      <c r="Q1086" s="10"/>
      <c r="T1086" s="11"/>
      <c r="AA1086" s="14"/>
      <c r="AK1086" s="4"/>
    </row>
    <row r="1087" spans="1:43" customFormat="1" x14ac:dyDescent="0.3">
      <c r="M1087" s="14"/>
      <c r="Q1087" s="10"/>
      <c r="T1087" s="11"/>
      <c r="AA1087" s="14"/>
      <c r="AK1087" s="4"/>
    </row>
    <row r="1088" spans="1:43" x14ac:dyDescent="0.3">
      <c r="A1088"/>
      <c r="B1088"/>
      <c r="C1088"/>
      <c r="D1088"/>
      <c r="F1088"/>
      <c r="G1088"/>
      <c r="H1088"/>
      <c r="I1088"/>
      <c r="J1088"/>
      <c r="K1088"/>
      <c r="L1088"/>
      <c r="M1088" s="14"/>
      <c r="N1088"/>
      <c r="O1088"/>
      <c r="P1088"/>
      <c r="Q1088" s="10"/>
      <c r="R1088"/>
      <c r="S1088"/>
      <c r="T1088" s="11"/>
      <c r="U1088"/>
      <c r="V1088"/>
      <c r="W1088"/>
      <c r="AA1088" s="14"/>
      <c r="AB1088"/>
      <c r="AC1088"/>
      <c r="AD1088"/>
      <c r="AE1088"/>
      <c r="AF1088"/>
      <c r="AH1088"/>
      <c r="AI1088"/>
      <c r="AK1088" s="4"/>
      <c r="AL1088"/>
      <c r="AM1088"/>
      <c r="AN1088"/>
      <c r="AO1088"/>
      <c r="AP1088"/>
      <c r="AQ1088"/>
    </row>
    <row r="1089" spans="1:43" customFormat="1" x14ac:dyDescent="0.3">
      <c r="M1089" s="14"/>
      <c r="Q1089" s="10"/>
      <c r="T1089" s="11"/>
      <c r="AA1089" s="14"/>
      <c r="AK1089" s="4"/>
    </row>
    <row r="1090" spans="1:43" customFormat="1" x14ac:dyDescent="0.3">
      <c r="M1090" s="14"/>
      <c r="Q1090" s="10"/>
      <c r="T1090" s="11"/>
      <c r="AA1090" s="14"/>
      <c r="AK1090" s="4"/>
    </row>
    <row r="1091" spans="1:43" x14ac:dyDescent="0.3">
      <c r="A1091"/>
      <c r="B1091"/>
      <c r="C1091"/>
      <c r="D1091"/>
      <c r="F1091"/>
      <c r="G1091"/>
      <c r="H1091"/>
      <c r="I1091"/>
      <c r="J1091"/>
      <c r="K1091"/>
      <c r="L1091"/>
      <c r="M1091" s="14"/>
      <c r="N1091"/>
      <c r="O1091"/>
      <c r="P1091"/>
      <c r="Q1091" s="10"/>
      <c r="R1091"/>
      <c r="S1091"/>
      <c r="T1091" s="11"/>
      <c r="U1091"/>
      <c r="V1091"/>
      <c r="W1091"/>
      <c r="AA1091" s="14"/>
      <c r="AB1091"/>
      <c r="AC1091"/>
      <c r="AD1091"/>
      <c r="AE1091"/>
      <c r="AF1091"/>
      <c r="AH1091"/>
      <c r="AI1091"/>
      <c r="AK1091" s="4"/>
      <c r="AL1091"/>
      <c r="AM1091"/>
      <c r="AN1091"/>
      <c r="AO1091"/>
      <c r="AP1091"/>
      <c r="AQ1091"/>
    </row>
    <row r="1092" spans="1:43" x14ac:dyDescent="0.3">
      <c r="A1092"/>
      <c r="B1092"/>
      <c r="C1092"/>
      <c r="D1092"/>
      <c r="F1092"/>
      <c r="G1092"/>
      <c r="H1092"/>
      <c r="I1092"/>
      <c r="J1092"/>
      <c r="K1092"/>
      <c r="L1092"/>
      <c r="M1092" s="14"/>
      <c r="N1092"/>
      <c r="O1092"/>
      <c r="P1092"/>
      <c r="Q1092" s="10"/>
      <c r="R1092"/>
      <c r="S1092"/>
      <c r="T1092" s="11"/>
      <c r="U1092"/>
      <c r="V1092"/>
      <c r="W1092"/>
      <c r="AA1092" s="14"/>
      <c r="AB1092"/>
      <c r="AC1092"/>
      <c r="AD1092"/>
      <c r="AE1092"/>
      <c r="AF1092"/>
      <c r="AH1092"/>
      <c r="AI1092"/>
      <c r="AK1092" s="4"/>
      <c r="AL1092"/>
      <c r="AM1092"/>
      <c r="AN1092"/>
      <c r="AO1092"/>
      <c r="AP1092"/>
      <c r="AQ1092"/>
    </row>
    <row r="1093" spans="1:43" x14ac:dyDescent="0.3">
      <c r="A1093"/>
      <c r="B1093"/>
      <c r="C1093"/>
      <c r="D1093"/>
      <c r="F1093"/>
      <c r="G1093"/>
      <c r="H1093"/>
      <c r="I1093"/>
      <c r="J1093"/>
      <c r="K1093"/>
      <c r="L1093"/>
      <c r="M1093" s="14"/>
      <c r="N1093"/>
      <c r="O1093"/>
      <c r="P1093"/>
      <c r="Q1093" s="10"/>
      <c r="R1093"/>
      <c r="S1093"/>
      <c r="T1093" s="11"/>
      <c r="U1093"/>
      <c r="V1093"/>
      <c r="W1093"/>
      <c r="AA1093" s="14"/>
      <c r="AB1093"/>
      <c r="AC1093"/>
      <c r="AD1093"/>
      <c r="AE1093"/>
      <c r="AF1093"/>
      <c r="AH1093"/>
      <c r="AI1093"/>
      <c r="AK1093" s="4"/>
      <c r="AL1093"/>
      <c r="AM1093"/>
      <c r="AN1093"/>
      <c r="AO1093"/>
      <c r="AP1093"/>
      <c r="AQ1093"/>
    </row>
    <row r="1094" spans="1:43" customFormat="1" x14ac:dyDescent="0.3">
      <c r="M1094" s="14"/>
      <c r="Q1094" s="10"/>
      <c r="T1094" s="11"/>
      <c r="AA1094" s="14"/>
      <c r="AK1094" s="4"/>
    </row>
    <row r="1095" spans="1:43" customFormat="1" x14ac:dyDescent="0.3">
      <c r="M1095" s="14"/>
      <c r="Q1095" s="10"/>
      <c r="T1095" s="11"/>
      <c r="AA1095" s="14"/>
      <c r="AK1095" s="4"/>
    </row>
    <row r="1096" spans="1:43" customFormat="1" x14ac:dyDescent="0.3">
      <c r="M1096" s="14"/>
      <c r="Q1096" s="10"/>
      <c r="T1096" s="11"/>
      <c r="AA1096" s="14"/>
      <c r="AK1096" s="4"/>
    </row>
    <row r="1097" spans="1:43" customFormat="1" x14ac:dyDescent="0.3">
      <c r="M1097" s="14"/>
      <c r="Q1097" s="10"/>
      <c r="T1097" s="11"/>
      <c r="AA1097" s="14"/>
      <c r="AK1097" s="4"/>
    </row>
    <row r="1098" spans="1:43" customFormat="1" x14ac:dyDescent="0.3">
      <c r="M1098" s="14"/>
      <c r="Q1098" s="10"/>
      <c r="T1098" s="11"/>
      <c r="AA1098" s="14"/>
      <c r="AK1098" s="4"/>
    </row>
    <row r="1099" spans="1:43" customFormat="1" x14ac:dyDescent="0.3">
      <c r="M1099" s="14"/>
      <c r="Q1099" s="10"/>
      <c r="T1099" s="11"/>
      <c r="AA1099" s="14"/>
      <c r="AK1099" s="4"/>
    </row>
    <row r="1100" spans="1:43" customFormat="1" x14ac:dyDescent="0.3">
      <c r="M1100" s="14"/>
      <c r="Q1100" s="10"/>
      <c r="T1100" s="11"/>
      <c r="AA1100" s="14"/>
      <c r="AK1100" s="4"/>
    </row>
    <row r="1101" spans="1:43" x14ac:dyDescent="0.3">
      <c r="A1101"/>
      <c r="B1101"/>
      <c r="C1101"/>
      <c r="D1101"/>
      <c r="F1101"/>
      <c r="G1101"/>
      <c r="H1101"/>
      <c r="I1101"/>
      <c r="J1101"/>
      <c r="K1101"/>
      <c r="L1101"/>
      <c r="M1101" s="14"/>
      <c r="N1101"/>
      <c r="O1101"/>
      <c r="P1101"/>
      <c r="Q1101" s="10"/>
      <c r="R1101"/>
      <c r="S1101"/>
      <c r="T1101" s="11"/>
      <c r="U1101"/>
      <c r="V1101"/>
      <c r="W1101"/>
      <c r="AA1101" s="14"/>
      <c r="AB1101"/>
      <c r="AC1101"/>
      <c r="AD1101"/>
      <c r="AE1101"/>
      <c r="AF1101"/>
      <c r="AH1101"/>
      <c r="AI1101"/>
      <c r="AK1101" s="4"/>
      <c r="AL1101"/>
      <c r="AM1101"/>
      <c r="AN1101"/>
      <c r="AO1101"/>
      <c r="AP1101"/>
      <c r="AQ1101"/>
    </row>
    <row r="1102" spans="1:43" customFormat="1" x14ac:dyDescent="0.3">
      <c r="M1102" s="14"/>
      <c r="Q1102" s="10"/>
      <c r="T1102" s="11"/>
      <c r="AA1102" s="14"/>
      <c r="AK1102" s="4"/>
    </row>
    <row r="1103" spans="1:43" customFormat="1" x14ac:dyDescent="0.3">
      <c r="M1103" s="14"/>
      <c r="Q1103" s="10"/>
      <c r="T1103" s="11"/>
      <c r="AA1103" s="14"/>
      <c r="AK1103" s="4"/>
    </row>
    <row r="1104" spans="1:43" customFormat="1" x14ac:dyDescent="0.3">
      <c r="M1104" s="14"/>
      <c r="Q1104" s="10"/>
      <c r="T1104" s="11"/>
      <c r="AA1104" s="14"/>
      <c r="AK1104" s="4"/>
    </row>
    <row r="1105" spans="1:43" customFormat="1" x14ac:dyDescent="0.3">
      <c r="M1105" s="14"/>
      <c r="Q1105" s="10"/>
      <c r="T1105" s="11"/>
      <c r="AA1105" s="14"/>
      <c r="AK1105" s="4"/>
    </row>
    <row r="1106" spans="1:43" customFormat="1" x14ac:dyDescent="0.3">
      <c r="M1106" s="14"/>
      <c r="Q1106" s="10"/>
      <c r="T1106" s="11"/>
      <c r="AA1106" s="14"/>
      <c r="AK1106" s="4"/>
    </row>
    <row r="1107" spans="1:43" customFormat="1" x14ac:dyDescent="0.3">
      <c r="M1107" s="14"/>
      <c r="Q1107" s="10"/>
      <c r="T1107" s="11"/>
      <c r="AA1107" s="14"/>
      <c r="AK1107" s="4"/>
    </row>
    <row r="1108" spans="1:43" customFormat="1" x14ac:dyDescent="0.3">
      <c r="M1108" s="14"/>
      <c r="Q1108" s="10"/>
      <c r="T1108" s="11"/>
      <c r="AA1108" s="14"/>
      <c r="AK1108" s="4"/>
    </row>
    <row r="1109" spans="1:43" customFormat="1" x14ac:dyDescent="0.3">
      <c r="M1109" s="14"/>
      <c r="Q1109" s="10"/>
      <c r="T1109" s="11"/>
      <c r="AA1109" s="14"/>
      <c r="AK1109" s="4"/>
    </row>
    <row r="1110" spans="1:43" customFormat="1" x14ac:dyDescent="0.3">
      <c r="M1110" s="14"/>
      <c r="Q1110" s="10"/>
      <c r="T1110" s="11"/>
      <c r="AA1110" s="14"/>
      <c r="AK1110" s="4"/>
    </row>
    <row r="1111" spans="1:43" customFormat="1" x14ac:dyDescent="0.3">
      <c r="A1111" s="1"/>
      <c r="B1111" s="1"/>
      <c r="C1111" s="1"/>
      <c r="D1111" s="1"/>
      <c r="F1111" s="1"/>
      <c r="G1111" s="1"/>
      <c r="H1111" s="1"/>
      <c r="I1111" s="4"/>
      <c r="J1111" s="1"/>
      <c r="K1111" s="1"/>
      <c r="L1111" s="12"/>
      <c r="M1111" s="18"/>
      <c r="N1111" s="1"/>
      <c r="O1111" s="1"/>
      <c r="P1111" s="1"/>
      <c r="Q1111" s="12"/>
      <c r="R1111" s="1"/>
      <c r="S1111" s="1"/>
      <c r="T1111" s="13"/>
      <c r="U1111" s="1"/>
      <c r="V1111" s="1"/>
      <c r="W1111" s="1"/>
      <c r="AA1111" s="14"/>
      <c r="AB1111" s="1"/>
      <c r="AC1111" s="1"/>
      <c r="AD1111" s="1"/>
      <c r="AE1111" s="1"/>
      <c r="AF1111" s="1"/>
      <c r="AH1111" s="1"/>
      <c r="AI1111" s="1"/>
      <c r="AK1111" s="4"/>
      <c r="AL1111" s="1"/>
      <c r="AM1111" s="1"/>
      <c r="AN1111" s="1"/>
      <c r="AO1111" s="1"/>
      <c r="AP1111" s="1"/>
      <c r="AQ1111" s="1"/>
    </row>
    <row r="1112" spans="1:43" x14ac:dyDescent="0.3">
      <c r="A1112"/>
      <c r="B1112"/>
      <c r="C1112"/>
      <c r="D1112"/>
      <c r="F1112"/>
      <c r="G1112"/>
      <c r="H1112"/>
      <c r="I1112"/>
      <c r="J1112"/>
      <c r="K1112"/>
      <c r="L1112"/>
      <c r="M1112" s="14"/>
      <c r="N1112"/>
      <c r="O1112"/>
      <c r="P1112"/>
      <c r="Q1112" s="10"/>
      <c r="R1112"/>
      <c r="S1112"/>
      <c r="T1112" s="11"/>
      <c r="U1112"/>
      <c r="V1112"/>
      <c r="W1112"/>
      <c r="AA1112" s="14"/>
      <c r="AB1112"/>
      <c r="AC1112"/>
      <c r="AD1112"/>
      <c r="AE1112"/>
      <c r="AF1112"/>
      <c r="AH1112"/>
      <c r="AI1112"/>
      <c r="AK1112" s="4"/>
      <c r="AL1112"/>
      <c r="AM1112"/>
      <c r="AN1112"/>
      <c r="AO1112"/>
      <c r="AP1112"/>
      <c r="AQ1112"/>
    </row>
    <row r="1113" spans="1:43" x14ac:dyDescent="0.3">
      <c r="A1113"/>
      <c r="B1113"/>
      <c r="C1113"/>
      <c r="D1113"/>
      <c r="F1113"/>
      <c r="G1113"/>
      <c r="H1113"/>
      <c r="I1113"/>
      <c r="J1113"/>
      <c r="K1113"/>
      <c r="L1113"/>
      <c r="M1113" s="14"/>
      <c r="N1113"/>
      <c r="O1113"/>
      <c r="P1113"/>
      <c r="Q1113" s="10"/>
      <c r="R1113"/>
      <c r="S1113"/>
      <c r="T1113" s="11"/>
      <c r="U1113"/>
      <c r="V1113"/>
      <c r="W1113"/>
      <c r="AA1113" s="14"/>
      <c r="AB1113"/>
      <c r="AC1113"/>
      <c r="AD1113"/>
      <c r="AE1113"/>
      <c r="AF1113"/>
      <c r="AH1113"/>
      <c r="AI1113"/>
      <c r="AK1113" s="4"/>
      <c r="AL1113"/>
      <c r="AM1113"/>
      <c r="AN1113"/>
      <c r="AO1113"/>
      <c r="AP1113"/>
      <c r="AQ1113"/>
    </row>
    <row r="1114" spans="1:43" x14ac:dyDescent="0.3">
      <c r="A1114"/>
      <c r="B1114"/>
      <c r="C1114"/>
      <c r="D1114"/>
      <c r="F1114"/>
      <c r="G1114"/>
      <c r="H1114"/>
      <c r="I1114"/>
      <c r="J1114"/>
      <c r="K1114"/>
      <c r="L1114"/>
      <c r="M1114" s="14"/>
      <c r="N1114"/>
      <c r="O1114"/>
      <c r="P1114"/>
      <c r="Q1114" s="10"/>
      <c r="R1114"/>
      <c r="S1114"/>
      <c r="T1114" s="11"/>
      <c r="U1114"/>
      <c r="V1114"/>
      <c r="W1114"/>
      <c r="AA1114" s="14"/>
      <c r="AB1114"/>
      <c r="AC1114"/>
      <c r="AD1114"/>
      <c r="AE1114"/>
      <c r="AF1114"/>
      <c r="AH1114"/>
      <c r="AI1114"/>
      <c r="AK1114" s="4"/>
      <c r="AL1114"/>
      <c r="AM1114"/>
      <c r="AN1114"/>
      <c r="AO1114"/>
      <c r="AP1114"/>
      <c r="AQ1114"/>
    </row>
    <row r="1115" spans="1:43" customFormat="1" x14ac:dyDescent="0.3">
      <c r="M1115" s="14"/>
      <c r="Q1115" s="10"/>
      <c r="T1115" s="11"/>
      <c r="AA1115" s="14"/>
      <c r="AK1115" s="4"/>
    </row>
    <row r="1116" spans="1:43" customFormat="1" x14ac:dyDescent="0.3">
      <c r="M1116" s="14"/>
      <c r="Q1116" s="10"/>
      <c r="T1116" s="11"/>
      <c r="AA1116" s="14"/>
      <c r="AK1116" s="4"/>
    </row>
    <row r="1117" spans="1:43" customFormat="1" x14ac:dyDescent="0.3">
      <c r="M1117" s="14"/>
      <c r="Q1117" s="10"/>
      <c r="T1117" s="11"/>
      <c r="AA1117" s="14"/>
      <c r="AK1117" s="4"/>
    </row>
    <row r="1118" spans="1:43" customFormat="1" x14ac:dyDescent="0.3">
      <c r="M1118" s="14"/>
      <c r="Q1118" s="10"/>
      <c r="T1118" s="11"/>
      <c r="AA1118" s="14"/>
      <c r="AK1118" s="4"/>
    </row>
    <row r="1119" spans="1:43" customFormat="1" x14ac:dyDescent="0.3">
      <c r="M1119" s="14"/>
      <c r="Q1119" s="10"/>
      <c r="T1119" s="11"/>
      <c r="AA1119" s="14"/>
      <c r="AK1119" s="4"/>
    </row>
    <row r="1120" spans="1:43" customFormat="1" x14ac:dyDescent="0.3">
      <c r="M1120" s="14"/>
      <c r="Q1120" s="10"/>
      <c r="T1120" s="11"/>
      <c r="AA1120" s="14"/>
      <c r="AK1120" s="4"/>
    </row>
    <row r="1121" spans="1:43" customFormat="1" x14ac:dyDescent="0.3">
      <c r="A1121" s="1"/>
      <c r="B1121" s="1"/>
      <c r="C1121" s="1"/>
      <c r="D1121" s="1"/>
      <c r="F1121" s="1"/>
      <c r="G1121" s="1"/>
      <c r="H1121" s="1"/>
      <c r="I1121" s="4"/>
      <c r="J1121" s="1"/>
      <c r="K1121" s="1"/>
      <c r="L1121" s="12"/>
      <c r="M1121" s="18"/>
      <c r="N1121" s="1"/>
      <c r="O1121" s="1"/>
      <c r="P1121" s="1"/>
      <c r="Q1121" s="12"/>
      <c r="R1121" s="1"/>
      <c r="S1121" s="1"/>
      <c r="T1121" s="13"/>
      <c r="U1121" s="1"/>
      <c r="V1121" s="1"/>
      <c r="W1121" s="1"/>
      <c r="AA1121" s="14"/>
      <c r="AB1121" s="1"/>
      <c r="AC1121" s="1"/>
      <c r="AD1121" s="1"/>
      <c r="AE1121" s="1"/>
      <c r="AF1121" s="1"/>
      <c r="AH1121" s="1"/>
      <c r="AI1121" s="1"/>
      <c r="AK1121" s="4"/>
      <c r="AL1121" s="1"/>
      <c r="AM1121" s="1"/>
      <c r="AN1121" s="1"/>
      <c r="AO1121" s="1"/>
      <c r="AP1121" s="1"/>
      <c r="AQ1121" s="1"/>
    </row>
    <row r="1122" spans="1:43" x14ac:dyDescent="0.3">
      <c r="A1122"/>
      <c r="B1122"/>
      <c r="C1122"/>
      <c r="D1122"/>
      <c r="F1122"/>
      <c r="G1122"/>
      <c r="H1122"/>
      <c r="I1122"/>
      <c r="J1122"/>
      <c r="K1122"/>
      <c r="L1122"/>
      <c r="M1122" s="14"/>
      <c r="N1122"/>
      <c r="O1122"/>
      <c r="P1122"/>
      <c r="Q1122" s="10"/>
      <c r="R1122"/>
      <c r="S1122"/>
      <c r="T1122" s="11"/>
      <c r="U1122"/>
      <c r="V1122"/>
      <c r="W1122"/>
      <c r="AA1122" s="14"/>
      <c r="AB1122"/>
      <c r="AC1122"/>
      <c r="AD1122"/>
      <c r="AE1122"/>
      <c r="AF1122"/>
      <c r="AH1122"/>
      <c r="AI1122"/>
      <c r="AK1122" s="4"/>
      <c r="AL1122"/>
      <c r="AM1122"/>
      <c r="AN1122"/>
      <c r="AO1122"/>
      <c r="AP1122"/>
      <c r="AQ1122"/>
    </row>
    <row r="1123" spans="1:43" x14ac:dyDescent="0.3">
      <c r="A1123"/>
      <c r="B1123"/>
      <c r="C1123"/>
      <c r="D1123"/>
      <c r="F1123"/>
      <c r="G1123"/>
      <c r="H1123"/>
      <c r="I1123"/>
      <c r="J1123"/>
      <c r="K1123"/>
      <c r="L1123"/>
      <c r="M1123" s="14"/>
      <c r="N1123"/>
      <c r="O1123"/>
      <c r="P1123"/>
      <c r="Q1123" s="10"/>
      <c r="R1123"/>
      <c r="S1123"/>
      <c r="T1123" s="11"/>
      <c r="U1123"/>
      <c r="V1123"/>
      <c r="W1123"/>
      <c r="AA1123" s="14"/>
      <c r="AB1123"/>
      <c r="AC1123"/>
      <c r="AD1123"/>
      <c r="AE1123"/>
      <c r="AF1123"/>
      <c r="AH1123"/>
      <c r="AI1123"/>
      <c r="AK1123" s="4"/>
      <c r="AL1123"/>
      <c r="AM1123"/>
      <c r="AN1123"/>
      <c r="AO1123"/>
      <c r="AP1123"/>
      <c r="AQ1123"/>
    </row>
    <row r="1124" spans="1:43" x14ac:dyDescent="0.3">
      <c r="A1124"/>
      <c r="B1124"/>
      <c r="C1124"/>
      <c r="D1124"/>
      <c r="F1124"/>
      <c r="G1124"/>
      <c r="H1124"/>
      <c r="I1124"/>
      <c r="J1124"/>
      <c r="K1124"/>
      <c r="L1124"/>
      <c r="M1124" s="14"/>
      <c r="N1124"/>
      <c r="O1124"/>
      <c r="P1124"/>
      <c r="Q1124" s="10"/>
      <c r="R1124"/>
      <c r="S1124"/>
      <c r="T1124" s="11"/>
      <c r="U1124"/>
      <c r="V1124"/>
      <c r="W1124"/>
      <c r="AA1124" s="14"/>
      <c r="AB1124"/>
      <c r="AC1124"/>
      <c r="AD1124"/>
      <c r="AE1124"/>
      <c r="AF1124"/>
      <c r="AH1124"/>
      <c r="AI1124"/>
      <c r="AK1124" s="4"/>
      <c r="AL1124"/>
      <c r="AM1124"/>
      <c r="AN1124"/>
      <c r="AO1124"/>
      <c r="AP1124"/>
      <c r="AQ1124"/>
    </row>
    <row r="1125" spans="1:43" x14ac:dyDescent="0.3">
      <c r="A1125"/>
      <c r="B1125"/>
      <c r="C1125"/>
      <c r="D1125"/>
      <c r="F1125"/>
      <c r="G1125"/>
      <c r="H1125"/>
      <c r="I1125"/>
      <c r="J1125"/>
      <c r="K1125"/>
      <c r="L1125"/>
      <c r="M1125" s="14"/>
      <c r="N1125"/>
      <c r="O1125"/>
      <c r="P1125"/>
      <c r="Q1125" s="10"/>
      <c r="R1125"/>
      <c r="S1125"/>
      <c r="T1125" s="11"/>
      <c r="U1125"/>
      <c r="V1125"/>
      <c r="W1125"/>
      <c r="AA1125" s="14"/>
      <c r="AB1125"/>
      <c r="AC1125"/>
      <c r="AD1125"/>
      <c r="AE1125"/>
      <c r="AF1125"/>
      <c r="AH1125"/>
      <c r="AI1125"/>
      <c r="AK1125" s="4"/>
      <c r="AL1125"/>
      <c r="AM1125"/>
      <c r="AN1125"/>
      <c r="AO1125"/>
      <c r="AP1125"/>
      <c r="AQ1125"/>
    </row>
    <row r="1126" spans="1:43" customFormat="1" x14ac:dyDescent="0.3">
      <c r="M1126" s="14"/>
      <c r="Q1126" s="10"/>
      <c r="T1126" s="11"/>
      <c r="AA1126" s="14"/>
      <c r="AK1126" s="4"/>
    </row>
    <row r="1127" spans="1:43" customFormat="1" x14ac:dyDescent="0.3">
      <c r="M1127" s="14"/>
      <c r="Q1127" s="10"/>
      <c r="T1127" s="11"/>
      <c r="AA1127" s="14"/>
      <c r="AK1127" s="4"/>
    </row>
    <row r="1128" spans="1:43" customFormat="1" x14ac:dyDescent="0.3">
      <c r="M1128" s="14"/>
      <c r="Q1128" s="10"/>
      <c r="T1128" s="11"/>
      <c r="AA1128" s="14"/>
      <c r="AK1128" s="4"/>
    </row>
    <row r="1129" spans="1:43" customFormat="1" x14ac:dyDescent="0.3">
      <c r="M1129" s="14"/>
      <c r="Q1129" s="10"/>
      <c r="T1129" s="11"/>
      <c r="AA1129" s="14"/>
      <c r="AK1129" s="4"/>
    </row>
    <row r="1130" spans="1:43" customFormat="1" x14ac:dyDescent="0.3">
      <c r="M1130" s="14"/>
      <c r="Q1130" s="10"/>
      <c r="T1130" s="11"/>
      <c r="AA1130" s="14"/>
      <c r="AK1130" s="4"/>
    </row>
    <row r="1131" spans="1:43" customFormat="1" x14ac:dyDescent="0.3">
      <c r="M1131" s="14"/>
      <c r="Q1131" s="10"/>
      <c r="T1131" s="11"/>
      <c r="AA1131" s="14"/>
      <c r="AK1131" s="4"/>
    </row>
    <row r="1132" spans="1:43" customFormat="1" x14ac:dyDescent="0.3">
      <c r="M1132" s="14"/>
      <c r="Q1132" s="10"/>
      <c r="T1132" s="11"/>
      <c r="AA1132" s="14"/>
      <c r="AK1132" s="4"/>
    </row>
    <row r="1133" spans="1:43" x14ac:dyDescent="0.3">
      <c r="A1133"/>
      <c r="B1133"/>
      <c r="C1133"/>
      <c r="D1133"/>
      <c r="F1133"/>
      <c r="G1133"/>
      <c r="H1133"/>
      <c r="I1133"/>
      <c r="J1133"/>
      <c r="K1133"/>
      <c r="L1133"/>
      <c r="M1133" s="14"/>
      <c r="N1133"/>
      <c r="O1133"/>
      <c r="P1133"/>
      <c r="Q1133" s="10"/>
      <c r="R1133"/>
      <c r="S1133"/>
      <c r="T1133" s="11"/>
      <c r="U1133"/>
      <c r="V1133"/>
      <c r="W1133"/>
      <c r="AA1133" s="14"/>
      <c r="AB1133"/>
      <c r="AC1133"/>
      <c r="AD1133"/>
      <c r="AE1133"/>
      <c r="AF1133"/>
      <c r="AH1133"/>
      <c r="AI1133"/>
      <c r="AK1133" s="4"/>
      <c r="AL1133"/>
      <c r="AM1133"/>
      <c r="AN1133"/>
      <c r="AO1133"/>
      <c r="AP1133"/>
      <c r="AQ1133"/>
    </row>
    <row r="1134" spans="1:43" customFormat="1" x14ac:dyDescent="0.3">
      <c r="M1134" s="14"/>
      <c r="Q1134" s="10"/>
      <c r="T1134" s="11"/>
      <c r="AA1134" s="14"/>
      <c r="AK1134" s="4"/>
    </row>
    <row r="1135" spans="1:43" customFormat="1" x14ac:dyDescent="0.3">
      <c r="M1135" s="14"/>
      <c r="Q1135" s="10"/>
      <c r="T1135" s="11"/>
      <c r="AA1135" s="14"/>
      <c r="AK1135" s="4"/>
    </row>
    <row r="1136" spans="1:43" customFormat="1" x14ac:dyDescent="0.3">
      <c r="M1136" s="14"/>
      <c r="Q1136" s="10"/>
      <c r="T1136" s="11"/>
      <c r="AA1136" s="14"/>
      <c r="AK1136" s="4"/>
    </row>
    <row r="1137" spans="1:43" customFormat="1" x14ac:dyDescent="0.3">
      <c r="M1137" s="14"/>
      <c r="Q1137" s="10"/>
      <c r="T1137" s="11"/>
      <c r="AA1137" s="14"/>
      <c r="AK1137" s="4"/>
    </row>
    <row r="1138" spans="1:43" customFormat="1" x14ac:dyDescent="0.3">
      <c r="M1138" s="14"/>
      <c r="Q1138" s="10"/>
      <c r="T1138" s="11"/>
      <c r="AA1138" s="14"/>
      <c r="AK1138" s="4"/>
    </row>
    <row r="1139" spans="1:43" customFormat="1" x14ac:dyDescent="0.3">
      <c r="M1139" s="14"/>
      <c r="Q1139" s="10"/>
      <c r="T1139" s="11"/>
      <c r="AA1139" s="14"/>
      <c r="AK1139" s="4"/>
    </row>
    <row r="1140" spans="1:43" x14ac:dyDescent="0.3">
      <c r="A1140"/>
      <c r="B1140"/>
      <c r="C1140"/>
      <c r="D1140"/>
      <c r="F1140"/>
      <c r="G1140"/>
      <c r="H1140"/>
      <c r="I1140"/>
      <c r="J1140"/>
      <c r="K1140"/>
      <c r="L1140"/>
      <c r="M1140" s="14"/>
      <c r="N1140"/>
      <c r="O1140"/>
      <c r="P1140"/>
      <c r="Q1140" s="10"/>
      <c r="R1140"/>
      <c r="S1140"/>
      <c r="T1140" s="11"/>
      <c r="U1140"/>
      <c r="V1140"/>
      <c r="W1140"/>
      <c r="AA1140" s="14"/>
      <c r="AB1140"/>
      <c r="AC1140"/>
      <c r="AD1140"/>
      <c r="AE1140"/>
      <c r="AF1140"/>
      <c r="AH1140"/>
      <c r="AI1140"/>
      <c r="AK1140" s="4"/>
      <c r="AL1140"/>
      <c r="AM1140"/>
      <c r="AN1140"/>
      <c r="AO1140"/>
      <c r="AP1140"/>
      <c r="AQ1140"/>
    </row>
    <row r="1141" spans="1:43" x14ac:dyDescent="0.3">
      <c r="A1141"/>
      <c r="B1141"/>
      <c r="C1141"/>
      <c r="D1141"/>
      <c r="F1141"/>
      <c r="G1141"/>
      <c r="H1141"/>
      <c r="I1141"/>
      <c r="J1141"/>
      <c r="K1141"/>
      <c r="L1141"/>
      <c r="M1141" s="14"/>
      <c r="N1141"/>
      <c r="O1141"/>
      <c r="P1141"/>
      <c r="Q1141" s="10"/>
      <c r="R1141"/>
      <c r="S1141"/>
      <c r="T1141" s="11"/>
      <c r="U1141"/>
      <c r="V1141"/>
      <c r="W1141"/>
      <c r="AA1141" s="14"/>
      <c r="AB1141"/>
      <c r="AC1141"/>
      <c r="AD1141"/>
      <c r="AE1141"/>
      <c r="AF1141"/>
      <c r="AH1141"/>
      <c r="AI1141"/>
      <c r="AK1141" s="4"/>
      <c r="AL1141"/>
      <c r="AM1141"/>
      <c r="AN1141"/>
      <c r="AO1141"/>
      <c r="AP1141"/>
      <c r="AQ1141"/>
    </row>
    <row r="1142" spans="1:43" x14ac:dyDescent="0.3">
      <c r="A1142"/>
      <c r="B1142"/>
      <c r="C1142"/>
      <c r="D1142"/>
      <c r="F1142"/>
      <c r="G1142"/>
      <c r="H1142"/>
      <c r="I1142"/>
      <c r="J1142"/>
      <c r="K1142"/>
      <c r="L1142"/>
      <c r="M1142" s="14"/>
      <c r="N1142"/>
      <c r="O1142"/>
      <c r="P1142"/>
      <c r="Q1142" s="10"/>
      <c r="R1142"/>
      <c r="S1142"/>
      <c r="T1142" s="11"/>
      <c r="U1142"/>
      <c r="V1142"/>
      <c r="W1142"/>
      <c r="AA1142" s="14"/>
      <c r="AB1142"/>
      <c r="AC1142"/>
      <c r="AD1142"/>
      <c r="AE1142"/>
      <c r="AF1142"/>
      <c r="AH1142"/>
      <c r="AI1142"/>
      <c r="AK1142" s="4"/>
      <c r="AL1142"/>
      <c r="AM1142"/>
      <c r="AN1142"/>
      <c r="AO1142"/>
      <c r="AP1142"/>
      <c r="AQ1142"/>
    </row>
    <row r="1143" spans="1:43" x14ac:dyDescent="0.3">
      <c r="A1143"/>
      <c r="B1143"/>
      <c r="C1143"/>
      <c r="D1143"/>
      <c r="F1143"/>
      <c r="G1143"/>
      <c r="H1143"/>
      <c r="I1143"/>
      <c r="J1143"/>
      <c r="K1143"/>
      <c r="L1143"/>
      <c r="M1143" s="14"/>
      <c r="N1143"/>
      <c r="O1143"/>
      <c r="P1143"/>
      <c r="Q1143" s="10"/>
      <c r="R1143"/>
      <c r="S1143"/>
      <c r="T1143" s="11"/>
      <c r="U1143"/>
      <c r="V1143"/>
      <c r="W1143"/>
      <c r="AA1143" s="14"/>
      <c r="AB1143"/>
      <c r="AC1143"/>
      <c r="AD1143"/>
      <c r="AE1143"/>
      <c r="AF1143"/>
      <c r="AH1143"/>
      <c r="AI1143"/>
      <c r="AK1143" s="4"/>
      <c r="AL1143"/>
      <c r="AM1143"/>
      <c r="AN1143"/>
      <c r="AO1143"/>
      <c r="AP1143"/>
      <c r="AQ1143"/>
    </row>
    <row r="1144" spans="1:43" customFormat="1" x14ac:dyDescent="0.3">
      <c r="M1144" s="14"/>
      <c r="Q1144" s="10"/>
      <c r="T1144" s="11"/>
      <c r="AA1144" s="14"/>
      <c r="AK1144" s="4"/>
    </row>
    <row r="1145" spans="1:43" x14ac:dyDescent="0.3">
      <c r="A1145"/>
      <c r="B1145"/>
      <c r="C1145"/>
      <c r="D1145"/>
      <c r="F1145"/>
      <c r="G1145"/>
      <c r="H1145"/>
      <c r="I1145"/>
      <c r="J1145"/>
      <c r="K1145"/>
      <c r="L1145"/>
      <c r="M1145" s="14"/>
      <c r="N1145"/>
      <c r="O1145"/>
      <c r="P1145"/>
      <c r="Q1145" s="10"/>
      <c r="R1145"/>
      <c r="S1145"/>
      <c r="T1145" s="11"/>
      <c r="U1145"/>
      <c r="V1145"/>
      <c r="W1145"/>
      <c r="AA1145" s="14"/>
      <c r="AB1145"/>
      <c r="AC1145"/>
      <c r="AD1145"/>
      <c r="AE1145"/>
      <c r="AF1145"/>
      <c r="AH1145"/>
      <c r="AI1145"/>
      <c r="AK1145" s="4"/>
      <c r="AL1145"/>
      <c r="AM1145"/>
      <c r="AN1145"/>
      <c r="AO1145"/>
      <c r="AP1145"/>
      <c r="AQ1145"/>
    </row>
    <row r="1146" spans="1:43" x14ac:dyDescent="0.3">
      <c r="A1146"/>
      <c r="B1146"/>
      <c r="C1146"/>
      <c r="D1146"/>
      <c r="F1146"/>
      <c r="G1146"/>
      <c r="H1146"/>
      <c r="I1146"/>
      <c r="J1146"/>
      <c r="K1146"/>
      <c r="L1146"/>
      <c r="M1146" s="14"/>
      <c r="N1146"/>
      <c r="O1146"/>
      <c r="P1146"/>
      <c r="Q1146" s="10"/>
      <c r="R1146"/>
      <c r="S1146"/>
      <c r="T1146" s="11"/>
      <c r="U1146"/>
      <c r="V1146"/>
      <c r="W1146"/>
      <c r="AA1146" s="14"/>
      <c r="AB1146"/>
      <c r="AC1146"/>
      <c r="AD1146"/>
      <c r="AE1146"/>
      <c r="AF1146"/>
      <c r="AH1146"/>
      <c r="AI1146"/>
      <c r="AK1146" s="4"/>
      <c r="AL1146"/>
      <c r="AM1146"/>
      <c r="AN1146"/>
      <c r="AO1146"/>
      <c r="AP1146"/>
      <c r="AQ1146"/>
    </row>
    <row r="1147" spans="1:43" customFormat="1" x14ac:dyDescent="0.3">
      <c r="M1147" s="14"/>
      <c r="Q1147" s="10"/>
      <c r="T1147" s="11"/>
      <c r="AA1147" s="14"/>
      <c r="AK1147" s="4"/>
    </row>
    <row r="1148" spans="1:43" customFormat="1" x14ac:dyDescent="0.3">
      <c r="M1148" s="14"/>
      <c r="Q1148" s="10"/>
      <c r="T1148" s="11"/>
      <c r="AA1148" s="14"/>
      <c r="AK1148" s="4"/>
    </row>
    <row r="1149" spans="1:43" customFormat="1" x14ac:dyDescent="0.3">
      <c r="M1149" s="14"/>
      <c r="Q1149" s="10"/>
      <c r="T1149" s="11"/>
      <c r="AA1149" s="14"/>
      <c r="AK1149" s="4"/>
    </row>
    <row r="1150" spans="1:43" customFormat="1" x14ac:dyDescent="0.3">
      <c r="M1150" s="14"/>
      <c r="Q1150" s="10"/>
      <c r="T1150" s="11"/>
      <c r="AA1150" s="14"/>
      <c r="AK1150" s="4"/>
    </row>
    <row r="1151" spans="1:43" customFormat="1" x14ac:dyDescent="0.3">
      <c r="M1151" s="14"/>
      <c r="Q1151" s="10"/>
      <c r="T1151" s="11"/>
      <c r="AA1151" s="14"/>
      <c r="AK1151" s="4"/>
    </row>
    <row r="1152" spans="1:43" customFormat="1" x14ac:dyDescent="0.3">
      <c r="M1152" s="14"/>
      <c r="Q1152" s="10"/>
      <c r="T1152" s="11"/>
      <c r="AA1152" s="14"/>
      <c r="AK1152" s="4"/>
    </row>
    <row r="1153" spans="1:43" customFormat="1" x14ac:dyDescent="0.3">
      <c r="M1153" s="14"/>
      <c r="Q1153" s="10"/>
      <c r="T1153" s="11"/>
      <c r="AA1153" s="14"/>
      <c r="AK1153" s="4"/>
    </row>
    <row r="1154" spans="1:43" customFormat="1" x14ac:dyDescent="0.3">
      <c r="M1154" s="14"/>
      <c r="Q1154" s="10"/>
      <c r="T1154" s="11"/>
      <c r="AA1154" s="14"/>
      <c r="AK1154" s="4"/>
    </row>
    <row r="1155" spans="1:43" customFormat="1" x14ac:dyDescent="0.3">
      <c r="M1155" s="14"/>
      <c r="Q1155" s="10"/>
      <c r="T1155" s="11"/>
      <c r="AA1155" s="14"/>
      <c r="AK1155" s="4"/>
    </row>
    <row r="1156" spans="1:43" x14ac:dyDescent="0.3">
      <c r="A1156"/>
      <c r="B1156"/>
      <c r="C1156"/>
      <c r="D1156"/>
      <c r="F1156"/>
      <c r="G1156"/>
      <c r="H1156"/>
      <c r="I1156"/>
      <c r="J1156"/>
      <c r="K1156"/>
      <c r="L1156"/>
      <c r="M1156" s="14"/>
      <c r="N1156"/>
      <c r="O1156"/>
      <c r="P1156"/>
      <c r="Q1156" s="10"/>
      <c r="R1156"/>
      <c r="S1156"/>
      <c r="T1156" s="11"/>
      <c r="U1156"/>
      <c r="V1156"/>
      <c r="W1156"/>
      <c r="AA1156" s="14"/>
      <c r="AB1156"/>
      <c r="AC1156"/>
      <c r="AD1156"/>
      <c r="AE1156"/>
      <c r="AF1156"/>
      <c r="AH1156"/>
      <c r="AI1156"/>
      <c r="AK1156" s="4"/>
      <c r="AL1156"/>
      <c r="AM1156"/>
      <c r="AN1156"/>
      <c r="AO1156"/>
      <c r="AP1156"/>
      <c r="AQ1156"/>
    </row>
    <row r="1157" spans="1:43" customFormat="1" x14ac:dyDescent="0.3">
      <c r="M1157" s="14"/>
      <c r="Q1157" s="10"/>
      <c r="T1157" s="11"/>
      <c r="AA1157" s="14"/>
      <c r="AK1157" s="4"/>
    </row>
    <row r="1158" spans="1:43" x14ac:dyDescent="0.3">
      <c r="A1158"/>
      <c r="B1158"/>
      <c r="C1158"/>
      <c r="D1158"/>
      <c r="F1158"/>
      <c r="G1158"/>
      <c r="H1158"/>
      <c r="I1158"/>
      <c r="J1158"/>
      <c r="K1158"/>
      <c r="L1158"/>
      <c r="M1158" s="14"/>
      <c r="N1158"/>
      <c r="O1158"/>
      <c r="P1158"/>
      <c r="Q1158" s="10"/>
      <c r="R1158"/>
      <c r="S1158"/>
      <c r="T1158" s="11"/>
      <c r="U1158"/>
      <c r="V1158"/>
      <c r="W1158"/>
      <c r="AA1158" s="14"/>
      <c r="AB1158"/>
      <c r="AC1158"/>
      <c r="AD1158"/>
      <c r="AE1158"/>
      <c r="AF1158"/>
      <c r="AH1158"/>
      <c r="AI1158"/>
      <c r="AK1158" s="4"/>
      <c r="AL1158"/>
      <c r="AM1158"/>
      <c r="AN1158"/>
      <c r="AO1158"/>
      <c r="AP1158"/>
      <c r="AQ1158"/>
    </row>
    <row r="1159" spans="1:43" customFormat="1" x14ac:dyDescent="0.3">
      <c r="M1159" s="14"/>
      <c r="Q1159" s="10"/>
      <c r="T1159" s="11"/>
      <c r="AA1159" s="14"/>
      <c r="AK1159" s="4"/>
    </row>
    <row r="1160" spans="1:43" customFormat="1" x14ac:dyDescent="0.3">
      <c r="M1160" s="14"/>
      <c r="Q1160" s="10"/>
      <c r="T1160" s="11"/>
      <c r="AA1160" s="14"/>
      <c r="AK1160" s="4"/>
    </row>
    <row r="1161" spans="1:43" customFormat="1" x14ac:dyDescent="0.3">
      <c r="M1161" s="14"/>
      <c r="Q1161" s="10"/>
      <c r="T1161" s="11"/>
      <c r="AA1161" s="14"/>
      <c r="AK1161" s="4"/>
    </row>
    <row r="1162" spans="1:43" customFormat="1" x14ac:dyDescent="0.3">
      <c r="M1162" s="14"/>
      <c r="Q1162" s="10"/>
      <c r="T1162" s="11"/>
      <c r="AA1162" s="14"/>
      <c r="AK1162" s="4"/>
    </row>
    <row r="1163" spans="1:43" customFormat="1" x14ac:dyDescent="0.3">
      <c r="M1163" s="14"/>
      <c r="Q1163" s="10"/>
      <c r="T1163" s="11"/>
      <c r="AA1163" s="14"/>
      <c r="AK1163" s="4"/>
    </row>
    <row r="1164" spans="1:43" x14ac:dyDescent="0.3">
      <c r="A1164"/>
      <c r="B1164"/>
      <c r="C1164"/>
      <c r="D1164"/>
      <c r="F1164"/>
      <c r="G1164"/>
      <c r="H1164"/>
      <c r="I1164"/>
      <c r="J1164"/>
      <c r="K1164"/>
      <c r="L1164"/>
      <c r="M1164" s="14"/>
      <c r="N1164"/>
      <c r="O1164"/>
      <c r="P1164"/>
      <c r="Q1164" s="10"/>
      <c r="R1164"/>
      <c r="S1164"/>
      <c r="T1164" s="11"/>
      <c r="U1164"/>
      <c r="V1164"/>
      <c r="W1164"/>
      <c r="AA1164" s="14"/>
      <c r="AB1164"/>
      <c r="AC1164"/>
      <c r="AD1164"/>
      <c r="AE1164"/>
      <c r="AF1164"/>
      <c r="AH1164"/>
      <c r="AI1164"/>
      <c r="AK1164" s="4"/>
      <c r="AL1164"/>
      <c r="AM1164"/>
      <c r="AN1164"/>
      <c r="AO1164"/>
      <c r="AP1164"/>
      <c r="AQ1164"/>
    </row>
    <row r="1165" spans="1:43" x14ac:dyDescent="0.3">
      <c r="A1165"/>
      <c r="B1165"/>
      <c r="C1165"/>
      <c r="D1165"/>
      <c r="F1165"/>
      <c r="G1165"/>
      <c r="H1165"/>
      <c r="I1165"/>
      <c r="J1165"/>
      <c r="K1165"/>
      <c r="L1165"/>
      <c r="M1165" s="14"/>
      <c r="N1165"/>
      <c r="O1165"/>
      <c r="P1165"/>
      <c r="Q1165" s="10"/>
      <c r="R1165"/>
      <c r="S1165"/>
      <c r="T1165" s="11"/>
      <c r="U1165"/>
      <c r="V1165"/>
      <c r="W1165"/>
      <c r="AA1165" s="14"/>
      <c r="AB1165"/>
      <c r="AC1165"/>
      <c r="AD1165"/>
      <c r="AE1165"/>
      <c r="AF1165"/>
      <c r="AH1165"/>
      <c r="AI1165"/>
      <c r="AK1165" s="4"/>
      <c r="AL1165"/>
      <c r="AM1165"/>
      <c r="AN1165"/>
      <c r="AO1165"/>
      <c r="AP1165"/>
      <c r="AQ1165"/>
    </row>
    <row r="1166" spans="1:43" x14ac:dyDescent="0.3">
      <c r="A1166"/>
      <c r="B1166"/>
      <c r="C1166"/>
      <c r="D1166"/>
      <c r="F1166"/>
      <c r="G1166"/>
      <c r="H1166"/>
      <c r="I1166"/>
      <c r="J1166"/>
      <c r="K1166"/>
      <c r="L1166"/>
      <c r="M1166" s="14"/>
      <c r="N1166"/>
      <c r="O1166"/>
      <c r="P1166"/>
      <c r="Q1166" s="10"/>
      <c r="R1166"/>
      <c r="S1166"/>
      <c r="T1166" s="11"/>
      <c r="U1166"/>
      <c r="V1166"/>
      <c r="W1166"/>
      <c r="AA1166" s="14"/>
      <c r="AB1166"/>
      <c r="AC1166"/>
      <c r="AD1166"/>
      <c r="AE1166"/>
      <c r="AF1166"/>
      <c r="AH1166"/>
      <c r="AI1166"/>
      <c r="AK1166" s="4"/>
      <c r="AL1166"/>
      <c r="AM1166"/>
      <c r="AN1166"/>
      <c r="AO1166"/>
      <c r="AP1166"/>
      <c r="AQ1166"/>
    </row>
    <row r="1167" spans="1:43" customFormat="1" x14ac:dyDescent="0.3">
      <c r="M1167" s="14"/>
      <c r="Q1167" s="10"/>
      <c r="T1167" s="11"/>
      <c r="AA1167" s="14"/>
      <c r="AK1167" s="4"/>
    </row>
    <row r="1168" spans="1:43" customFormat="1" x14ac:dyDescent="0.3">
      <c r="M1168" s="14"/>
      <c r="Q1168" s="10"/>
      <c r="T1168" s="11"/>
      <c r="AA1168" s="14"/>
      <c r="AK1168" s="4"/>
    </row>
    <row r="1169" spans="13:37" customFormat="1" x14ac:dyDescent="0.3">
      <c r="M1169" s="14"/>
      <c r="Q1169" s="10"/>
      <c r="T1169" s="11"/>
      <c r="AA1169" s="14"/>
      <c r="AK1169" s="4"/>
    </row>
    <row r="1170" spans="13:37" customFormat="1" x14ac:dyDescent="0.3">
      <c r="M1170" s="14"/>
      <c r="Q1170" s="10"/>
      <c r="T1170" s="11"/>
      <c r="AA1170" s="14"/>
      <c r="AK1170" s="4"/>
    </row>
    <row r="1171" spans="13:37" customFormat="1" x14ac:dyDescent="0.3">
      <c r="M1171" s="14"/>
      <c r="Q1171" s="10"/>
      <c r="T1171" s="11"/>
      <c r="AA1171" s="14"/>
      <c r="AK1171" s="4"/>
    </row>
    <row r="1172" spans="13:37" customFormat="1" x14ac:dyDescent="0.3">
      <c r="M1172" s="14"/>
      <c r="Q1172" s="10"/>
      <c r="T1172" s="11"/>
      <c r="AA1172" s="14"/>
      <c r="AK1172" s="4"/>
    </row>
    <row r="1173" spans="13:37" customFormat="1" x14ac:dyDescent="0.3">
      <c r="M1173" s="14"/>
      <c r="Q1173" s="10"/>
      <c r="T1173" s="11"/>
      <c r="AA1173" s="14"/>
      <c r="AK1173" s="4"/>
    </row>
    <row r="1174" spans="13:37" customFormat="1" x14ac:dyDescent="0.3">
      <c r="M1174" s="14"/>
      <c r="Q1174" s="10"/>
      <c r="T1174" s="11"/>
      <c r="AA1174" s="14"/>
      <c r="AK1174" s="4"/>
    </row>
    <row r="1175" spans="13:37" customFormat="1" x14ac:dyDescent="0.3">
      <c r="M1175" s="14"/>
      <c r="Q1175" s="10"/>
      <c r="T1175" s="11"/>
      <c r="AA1175" s="14"/>
      <c r="AK1175" s="4"/>
    </row>
    <row r="1176" spans="13:37" customFormat="1" x14ac:dyDescent="0.3">
      <c r="M1176" s="14"/>
      <c r="Q1176" s="10"/>
      <c r="T1176" s="11"/>
      <c r="AA1176" s="14"/>
      <c r="AK1176" s="4"/>
    </row>
    <row r="1177" spans="13:37" customFormat="1" x14ac:dyDescent="0.3">
      <c r="M1177" s="14"/>
      <c r="Q1177" s="10"/>
      <c r="T1177" s="11"/>
      <c r="AA1177" s="14"/>
      <c r="AK1177" s="4"/>
    </row>
    <row r="1178" spans="13:37" customFormat="1" x14ac:dyDescent="0.3">
      <c r="M1178" s="14"/>
      <c r="Q1178" s="10"/>
      <c r="T1178" s="11"/>
      <c r="AA1178" s="14"/>
      <c r="AK1178" s="4"/>
    </row>
    <row r="1179" spans="13:37" customFormat="1" x14ac:dyDescent="0.3">
      <c r="M1179" s="14"/>
      <c r="Q1179" s="10"/>
      <c r="T1179" s="11"/>
      <c r="AA1179" s="14"/>
      <c r="AK1179" s="4"/>
    </row>
    <row r="1180" spans="13:37" customFormat="1" x14ac:dyDescent="0.3">
      <c r="M1180" s="14"/>
      <c r="Q1180" s="10"/>
      <c r="T1180" s="11"/>
      <c r="AA1180" s="14"/>
      <c r="AK1180" s="4"/>
    </row>
    <row r="1181" spans="13:37" customFormat="1" x14ac:dyDescent="0.3">
      <c r="M1181" s="14"/>
      <c r="Q1181" s="10"/>
      <c r="T1181" s="11"/>
      <c r="AA1181" s="14"/>
      <c r="AK1181" s="4"/>
    </row>
    <row r="1182" spans="13:37" customFormat="1" x14ac:dyDescent="0.3">
      <c r="M1182" s="14"/>
      <c r="Q1182" s="10"/>
      <c r="T1182" s="11"/>
      <c r="AA1182" s="14"/>
      <c r="AK1182" s="4"/>
    </row>
    <row r="1183" spans="13:37" customFormat="1" x14ac:dyDescent="0.3">
      <c r="M1183" s="14"/>
      <c r="Q1183" s="10"/>
      <c r="T1183" s="11"/>
      <c r="AA1183" s="14"/>
      <c r="AK1183" s="4"/>
    </row>
    <row r="1184" spans="13:37" customFormat="1" x14ac:dyDescent="0.3">
      <c r="M1184" s="14"/>
      <c r="Q1184" s="10"/>
      <c r="T1184" s="11"/>
      <c r="AA1184" s="14"/>
      <c r="AK1184" s="4"/>
    </row>
    <row r="1185" spans="1:43" customFormat="1" x14ac:dyDescent="0.3">
      <c r="M1185" s="14"/>
      <c r="Q1185" s="10"/>
      <c r="T1185" s="11"/>
      <c r="AA1185" s="14"/>
      <c r="AK1185" s="4"/>
    </row>
    <row r="1186" spans="1:43" customFormat="1" x14ac:dyDescent="0.3">
      <c r="M1186" s="14"/>
      <c r="Q1186" s="10"/>
      <c r="T1186" s="11"/>
      <c r="AA1186" s="14"/>
      <c r="AK1186" s="4"/>
    </row>
    <row r="1187" spans="1:43" customFormat="1" x14ac:dyDescent="0.3">
      <c r="M1187" s="14"/>
      <c r="Q1187" s="10"/>
      <c r="T1187" s="11"/>
      <c r="AA1187" s="14"/>
      <c r="AK1187" s="4"/>
    </row>
    <row r="1188" spans="1:43" customFormat="1" x14ac:dyDescent="0.3">
      <c r="M1188" s="14"/>
      <c r="Q1188" s="10"/>
      <c r="T1188" s="11"/>
      <c r="AA1188" s="14"/>
      <c r="AK1188" s="4"/>
    </row>
    <row r="1189" spans="1:43" x14ac:dyDescent="0.3">
      <c r="A1189"/>
      <c r="B1189"/>
      <c r="C1189"/>
      <c r="D1189"/>
      <c r="F1189"/>
      <c r="G1189"/>
      <c r="H1189"/>
      <c r="I1189"/>
      <c r="J1189"/>
      <c r="K1189"/>
      <c r="L1189"/>
      <c r="M1189" s="14"/>
      <c r="N1189"/>
      <c r="O1189"/>
      <c r="P1189"/>
      <c r="Q1189" s="10"/>
      <c r="R1189"/>
      <c r="S1189"/>
      <c r="T1189" s="11"/>
      <c r="U1189"/>
      <c r="V1189"/>
      <c r="W1189"/>
      <c r="AA1189" s="14"/>
      <c r="AB1189"/>
      <c r="AC1189"/>
      <c r="AD1189"/>
      <c r="AE1189"/>
      <c r="AF1189"/>
      <c r="AH1189"/>
      <c r="AI1189"/>
      <c r="AK1189" s="4"/>
      <c r="AL1189"/>
      <c r="AM1189"/>
      <c r="AN1189"/>
      <c r="AO1189"/>
      <c r="AP1189"/>
      <c r="AQ1189"/>
    </row>
    <row r="1190" spans="1:43" x14ac:dyDescent="0.3">
      <c r="A1190"/>
      <c r="B1190"/>
      <c r="C1190"/>
      <c r="D1190"/>
      <c r="F1190"/>
      <c r="G1190"/>
      <c r="H1190"/>
      <c r="I1190"/>
      <c r="J1190"/>
      <c r="K1190"/>
      <c r="L1190"/>
      <c r="M1190" s="14"/>
      <c r="N1190"/>
      <c r="O1190"/>
      <c r="P1190"/>
      <c r="Q1190" s="10"/>
      <c r="R1190"/>
      <c r="S1190"/>
      <c r="T1190" s="11"/>
      <c r="U1190"/>
      <c r="V1190"/>
      <c r="W1190"/>
      <c r="AA1190" s="14"/>
      <c r="AB1190"/>
      <c r="AC1190"/>
      <c r="AD1190"/>
      <c r="AE1190"/>
      <c r="AF1190"/>
      <c r="AH1190"/>
      <c r="AI1190"/>
      <c r="AK1190" s="4"/>
      <c r="AL1190"/>
      <c r="AM1190"/>
      <c r="AN1190"/>
      <c r="AO1190"/>
      <c r="AP1190"/>
      <c r="AQ1190"/>
    </row>
    <row r="1191" spans="1:43" customFormat="1" x14ac:dyDescent="0.3">
      <c r="M1191" s="14"/>
      <c r="Q1191" s="10"/>
      <c r="T1191" s="11"/>
      <c r="AA1191" s="14"/>
      <c r="AK1191" s="4"/>
    </row>
    <row r="1192" spans="1:43" customFormat="1" x14ac:dyDescent="0.3">
      <c r="M1192" s="14"/>
      <c r="Q1192" s="10"/>
      <c r="T1192" s="11"/>
      <c r="AA1192" s="14"/>
      <c r="AK1192" s="4"/>
    </row>
    <row r="1193" spans="1:43" customFormat="1" x14ac:dyDescent="0.3">
      <c r="M1193" s="14"/>
      <c r="Q1193" s="10"/>
      <c r="T1193" s="11"/>
      <c r="AA1193" s="14"/>
      <c r="AK1193" s="4"/>
    </row>
    <row r="1194" spans="1:43" customFormat="1" x14ac:dyDescent="0.3">
      <c r="M1194" s="14"/>
      <c r="Q1194" s="10"/>
      <c r="T1194" s="11"/>
      <c r="AA1194" s="14"/>
      <c r="AK1194" s="4"/>
    </row>
    <row r="1195" spans="1:43" x14ac:dyDescent="0.3">
      <c r="A1195"/>
      <c r="B1195"/>
      <c r="C1195"/>
      <c r="D1195"/>
      <c r="F1195"/>
      <c r="G1195"/>
      <c r="H1195"/>
      <c r="I1195"/>
      <c r="J1195"/>
      <c r="K1195"/>
      <c r="L1195"/>
      <c r="M1195" s="14"/>
      <c r="N1195"/>
      <c r="O1195"/>
      <c r="P1195"/>
      <c r="Q1195" s="10"/>
      <c r="R1195"/>
      <c r="S1195"/>
      <c r="T1195" s="11"/>
      <c r="U1195"/>
      <c r="V1195"/>
      <c r="W1195"/>
      <c r="AA1195" s="14"/>
      <c r="AB1195"/>
      <c r="AC1195"/>
      <c r="AD1195"/>
      <c r="AE1195"/>
      <c r="AF1195"/>
      <c r="AH1195"/>
      <c r="AI1195"/>
      <c r="AK1195" s="4"/>
      <c r="AL1195"/>
      <c r="AM1195"/>
      <c r="AN1195"/>
      <c r="AO1195"/>
      <c r="AP1195"/>
      <c r="AQ1195"/>
    </row>
    <row r="1196" spans="1:43" customFormat="1" x14ac:dyDescent="0.3">
      <c r="M1196" s="14"/>
      <c r="Q1196" s="10"/>
      <c r="T1196" s="11"/>
      <c r="AA1196" s="14"/>
      <c r="AK1196" s="4"/>
    </row>
    <row r="1197" spans="1:43" x14ac:dyDescent="0.3">
      <c r="A1197"/>
      <c r="B1197"/>
      <c r="C1197"/>
      <c r="D1197"/>
      <c r="F1197"/>
      <c r="G1197"/>
      <c r="H1197"/>
      <c r="I1197"/>
      <c r="J1197"/>
      <c r="K1197"/>
      <c r="L1197"/>
      <c r="M1197" s="14"/>
      <c r="N1197"/>
      <c r="O1197"/>
      <c r="P1197"/>
      <c r="Q1197" s="10"/>
      <c r="R1197"/>
      <c r="S1197"/>
      <c r="T1197" s="11"/>
      <c r="U1197"/>
      <c r="V1197"/>
      <c r="W1197"/>
      <c r="AA1197" s="14"/>
      <c r="AB1197"/>
      <c r="AC1197"/>
      <c r="AD1197"/>
      <c r="AE1197"/>
      <c r="AF1197"/>
      <c r="AH1197"/>
      <c r="AI1197"/>
      <c r="AK1197" s="4"/>
      <c r="AL1197"/>
      <c r="AM1197"/>
      <c r="AN1197"/>
      <c r="AO1197"/>
      <c r="AP1197"/>
      <c r="AQ1197"/>
    </row>
    <row r="1198" spans="1:43" customFormat="1" x14ac:dyDescent="0.3">
      <c r="M1198" s="14"/>
      <c r="Q1198" s="10"/>
      <c r="T1198" s="11"/>
      <c r="AA1198" s="14"/>
      <c r="AK1198" s="4"/>
    </row>
    <row r="1199" spans="1:43" customFormat="1" x14ac:dyDescent="0.3">
      <c r="M1199" s="14"/>
      <c r="Q1199" s="10"/>
      <c r="T1199" s="11"/>
      <c r="AA1199" s="14"/>
      <c r="AK1199" s="4"/>
    </row>
    <row r="1200" spans="1:43" customFormat="1" x14ac:dyDescent="0.3">
      <c r="M1200" s="14"/>
      <c r="Q1200" s="10"/>
      <c r="T1200" s="11"/>
      <c r="AA1200" s="14"/>
      <c r="AK1200" s="4"/>
    </row>
    <row r="1201" spans="1:43" customFormat="1" x14ac:dyDescent="0.3">
      <c r="M1201" s="14"/>
      <c r="Q1201" s="10"/>
      <c r="T1201" s="11"/>
      <c r="AA1201" s="14"/>
      <c r="AK1201" s="4"/>
    </row>
    <row r="1202" spans="1:43" customFormat="1" x14ac:dyDescent="0.3">
      <c r="M1202" s="14"/>
      <c r="Q1202" s="10"/>
      <c r="T1202" s="11"/>
      <c r="AA1202" s="14"/>
      <c r="AK1202" s="4"/>
    </row>
    <row r="1203" spans="1:43" customFormat="1" x14ac:dyDescent="0.3">
      <c r="M1203" s="14"/>
      <c r="Q1203" s="10"/>
      <c r="T1203" s="11"/>
      <c r="AA1203" s="14"/>
      <c r="AK1203" s="4"/>
    </row>
    <row r="1204" spans="1:43" x14ac:dyDescent="0.3">
      <c r="A1204"/>
      <c r="B1204"/>
      <c r="C1204"/>
      <c r="D1204"/>
      <c r="F1204"/>
      <c r="G1204"/>
      <c r="H1204"/>
      <c r="I1204"/>
      <c r="J1204"/>
      <c r="K1204"/>
      <c r="L1204"/>
      <c r="M1204" s="14"/>
      <c r="N1204"/>
      <c r="O1204"/>
      <c r="P1204"/>
      <c r="Q1204" s="10"/>
      <c r="R1204"/>
      <c r="S1204"/>
      <c r="T1204" s="11"/>
      <c r="U1204"/>
      <c r="V1204"/>
      <c r="W1204"/>
      <c r="AA1204" s="14"/>
      <c r="AB1204"/>
      <c r="AC1204"/>
      <c r="AD1204"/>
      <c r="AE1204"/>
      <c r="AF1204"/>
      <c r="AH1204"/>
      <c r="AI1204"/>
      <c r="AK1204" s="4"/>
      <c r="AL1204"/>
      <c r="AM1204"/>
      <c r="AN1204"/>
      <c r="AO1204"/>
      <c r="AP1204"/>
      <c r="AQ1204"/>
    </row>
    <row r="1205" spans="1:43" customFormat="1" x14ac:dyDescent="0.3">
      <c r="M1205" s="14"/>
      <c r="Q1205" s="10"/>
      <c r="T1205" s="11"/>
      <c r="AA1205" s="14"/>
      <c r="AK1205" s="4"/>
    </row>
    <row r="1206" spans="1:43" x14ac:dyDescent="0.3">
      <c r="A1206"/>
      <c r="B1206"/>
      <c r="C1206"/>
      <c r="D1206"/>
      <c r="F1206"/>
      <c r="G1206"/>
      <c r="H1206"/>
      <c r="I1206"/>
      <c r="J1206"/>
      <c r="K1206"/>
      <c r="L1206"/>
      <c r="M1206" s="14"/>
      <c r="N1206"/>
      <c r="O1206"/>
      <c r="P1206"/>
      <c r="Q1206" s="10"/>
      <c r="R1206"/>
      <c r="S1206"/>
      <c r="T1206" s="11"/>
      <c r="U1206"/>
      <c r="V1206"/>
      <c r="W1206"/>
      <c r="AA1206" s="14"/>
      <c r="AB1206"/>
      <c r="AC1206"/>
      <c r="AD1206"/>
      <c r="AE1206"/>
      <c r="AF1206"/>
      <c r="AH1206"/>
      <c r="AI1206"/>
      <c r="AK1206" s="4"/>
      <c r="AL1206"/>
      <c r="AM1206"/>
      <c r="AN1206"/>
      <c r="AO1206"/>
      <c r="AP1206"/>
      <c r="AQ1206"/>
    </row>
    <row r="1207" spans="1:43" customFormat="1" x14ac:dyDescent="0.3">
      <c r="M1207" s="14"/>
      <c r="Q1207" s="10"/>
      <c r="T1207" s="11"/>
      <c r="AA1207" s="14"/>
      <c r="AK1207" s="4"/>
    </row>
    <row r="1208" spans="1:43" customFormat="1" x14ac:dyDescent="0.3">
      <c r="M1208" s="14"/>
      <c r="Q1208" s="10"/>
      <c r="T1208" s="11"/>
      <c r="AA1208" s="14"/>
      <c r="AK1208" s="4"/>
    </row>
    <row r="1209" spans="1:43" customFormat="1" x14ac:dyDescent="0.3">
      <c r="M1209" s="14"/>
      <c r="Q1209" s="10"/>
      <c r="T1209" s="11"/>
      <c r="AA1209" s="14"/>
      <c r="AK1209" s="4"/>
    </row>
    <row r="1210" spans="1:43" customFormat="1" x14ac:dyDescent="0.3">
      <c r="M1210" s="14"/>
      <c r="Q1210" s="10"/>
      <c r="T1210" s="11"/>
      <c r="AA1210" s="14"/>
      <c r="AK1210" s="4"/>
    </row>
    <row r="1211" spans="1:43" x14ac:dyDescent="0.3">
      <c r="A1211"/>
      <c r="B1211"/>
      <c r="C1211"/>
      <c r="D1211"/>
      <c r="F1211"/>
      <c r="G1211"/>
      <c r="H1211"/>
      <c r="I1211"/>
      <c r="J1211"/>
      <c r="K1211"/>
      <c r="L1211"/>
      <c r="M1211" s="14"/>
      <c r="N1211"/>
      <c r="O1211"/>
      <c r="P1211"/>
      <c r="Q1211" s="10"/>
      <c r="R1211"/>
      <c r="S1211"/>
      <c r="T1211" s="11"/>
      <c r="U1211"/>
      <c r="V1211"/>
      <c r="W1211"/>
      <c r="AA1211" s="14"/>
      <c r="AB1211"/>
      <c r="AC1211"/>
      <c r="AD1211"/>
      <c r="AE1211"/>
      <c r="AF1211"/>
      <c r="AH1211"/>
      <c r="AI1211"/>
      <c r="AK1211" s="4"/>
      <c r="AL1211"/>
      <c r="AM1211"/>
      <c r="AN1211"/>
      <c r="AO1211"/>
      <c r="AP1211"/>
      <c r="AQ1211"/>
    </row>
    <row r="1212" spans="1:43" x14ac:dyDescent="0.3">
      <c r="A1212"/>
      <c r="B1212"/>
      <c r="C1212"/>
      <c r="D1212"/>
      <c r="F1212"/>
      <c r="G1212"/>
      <c r="H1212"/>
      <c r="I1212"/>
      <c r="J1212"/>
      <c r="K1212"/>
      <c r="L1212"/>
      <c r="M1212" s="14"/>
      <c r="N1212"/>
      <c r="O1212"/>
      <c r="P1212"/>
      <c r="Q1212" s="10"/>
      <c r="R1212"/>
      <c r="S1212"/>
      <c r="T1212" s="11"/>
      <c r="U1212"/>
      <c r="V1212"/>
      <c r="W1212"/>
      <c r="AA1212" s="14"/>
      <c r="AB1212"/>
      <c r="AC1212"/>
      <c r="AD1212"/>
      <c r="AE1212"/>
      <c r="AF1212"/>
      <c r="AH1212"/>
      <c r="AI1212"/>
      <c r="AK1212" s="4"/>
      <c r="AL1212"/>
      <c r="AM1212"/>
      <c r="AN1212"/>
      <c r="AO1212"/>
      <c r="AP1212"/>
      <c r="AQ1212"/>
    </row>
    <row r="1213" spans="1:43" x14ac:dyDescent="0.3">
      <c r="A1213"/>
      <c r="B1213"/>
      <c r="C1213"/>
      <c r="D1213"/>
      <c r="F1213"/>
      <c r="G1213"/>
      <c r="H1213"/>
      <c r="I1213"/>
      <c r="J1213"/>
      <c r="K1213"/>
      <c r="L1213"/>
      <c r="M1213" s="14"/>
      <c r="N1213"/>
      <c r="O1213"/>
      <c r="P1213"/>
      <c r="Q1213" s="10"/>
      <c r="R1213"/>
      <c r="S1213"/>
      <c r="T1213" s="11"/>
      <c r="U1213"/>
      <c r="V1213"/>
      <c r="W1213"/>
      <c r="AA1213" s="14"/>
      <c r="AB1213"/>
      <c r="AC1213"/>
      <c r="AD1213"/>
      <c r="AE1213"/>
      <c r="AF1213"/>
      <c r="AH1213"/>
      <c r="AI1213"/>
      <c r="AK1213" s="4"/>
      <c r="AL1213"/>
      <c r="AM1213"/>
      <c r="AN1213"/>
      <c r="AO1213"/>
      <c r="AP1213"/>
      <c r="AQ1213"/>
    </row>
    <row r="1214" spans="1:43" customFormat="1" x14ac:dyDescent="0.3">
      <c r="M1214" s="14"/>
      <c r="Q1214" s="10"/>
      <c r="T1214" s="11"/>
      <c r="AA1214" s="14"/>
      <c r="AK1214" s="4"/>
    </row>
    <row r="1215" spans="1:43" customFormat="1" x14ac:dyDescent="0.3">
      <c r="M1215" s="14"/>
      <c r="Q1215" s="10"/>
      <c r="T1215" s="11"/>
      <c r="AA1215" s="14"/>
      <c r="AK1215" s="4"/>
    </row>
    <row r="1216" spans="1:43" customFormat="1" x14ac:dyDescent="0.3">
      <c r="M1216" s="14"/>
      <c r="Q1216" s="10"/>
      <c r="T1216" s="11"/>
      <c r="AA1216" s="14"/>
      <c r="AK1216" s="4"/>
    </row>
    <row r="1217" spans="1:43" x14ac:dyDescent="0.3">
      <c r="A1217"/>
      <c r="B1217"/>
      <c r="C1217"/>
      <c r="D1217"/>
      <c r="F1217"/>
      <c r="G1217"/>
      <c r="H1217"/>
      <c r="I1217"/>
      <c r="J1217"/>
      <c r="K1217"/>
      <c r="L1217"/>
      <c r="M1217" s="14"/>
      <c r="N1217"/>
      <c r="O1217"/>
      <c r="P1217"/>
      <c r="Q1217" s="10"/>
      <c r="R1217"/>
      <c r="S1217"/>
      <c r="T1217" s="11"/>
      <c r="U1217"/>
      <c r="V1217"/>
      <c r="W1217"/>
      <c r="AA1217" s="14"/>
      <c r="AB1217"/>
      <c r="AC1217"/>
      <c r="AD1217"/>
      <c r="AE1217"/>
      <c r="AF1217"/>
      <c r="AH1217"/>
      <c r="AI1217"/>
      <c r="AK1217" s="4"/>
      <c r="AL1217"/>
      <c r="AM1217"/>
      <c r="AN1217"/>
      <c r="AO1217"/>
      <c r="AP1217"/>
      <c r="AQ1217"/>
    </row>
    <row r="1218" spans="1:43" customFormat="1" x14ac:dyDescent="0.3">
      <c r="M1218" s="14"/>
      <c r="Q1218" s="10"/>
      <c r="T1218" s="11"/>
      <c r="AA1218" s="14"/>
      <c r="AK1218" s="4"/>
    </row>
    <row r="1219" spans="1:43" customFormat="1" x14ac:dyDescent="0.3">
      <c r="M1219" s="14"/>
      <c r="Q1219" s="10"/>
      <c r="T1219" s="11"/>
      <c r="AA1219" s="14"/>
      <c r="AK1219" s="4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4C26-CDB9-4668-B4D9-65B8CEA73A02}">
  <dimension ref="A1:R49"/>
  <sheetViews>
    <sheetView topLeftCell="B1" zoomScale="93" workbookViewId="0">
      <selection activeCell="D11" sqref="D11"/>
    </sheetView>
  </sheetViews>
  <sheetFormatPr baseColWidth="10" defaultRowHeight="14.4" x14ac:dyDescent="0.3"/>
  <cols>
    <col min="1" max="1" width="13" style="1" customWidth="1"/>
    <col min="2" max="2" width="11.5546875" style="1"/>
    <col min="3" max="3" width="22.77734375" style="1" customWidth="1"/>
    <col min="4" max="16384" width="11.5546875" style="1"/>
  </cols>
  <sheetData>
    <row r="1" spans="1:18" ht="22.2" customHeight="1" x14ac:dyDescent="0.3">
      <c r="A1" s="19" t="s">
        <v>1857</v>
      </c>
      <c r="B1" s="19" t="s">
        <v>1901</v>
      </c>
      <c r="C1" s="19" t="s">
        <v>1902</v>
      </c>
      <c r="D1" s="19" t="s">
        <v>1245</v>
      </c>
      <c r="E1" s="19" t="s">
        <v>1228</v>
      </c>
      <c r="F1" s="19" t="s">
        <v>1229</v>
      </c>
      <c r="G1" s="19" t="s">
        <v>1230</v>
      </c>
      <c r="H1" s="19" t="s">
        <v>1231</v>
      </c>
      <c r="I1" s="19" t="s">
        <v>1232</v>
      </c>
      <c r="J1" s="19" t="s">
        <v>1903</v>
      </c>
      <c r="K1" s="19" t="s">
        <v>1234</v>
      </c>
      <c r="L1" s="19" t="s">
        <v>1235</v>
      </c>
      <c r="M1" s="19" t="s">
        <v>1236</v>
      </c>
      <c r="N1" s="19" t="s">
        <v>1239</v>
      </c>
      <c r="O1" s="19" t="s">
        <v>1240</v>
      </c>
      <c r="P1" s="19" t="s">
        <v>1241</v>
      </c>
      <c r="Q1" s="19" t="s">
        <v>1242</v>
      </c>
      <c r="R1" s="19" t="s">
        <v>1243</v>
      </c>
    </row>
    <row r="2" spans="1:18" x14ac:dyDescent="0.3">
      <c r="A2" s="1" t="s">
        <v>1465</v>
      </c>
      <c r="B2" s="20">
        <f>COUNTIFS(knicks_players_all_stats[SEASON],$A2)</f>
        <v>16</v>
      </c>
      <c r="C2" s="21" cm="1">
        <f t="array" ref="C2">SUMPRODUCT((knicks_players_all_stats[SEASON]=$A2)*knicks_players_all_stats[AGE]*knicks_players_all_stats[MIN])/SUMPRODUCT((knicks_players_all_stats[SEASON]=$A2)*knicks_players_all_stats[MIN])</f>
        <v>30.342980604964325</v>
      </c>
      <c r="D2" s="22">
        <f>SUMIFS(knicks_players_all_stats[PTS],knicks_players_all_stats[SEASON],$A2)</f>
        <v>7275</v>
      </c>
      <c r="E2" s="22">
        <f>SUMIFS(knicks_players_all_stats[FGM],knicks_players_all_stats[SEASON],$A2)</f>
        <v>2755</v>
      </c>
      <c r="F2" s="22">
        <f>SUMIFS(knicks_players_all_stats[FGA],knicks_players_all_stats[SEASON],$A2)</f>
        <v>6198</v>
      </c>
      <c r="G2" s="15">
        <f>IFERROR(E2/F2,0)</f>
        <v>0.44449822523394644</v>
      </c>
      <c r="H2" s="22">
        <f>SUMIFS(knicks_players_all_stats[FG3M],knicks_players_all_stats[SEASON],$A2)</f>
        <v>391</v>
      </c>
      <c r="I2" s="22">
        <f>SUMIFS(knicks_players_all_stats[FG3A],knicks_players_all_stats[SEASON],$A2)</f>
        <v>1115</v>
      </c>
      <c r="J2" s="15">
        <f>IFERROR(H2/I2,0)</f>
        <v>0.3506726457399103</v>
      </c>
      <c r="K2" s="22">
        <f>SUMIFS(knicks_players_all_stats[FTM],knicks_players_all_stats[SEASON],$A2)</f>
        <v>1374</v>
      </c>
      <c r="L2" s="22">
        <f>SUMIFS(knicks_players_all_stats[FTA],knicks_players_all_stats[SEASON],$A2)</f>
        <v>1727</v>
      </c>
      <c r="M2" s="15">
        <f>IFERROR(EvolucionKnicks[[#This Row],[FTM]]/EvolucionKnicks[[#This Row],[FTA]],0)</f>
        <v>0.79559930515344524</v>
      </c>
      <c r="N2" s="22">
        <f>SUMIFS(knicks_players_all_stats[REB],knicks_players_all_stats[SEASON],$A2)</f>
        <v>3297</v>
      </c>
      <c r="O2" s="22">
        <f>SUMIFS(knicks_players_all_stats[AST],knicks_players_all_stats[SEASON],$A2)</f>
        <v>1520</v>
      </c>
      <c r="P2" s="22">
        <f>SUMIFS(knicks_players_all_stats[STL],knicks_players_all_stats[SEASON],$A2)</f>
        <v>545</v>
      </c>
      <c r="Q2" s="22">
        <f>SUMIFS(knicks_players_all_stats[BLK],knicks_players_all_stats[SEASON],$A2)</f>
        <v>346</v>
      </c>
      <c r="R2" s="22">
        <f>SUMIFS(knicks_players_all_stats[TOV],knicks_players_all_stats[SEASON],$A2)</f>
        <v>1132</v>
      </c>
    </row>
    <row r="3" spans="1:18" x14ac:dyDescent="0.3">
      <c r="A3" s="1" t="s">
        <v>1330</v>
      </c>
      <c r="B3" s="20">
        <f>COUNTIFS(knicks_players_all_stats[SEASON],$A3)</f>
        <v>14</v>
      </c>
      <c r="C3" s="21" cm="1">
        <f t="array" ref="C3">SUMPRODUCT((knicks_players_all_stats[SEASON]=$A3)*knicks_players_all_stats[AGE]*knicks_players_all_stats[MIN])/SUMPRODUCT((knicks_players_all_stats[SEASON]=$A3)*knicks_players_all_stats[MIN])</f>
        <v>30.634169737971423</v>
      </c>
      <c r="D3" s="22">
        <f>SUMIFS(knicks_players_all_stats[PTS],knicks_players_all_stats[SEASON],$A3)</f>
        <v>7514</v>
      </c>
      <c r="E3" s="22">
        <f>SUMIFS(knicks_players_all_stats[FGM],knicks_players_all_stats[SEASON],$A3)</f>
        <v>2817</v>
      </c>
      <c r="F3" s="22">
        <f>SUMIFS(knicks_players_all_stats[FGA],knicks_players_all_stats[SEASON],$A3)</f>
        <v>6520</v>
      </c>
      <c r="G3" s="15">
        <f t="shared" ref="G3:G23" si="0">IFERROR(E3/F3,0)</f>
        <v>0.43205521472392638</v>
      </c>
      <c r="H3" s="22">
        <f>SUMIFS(knicks_players_all_stats[FG3M],knicks_players_all_stats[SEASON],$A3)</f>
        <v>474</v>
      </c>
      <c r="I3" s="22">
        <f>SUMIFS(knicks_players_all_stats[FG3A],knicks_players_all_stats[SEASON],$A3)</f>
        <v>1344</v>
      </c>
      <c r="J3" s="15">
        <f t="shared" ref="J3:J23" si="1">IFERROR(H3/I3,0)</f>
        <v>0.35267857142857145</v>
      </c>
      <c r="K3" s="22">
        <f>SUMIFS(knicks_players_all_stats[FTM],knicks_players_all_stats[SEASON],$A3)</f>
        <v>1406</v>
      </c>
      <c r="L3" s="22">
        <f>SUMIFS(knicks_players_all_stats[FTA],knicks_players_all_stats[SEASON],$A3)</f>
        <v>1786</v>
      </c>
      <c r="M3" s="15">
        <f>IFERROR(EvolucionKnicks[[#This Row],[FTM]]/EvolucionKnicks[[#This Row],[FTA]],0)</f>
        <v>0.78723404255319152</v>
      </c>
      <c r="N3" s="22">
        <f>SUMIFS(knicks_players_all_stats[REB],knicks_players_all_stats[SEASON],$A3)</f>
        <v>3334</v>
      </c>
      <c r="O3" s="22">
        <f>SUMIFS(knicks_players_all_stats[AST],knicks_players_all_stats[SEASON],$A3)</f>
        <v>1720</v>
      </c>
      <c r="P3" s="22">
        <f>SUMIFS(knicks_players_all_stats[STL],knicks_players_all_stats[SEASON],$A3)</f>
        <v>558</v>
      </c>
      <c r="Q3" s="22">
        <f>SUMIFS(knicks_players_all_stats[BLK],knicks_players_all_stats[SEASON],$A3)</f>
        <v>288</v>
      </c>
      <c r="R3" s="22">
        <f>SUMIFS(knicks_players_all_stats[TOV],knicks_players_all_stats[SEASON],$A3)</f>
        <v>1155</v>
      </c>
    </row>
    <row r="4" spans="1:18" x14ac:dyDescent="0.3">
      <c r="A4" s="1" t="s">
        <v>1325</v>
      </c>
      <c r="B4" s="20">
        <f>COUNTIFS(knicks_players_all_stats[SEASON],$A4)</f>
        <v>13</v>
      </c>
      <c r="C4" s="21" cm="1">
        <f t="array" ref="C4">SUMPRODUCT((knicks_players_all_stats[SEASON]=$A4)*knicks_players_all_stats[AGE]*knicks_players_all_stats[MIN])/SUMPRODUCT((knicks_players_all_stats[SEASON]=$A4)*knicks_players_all_stats[MIN])</f>
        <v>30.409862489296327</v>
      </c>
      <c r="D4" s="22">
        <f>SUMIFS(knicks_players_all_stats[PTS],knicks_players_all_stats[SEASON],$A4)</f>
        <v>7860</v>
      </c>
      <c r="E4" s="22">
        <f>SUMIFS(knicks_players_all_stats[FGM],knicks_players_all_stats[SEASON],$A4)</f>
        <v>2967</v>
      </c>
      <c r="F4" s="22">
        <f>SUMIFS(knicks_players_all_stats[FGA],knicks_players_all_stats[SEASON],$A4)</f>
        <v>6725</v>
      </c>
      <c r="G4" s="15">
        <f t="shared" si="0"/>
        <v>0.44118959107806693</v>
      </c>
      <c r="H4" s="22">
        <f>SUMIFS(knicks_players_all_stats[FG3M],knicks_players_all_stats[SEASON],$A4)</f>
        <v>606</v>
      </c>
      <c r="I4" s="22">
        <f>SUMIFS(knicks_players_all_stats[FG3A],knicks_players_all_stats[SEASON],$A4)</f>
        <v>1582</v>
      </c>
      <c r="J4" s="15">
        <f t="shared" si="1"/>
        <v>0.38305941845764857</v>
      </c>
      <c r="K4" s="22">
        <f>SUMIFS(knicks_players_all_stats[FTM],knicks_players_all_stats[SEASON],$A4)</f>
        <v>1320</v>
      </c>
      <c r="L4" s="22">
        <f>SUMIFS(knicks_players_all_stats[FTA],knicks_players_all_stats[SEASON],$A4)</f>
        <v>1620</v>
      </c>
      <c r="M4" s="15">
        <f>IFERROR(EvolucionKnicks[[#This Row],[FTM]]/EvolucionKnicks[[#This Row],[FTA]],0)</f>
        <v>0.81481481481481477</v>
      </c>
      <c r="N4" s="22">
        <f>SUMIFS(knicks_players_all_stats[REB],knicks_players_all_stats[SEASON],$A4)</f>
        <v>3218</v>
      </c>
      <c r="O4" s="22">
        <f>SUMIFS(knicks_players_all_stats[AST],knicks_players_all_stats[SEASON],$A4)</f>
        <v>1800</v>
      </c>
      <c r="P4" s="22">
        <f>SUMIFS(knicks_players_all_stats[STL],knicks_players_all_stats[SEASON],$A4)</f>
        <v>579</v>
      </c>
      <c r="Q4" s="22">
        <f>SUMIFS(knicks_players_all_stats[BLK],knicks_players_all_stats[SEASON],$A4)</f>
        <v>255</v>
      </c>
      <c r="R4" s="22">
        <f>SUMIFS(knicks_players_all_stats[TOV],knicks_players_all_stats[SEASON],$A4)</f>
        <v>1114</v>
      </c>
    </row>
    <row r="5" spans="1:18" x14ac:dyDescent="0.3">
      <c r="A5" s="1" t="s">
        <v>1293</v>
      </c>
      <c r="B5" s="20">
        <f>COUNTIFS(knicks_players_all_stats[SEASON],$A5)</f>
        <v>22</v>
      </c>
      <c r="C5" s="21" cm="1">
        <f t="array" ref="C5">SUMPRODUCT((knicks_players_all_stats[SEASON]=$A5)*knicks_players_all_stats[AGE]*knicks_players_all_stats[MIN])/SUMPRODUCT((knicks_players_all_stats[SEASON]=$A5)*knicks_players_all_stats[MIN])</f>
        <v>30.01423469644384</v>
      </c>
      <c r="D5" s="22">
        <f>SUMIFS(knicks_players_all_stats[PTS],knicks_players_all_stats[SEASON],$A5)</f>
        <v>7542</v>
      </c>
      <c r="E5" s="22">
        <f>SUMIFS(knicks_players_all_stats[FGM],knicks_players_all_stats[SEASON],$A5)</f>
        <v>2881</v>
      </c>
      <c r="F5" s="22">
        <f>SUMIFS(knicks_players_all_stats[FGA],knicks_players_all_stats[SEASON],$A5)</f>
        <v>6513</v>
      </c>
      <c r="G5" s="15">
        <f t="shared" si="0"/>
        <v>0.442346077076616</v>
      </c>
      <c r="H5" s="22">
        <f>SUMIFS(knicks_players_all_stats[FG3M],knicks_players_all_stats[SEASON],$A5)</f>
        <v>406</v>
      </c>
      <c r="I5" s="22">
        <f>SUMIFS(knicks_players_all_stats[FG3A],knicks_players_all_stats[SEASON],$A5)</f>
        <v>1115</v>
      </c>
      <c r="J5" s="15">
        <f t="shared" si="1"/>
        <v>0.36412556053811657</v>
      </c>
      <c r="K5" s="22">
        <f>SUMIFS(knicks_players_all_stats[FTM],knicks_players_all_stats[SEASON],$A5)</f>
        <v>1374</v>
      </c>
      <c r="L5" s="22">
        <f>SUMIFS(knicks_players_all_stats[FTA],knicks_players_all_stats[SEASON],$A5)</f>
        <v>1732</v>
      </c>
      <c r="M5" s="15">
        <f>IFERROR(EvolucionKnicks[[#This Row],[FTM]]/EvolucionKnicks[[#This Row],[FTA]],0)</f>
        <v>0.79330254041570436</v>
      </c>
      <c r="N5" s="22">
        <f>SUMIFS(knicks_players_all_stats[REB],knicks_players_all_stats[SEASON],$A5)</f>
        <v>3493</v>
      </c>
      <c r="O5" s="22">
        <f>SUMIFS(knicks_players_all_stats[AST],knicks_players_all_stats[SEASON],$A5)</f>
        <v>1695</v>
      </c>
      <c r="P5" s="22">
        <f>SUMIFS(knicks_players_all_stats[STL],knicks_players_all_stats[SEASON],$A5)</f>
        <v>608</v>
      </c>
      <c r="Q5" s="22">
        <f>SUMIFS(knicks_players_all_stats[BLK],knicks_players_all_stats[SEASON],$A5)</f>
        <v>391</v>
      </c>
      <c r="R5" s="22">
        <f>SUMIFS(knicks_players_all_stats[TOV],knicks_players_all_stats[SEASON],$A5)</f>
        <v>1253</v>
      </c>
    </row>
    <row r="6" spans="1:18" x14ac:dyDescent="0.3">
      <c r="A6" s="1" t="s">
        <v>1295</v>
      </c>
      <c r="B6" s="20">
        <f>COUNTIFS(knicks_players_all_stats[SEASON],$A6)</f>
        <v>19</v>
      </c>
      <c r="C6" s="21" cm="1">
        <f t="array" ref="C6">SUMPRODUCT((knicks_players_all_stats[SEASON]=$A6)*knicks_players_all_stats[AGE]*knicks_players_all_stats[MIN])/SUMPRODUCT((knicks_players_all_stats[SEASON]=$A6)*knicks_players_all_stats[MIN])</f>
        <v>27.831556181470678</v>
      </c>
      <c r="D6" s="22">
        <f>SUMIFS(knicks_players_all_stats[PTS],knicks_players_all_stats[SEASON],$A6)</f>
        <v>7977</v>
      </c>
      <c r="E6" s="22">
        <f>SUMIFS(knicks_players_all_stats[FGM],knicks_players_all_stats[SEASON],$A6)</f>
        <v>2978</v>
      </c>
      <c r="F6" s="22">
        <f>SUMIFS(knicks_players_all_stats[FGA],knicks_players_all_stats[SEASON],$A6)</f>
        <v>6599</v>
      </c>
      <c r="G6" s="15">
        <f t="shared" si="0"/>
        <v>0.45128049704500683</v>
      </c>
      <c r="H6" s="22">
        <f>SUMIFS(knicks_players_all_stats[FG3M],knicks_players_all_stats[SEASON],$A6)</f>
        <v>441</v>
      </c>
      <c r="I6" s="22">
        <f>SUMIFS(knicks_players_all_stats[FG3A],knicks_players_all_stats[SEASON],$A6)</f>
        <v>1240</v>
      </c>
      <c r="J6" s="15">
        <f t="shared" si="1"/>
        <v>0.35564516129032259</v>
      </c>
      <c r="K6" s="22">
        <f>SUMIFS(knicks_players_all_stats[FTM],knicks_players_all_stats[SEASON],$A6)</f>
        <v>1580</v>
      </c>
      <c r="L6" s="22">
        <f>SUMIFS(knicks_players_all_stats[FTA],knicks_players_all_stats[SEASON],$A6)</f>
        <v>2060</v>
      </c>
      <c r="M6" s="15">
        <f>IFERROR(EvolucionKnicks[[#This Row],[FTM]]/EvolucionKnicks[[#This Row],[FTA]],0)</f>
        <v>0.76699029126213591</v>
      </c>
      <c r="N6" s="22">
        <f>SUMIFS(knicks_players_all_stats[REB],knicks_players_all_stats[SEASON],$A6)</f>
        <v>3358</v>
      </c>
      <c r="O6" s="22">
        <f>SUMIFS(knicks_players_all_stats[AST],knicks_players_all_stats[SEASON],$A6)</f>
        <v>1665</v>
      </c>
      <c r="P6" s="22">
        <f>SUMIFS(knicks_players_all_stats[STL],knicks_players_all_stats[SEASON],$A6)</f>
        <v>629</v>
      </c>
      <c r="Q6" s="22">
        <f>SUMIFS(knicks_players_all_stats[BLK],knicks_players_all_stats[SEASON],$A6)</f>
        <v>260</v>
      </c>
      <c r="R6" s="22">
        <f>SUMIFS(knicks_players_all_stats[TOV],knicks_players_all_stats[SEASON],$A6)</f>
        <v>1139</v>
      </c>
    </row>
    <row r="7" spans="1:18" x14ac:dyDescent="0.3">
      <c r="A7" s="1" t="s">
        <v>1300</v>
      </c>
      <c r="B7" s="20">
        <f>COUNTIFS(knicks_players_all_stats[SEASON],$A7)</f>
        <v>19</v>
      </c>
      <c r="C7" s="21" cm="1">
        <f t="array" ref="C7">SUMPRODUCT((knicks_players_all_stats[SEASON]=$A7)*knicks_players_all_stats[AGE]*knicks_players_all_stats[MIN])/SUMPRODUCT((knicks_players_all_stats[SEASON]=$A7)*knicks_players_all_stats[MIN])</f>
        <v>26.242135367016207</v>
      </c>
      <c r="D7" s="22">
        <f>SUMIFS(knicks_players_all_stats[PTS],knicks_players_all_stats[SEASON],$A7)</f>
        <v>7842</v>
      </c>
      <c r="E7" s="22">
        <f>SUMIFS(knicks_players_all_stats[FGM],knicks_players_all_stats[SEASON],$A7)</f>
        <v>2822</v>
      </c>
      <c r="F7" s="22">
        <f>SUMIFS(knicks_players_all_stats[FGA],knicks_players_all_stats[SEASON],$A7)</f>
        <v>6206</v>
      </c>
      <c r="G7" s="15">
        <f t="shared" si="0"/>
        <v>0.4547212375120851</v>
      </c>
      <c r="H7" s="22">
        <f>SUMIFS(knicks_players_all_stats[FG3M],knicks_players_all_stats[SEASON],$A7)</f>
        <v>320</v>
      </c>
      <c r="I7" s="22">
        <f>SUMIFS(knicks_players_all_stats[FG3A],knicks_players_all_stats[SEASON],$A7)</f>
        <v>884</v>
      </c>
      <c r="J7" s="15">
        <f t="shared" si="1"/>
        <v>0.36199095022624433</v>
      </c>
      <c r="K7" s="22">
        <f>SUMIFS(knicks_players_all_stats[FTM],knicks_players_all_stats[SEASON],$A7)</f>
        <v>1878</v>
      </c>
      <c r="L7" s="22">
        <f>SUMIFS(knicks_players_all_stats[FTA],knicks_players_all_stats[SEASON],$A7)</f>
        <v>2587</v>
      </c>
      <c r="M7" s="15">
        <f>IFERROR(EvolucionKnicks[[#This Row],[FTM]]/EvolucionKnicks[[#This Row],[FTA]],0)</f>
        <v>0.72593737920371082</v>
      </c>
      <c r="N7" s="22">
        <f>SUMIFS(knicks_players_all_stats[REB],knicks_players_all_stats[SEASON],$A7)</f>
        <v>3394</v>
      </c>
      <c r="O7" s="22">
        <f>SUMIFS(knicks_players_all_stats[AST],knicks_players_all_stats[SEASON],$A7)</f>
        <v>1468</v>
      </c>
      <c r="P7" s="22">
        <f>SUMIFS(knicks_players_all_stats[STL],knicks_players_all_stats[SEASON],$A7)</f>
        <v>555</v>
      </c>
      <c r="Q7" s="22">
        <f>SUMIFS(knicks_players_all_stats[BLK],knicks_players_all_stats[SEASON],$A7)</f>
        <v>271</v>
      </c>
      <c r="R7" s="22">
        <f>SUMIFS(knicks_players_all_stats[TOV],knicks_players_all_stats[SEASON],$A7)</f>
        <v>1397</v>
      </c>
    </row>
    <row r="8" spans="1:18" x14ac:dyDescent="0.3">
      <c r="A8" s="1" t="s">
        <v>1302</v>
      </c>
      <c r="B8" s="20">
        <f>COUNTIFS(knicks_players_all_stats[SEASON],$A8)</f>
        <v>15</v>
      </c>
      <c r="C8" s="21" cm="1">
        <f t="array" ref="C8">SUMPRODUCT((knicks_players_all_stats[SEASON]=$A8)*knicks_players_all_stats[AGE]*knicks_players_all_stats[MIN])/SUMPRODUCT((knicks_players_all_stats[SEASON]=$A8)*knicks_players_all_stats[MIN])</f>
        <v>26.032241939515121</v>
      </c>
      <c r="D8" s="22">
        <f>SUMIFS(knicks_players_all_stats[PTS],knicks_players_all_stats[SEASON],$A8)</f>
        <v>7994</v>
      </c>
      <c r="E8" s="22">
        <f>SUMIFS(knicks_players_all_stats[FGM],knicks_players_all_stats[SEASON],$A8)</f>
        <v>2903</v>
      </c>
      <c r="F8" s="22">
        <f>SUMIFS(knicks_players_all_stats[FGA],knicks_players_all_stats[SEASON],$A8)</f>
        <v>6356</v>
      </c>
      <c r="G8" s="15">
        <f t="shared" si="0"/>
        <v>0.4567337948395217</v>
      </c>
      <c r="H8" s="22">
        <f>SUMIFS(knicks_players_all_stats[FG3M],knicks_players_all_stats[SEASON],$A8)</f>
        <v>474</v>
      </c>
      <c r="I8" s="22">
        <f>SUMIFS(knicks_players_all_stats[FG3A],knicks_players_all_stats[SEASON],$A8)</f>
        <v>1370</v>
      </c>
      <c r="J8" s="15">
        <f t="shared" si="1"/>
        <v>0.34598540145985401</v>
      </c>
      <c r="K8" s="22">
        <f>SUMIFS(knicks_players_all_stats[FTM],knicks_players_all_stats[SEASON],$A8)</f>
        <v>1714</v>
      </c>
      <c r="L8" s="22">
        <f>SUMIFS(knicks_players_all_stats[FTA],knicks_players_all_stats[SEASON],$A8)</f>
        <v>2396</v>
      </c>
      <c r="M8" s="15">
        <f>IFERROR(EvolucionKnicks[[#This Row],[FTM]]/EvolucionKnicks[[#This Row],[FTA]],0)</f>
        <v>0.71535893155258767</v>
      </c>
      <c r="N8" s="22">
        <f>SUMIFS(knicks_players_all_stats[REB],knicks_players_all_stats[SEASON],$A8)</f>
        <v>3548</v>
      </c>
      <c r="O8" s="22">
        <f>SUMIFS(knicks_players_all_stats[AST],knicks_players_all_stats[SEASON],$A8)</f>
        <v>1532</v>
      </c>
      <c r="P8" s="22">
        <f>SUMIFS(knicks_players_all_stats[STL],knicks_players_all_stats[SEASON],$A8)</f>
        <v>543</v>
      </c>
      <c r="Q8" s="22">
        <f>SUMIFS(knicks_players_all_stats[BLK],knicks_players_all_stats[SEASON],$A8)</f>
        <v>260</v>
      </c>
      <c r="R8" s="22">
        <f>SUMIFS(knicks_players_all_stats[TOV],knicks_players_all_stats[SEASON],$A8)</f>
        <v>1333</v>
      </c>
    </row>
    <row r="9" spans="1:18" x14ac:dyDescent="0.3">
      <c r="A9" s="1" t="s">
        <v>1303</v>
      </c>
      <c r="B9" s="20">
        <f>COUNTIFS(knicks_players_all_stats[SEASON],$A9)</f>
        <v>15</v>
      </c>
      <c r="C9" s="21" cm="1">
        <f t="array" ref="C9">SUMPRODUCT((knicks_players_all_stats[SEASON]=$A9)*knicks_players_all_stats[AGE]*knicks_players_all_stats[MIN])/SUMPRODUCT((knicks_players_all_stats[SEASON]=$A9)*knicks_players_all_stats[MIN])</f>
        <v>26.316215672467557</v>
      </c>
      <c r="D9" s="22">
        <f>SUMIFS(knicks_players_all_stats[PTS],knicks_players_all_stats[SEASON],$A9)</f>
        <v>7948</v>
      </c>
      <c r="E9" s="22">
        <f>SUMIFS(knicks_players_all_stats[FGM],knicks_players_all_stats[SEASON],$A9)</f>
        <v>2967</v>
      </c>
      <c r="F9" s="22">
        <f>SUMIFS(knicks_players_all_stats[FGA],knicks_players_all_stats[SEASON],$A9)</f>
        <v>6757</v>
      </c>
      <c r="G9" s="15">
        <f t="shared" si="0"/>
        <v>0.43910019239307385</v>
      </c>
      <c r="H9" s="22">
        <f>SUMIFS(knicks_players_all_stats[FG3M],knicks_players_all_stats[SEASON],$A9)</f>
        <v>490</v>
      </c>
      <c r="I9" s="22">
        <f>SUMIFS(knicks_players_all_stats[FG3A],knicks_players_all_stats[SEASON],$A9)</f>
        <v>1454</v>
      </c>
      <c r="J9" s="15">
        <f t="shared" si="1"/>
        <v>0.33700137551581844</v>
      </c>
      <c r="K9" s="22">
        <f>SUMIFS(knicks_players_all_stats[FTM],knicks_players_all_stats[SEASON],$A9)</f>
        <v>1524</v>
      </c>
      <c r="L9" s="22">
        <f>SUMIFS(knicks_players_all_stats[FTA],knicks_players_all_stats[SEASON],$A9)</f>
        <v>2095</v>
      </c>
      <c r="M9" s="15">
        <f>IFERROR(EvolucionKnicks[[#This Row],[FTM]]/EvolucionKnicks[[#This Row],[FTA]],0)</f>
        <v>0.72744630071599048</v>
      </c>
      <c r="N9" s="22">
        <f>SUMIFS(knicks_players_all_stats[REB],knicks_players_all_stats[SEASON],$A9)</f>
        <v>3486</v>
      </c>
      <c r="O9" s="22">
        <f>SUMIFS(knicks_players_all_stats[AST],knicks_players_all_stats[SEASON],$A9)</f>
        <v>1530</v>
      </c>
      <c r="P9" s="22">
        <f>SUMIFS(knicks_players_all_stats[STL],knicks_players_all_stats[SEASON],$A9)</f>
        <v>521</v>
      </c>
      <c r="Q9" s="22">
        <f>SUMIFS(knicks_players_all_stats[BLK],knicks_players_all_stats[SEASON],$A9)</f>
        <v>213</v>
      </c>
      <c r="R9" s="22">
        <f>SUMIFS(knicks_players_all_stats[TOV],knicks_players_all_stats[SEASON],$A9)</f>
        <v>1132</v>
      </c>
    </row>
    <row r="10" spans="1:18" x14ac:dyDescent="0.3">
      <c r="A10" s="1" t="s">
        <v>1304</v>
      </c>
      <c r="B10" s="20">
        <f>COUNTIFS(knicks_players_all_stats[SEASON],$A10)</f>
        <v>23</v>
      </c>
      <c r="C10" s="21" cm="1">
        <f t="array" ref="C10">SUMPRODUCT((knicks_players_all_stats[SEASON]=$A10)*knicks_players_all_stats[AGE]*knicks_players_all_stats[MIN])/SUMPRODUCT((knicks_players_all_stats[SEASON]=$A10)*knicks_players_all_stats[MIN])</f>
        <v>26.430605341545917</v>
      </c>
      <c r="D10" s="22">
        <f>SUMIFS(knicks_players_all_stats[PTS],knicks_players_all_stats[SEASON],$A10)</f>
        <v>8627</v>
      </c>
      <c r="E10" s="22">
        <f>SUMIFS(knicks_players_all_stats[FGM],knicks_players_all_stats[SEASON],$A10)</f>
        <v>3157</v>
      </c>
      <c r="F10" s="22">
        <f>SUMIFS(knicks_players_all_stats[FGA],knicks_players_all_stats[SEASON],$A10)</f>
        <v>7091</v>
      </c>
      <c r="G10" s="15">
        <f t="shared" si="0"/>
        <v>0.44521224086870681</v>
      </c>
      <c r="H10" s="22">
        <f>SUMIFS(knicks_players_all_stats[FG3M],knicks_players_all_stats[SEASON],$A10)</f>
        <v>823</v>
      </c>
      <c r="I10" s="22">
        <f>SUMIFS(knicks_players_all_stats[FG3A],knicks_players_all_stats[SEASON],$A10)</f>
        <v>2284</v>
      </c>
      <c r="J10" s="15">
        <f t="shared" si="1"/>
        <v>0.36033274956217165</v>
      </c>
      <c r="K10" s="22">
        <f>SUMIFS(knicks_players_all_stats[FTM],knicks_players_all_stats[SEASON],$A10)</f>
        <v>1490</v>
      </c>
      <c r="L10" s="22">
        <f>SUMIFS(knicks_players_all_stats[FTA],knicks_players_all_stats[SEASON],$A10)</f>
        <v>1900</v>
      </c>
      <c r="M10" s="15">
        <f>IFERROR(EvolucionKnicks[[#This Row],[FTM]]/EvolucionKnicks[[#This Row],[FTA]],0)</f>
        <v>0.78421052631578947</v>
      </c>
      <c r="N10" s="22">
        <f>SUMIFS(knicks_players_all_stats[REB],knicks_players_all_stats[SEASON],$A10)</f>
        <v>3456</v>
      </c>
      <c r="O10" s="22">
        <f>SUMIFS(knicks_players_all_stats[AST],knicks_players_all_stats[SEASON],$A10)</f>
        <v>1738</v>
      </c>
      <c r="P10" s="22">
        <f>SUMIFS(knicks_players_all_stats[STL],knicks_players_all_stats[SEASON],$A10)</f>
        <v>610</v>
      </c>
      <c r="Q10" s="22">
        <f>SUMIFS(knicks_players_all_stats[BLK],knicks_players_all_stats[SEASON],$A10)</f>
        <v>204</v>
      </c>
      <c r="R10" s="22">
        <f>SUMIFS(knicks_players_all_stats[TOV],knicks_players_all_stats[SEASON],$A10)</f>
        <v>1140</v>
      </c>
    </row>
    <row r="11" spans="1:18" x14ac:dyDescent="0.3">
      <c r="A11" s="1" t="s">
        <v>1305</v>
      </c>
      <c r="B11" s="20">
        <f>COUNTIFS(knicks_players_all_stats[SEASON],$A11)</f>
        <v>20</v>
      </c>
      <c r="C11" s="21" cm="1">
        <f t="array" ref="C11">SUMPRODUCT((knicks_players_all_stats[SEASON]=$A11)*knicks_players_all_stats[AGE]*knicks_players_all_stats[MIN])/SUMPRODUCT((knicks_players_all_stats[SEASON]=$A11)*knicks_players_all_stats[MIN])</f>
        <v>25.966599597585514</v>
      </c>
      <c r="D11" s="22">
        <f>SUMIFS(knicks_players_all_stats[PTS],knicks_players_all_stats[SEASON],$A11)</f>
        <v>8373</v>
      </c>
      <c r="E11" s="22">
        <f>SUMIFS(knicks_players_all_stats[FGM],knicks_players_all_stats[SEASON],$A11)</f>
        <v>3127</v>
      </c>
      <c r="F11" s="22">
        <f>SUMIFS(knicks_players_all_stats[FGA],knicks_players_all_stats[SEASON],$A11)</f>
        <v>6876</v>
      </c>
      <c r="G11" s="15">
        <f t="shared" si="0"/>
        <v>0.45477021524141942</v>
      </c>
      <c r="H11" s="22">
        <f>SUMIFS(knicks_players_all_stats[FG3M],knicks_players_all_stats[SEASON],$A11)</f>
        <v>743</v>
      </c>
      <c r="I11" s="22">
        <f>SUMIFS(knicks_players_all_stats[FG3A],knicks_players_all_stats[SEASON],$A11)</f>
        <v>2145</v>
      </c>
      <c r="J11" s="15">
        <f t="shared" si="1"/>
        <v>0.34638694638694639</v>
      </c>
      <c r="K11" s="22">
        <f>SUMIFS(knicks_players_all_stats[FTM],knicks_players_all_stats[SEASON],$A11)</f>
        <v>1376</v>
      </c>
      <c r="L11" s="22">
        <f>SUMIFS(knicks_players_all_stats[FTA],knicks_players_all_stats[SEASON],$A11)</f>
        <v>1759</v>
      </c>
      <c r="M11" s="15">
        <f>IFERROR(EvolucionKnicks[[#This Row],[FTM]]/EvolucionKnicks[[#This Row],[FTA]],0)</f>
        <v>0.78226264923251843</v>
      </c>
      <c r="N11" s="22">
        <f>SUMIFS(knicks_players_all_stats[REB],knicks_players_all_stats[SEASON],$A11)</f>
        <v>3313</v>
      </c>
      <c r="O11" s="22">
        <f>SUMIFS(knicks_players_all_stats[AST],knicks_players_all_stats[SEASON],$A11)</f>
        <v>1772</v>
      </c>
      <c r="P11" s="22">
        <f>SUMIFS(knicks_players_all_stats[STL],knicks_players_all_stats[SEASON],$A11)</f>
        <v>586</v>
      </c>
      <c r="Q11" s="22">
        <f>SUMIFS(knicks_players_all_stats[BLK],knicks_players_all_stats[SEASON],$A11)</f>
        <v>305</v>
      </c>
      <c r="R11" s="22">
        <f>SUMIFS(knicks_players_all_stats[TOV],knicks_players_all_stats[SEASON],$A11)</f>
        <v>1101</v>
      </c>
    </row>
    <row r="12" spans="1:18" x14ac:dyDescent="0.3">
      <c r="A12" s="1" t="s">
        <v>1312</v>
      </c>
      <c r="B12" s="20">
        <f>COUNTIFS(knicks_players_all_stats[SEASON],$A12)</f>
        <v>20</v>
      </c>
      <c r="C12" s="21" cm="1">
        <f t="array" ref="C12">SUMPRODUCT((knicks_players_all_stats[SEASON]=$A12)*knicks_players_all_stats[AGE]*knicks_players_all_stats[MIN])/SUMPRODUCT((knicks_players_all_stats[SEASON]=$A12)*knicks_players_all_stats[MIN])</f>
        <v>25.849039433771487</v>
      </c>
      <c r="D12" s="22">
        <f>SUMIFS(knicks_players_all_stats[PTS],knicks_players_all_stats[SEASON],$A12)</f>
        <v>8734</v>
      </c>
      <c r="E12" s="22">
        <f>SUMIFS(knicks_players_all_stats[FGM],knicks_players_all_stats[SEASON],$A12)</f>
        <v>3140</v>
      </c>
      <c r="F12" s="22">
        <f>SUMIFS(knicks_players_all_stats[FGA],knicks_players_all_stats[SEASON],$A12)</f>
        <v>6867</v>
      </c>
      <c r="G12" s="15">
        <f t="shared" si="0"/>
        <v>0.45725935634192516</v>
      </c>
      <c r="H12" s="22">
        <f>SUMIFS(knicks_players_all_stats[FG3M],knicks_players_all_stats[SEASON],$A12)</f>
        <v>765</v>
      </c>
      <c r="I12" s="22">
        <f>SUMIFS(knicks_players_all_stats[FG3A],knicks_players_all_stats[SEASON],$A12)</f>
        <v>2081</v>
      </c>
      <c r="J12" s="15">
        <f t="shared" si="1"/>
        <v>0.36761172513214802</v>
      </c>
      <c r="K12" s="22">
        <f>SUMIFS(knicks_players_all_stats[FTM],knicks_players_all_stats[SEASON],$A12)</f>
        <v>1689</v>
      </c>
      <c r="L12" s="22">
        <f>SUMIFS(knicks_players_all_stats[FTA],knicks_players_all_stats[SEASON],$A12)</f>
        <v>2087</v>
      </c>
      <c r="M12" s="15">
        <f>IFERROR(EvolucionKnicks[[#This Row],[FTM]]/EvolucionKnicks[[#This Row],[FTA]],0)</f>
        <v>0.80929563967417351</v>
      </c>
      <c r="N12" s="22">
        <f>SUMIFS(knicks_players_all_stats[REB],knicks_players_all_stats[SEASON],$A12)</f>
        <v>3317</v>
      </c>
      <c r="O12" s="22">
        <f>SUMIFS(knicks_players_all_stats[AST],knicks_players_all_stats[SEASON],$A12)</f>
        <v>1757</v>
      </c>
      <c r="P12" s="22">
        <f>SUMIFS(knicks_players_all_stats[STL],knicks_players_all_stats[SEASON],$A12)</f>
        <v>625</v>
      </c>
      <c r="Q12" s="22">
        <f>SUMIFS(knicks_players_all_stats[BLK],knicks_players_all_stats[SEASON],$A12)</f>
        <v>475</v>
      </c>
      <c r="R12" s="22">
        <f>SUMIFS(knicks_players_all_stats[TOV],knicks_players_all_stats[SEASON],$A12)</f>
        <v>1094</v>
      </c>
    </row>
    <row r="13" spans="1:18" x14ac:dyDescent="0.3">
      <c r="A13" s="1" t="s">
        <v>1290</v>
      </c>
      <c r="B13" s="20">
        <f>COUNTIFS(knicks_players_all_stats[SEASON],$A13)</f>
        <v>17</v>
      </c>
      <c r="C13" s="21" cm="1">
        <f t="array" ref="C13">SUMPRODUCT((knicks_players_all_stats[SEASON]=$A13)*knicks_players_all_stats[AGE]*knicks_players_all_stats[MIN])/SUMPRODUCT((knicks_players_all_stats[SEASON]=$A13)*knicks_players_all_stats[MIN])</f>
        <v>26.814605684170903</v>
      </c>
      <c r="D13" s="22">
        <f>SUMIFS(knicks_players_all_stats[PTS],knicks_players_all_stats[SEASON],$A13)</f>
        <v>6458</v>
      </c>
      <c r="E13" s="22">
        <f>SUMIFS(knicks_players_all_stats[FGM],knicks_players_all_stats[SEASON],$A13)</f>
        <v>2365</v>
      </c>
      <c r="F13" s="22">
        <f>SUMIFS(knicks_players_all_stats[FGA],knicks_players_all_stats[SEASON],$A13)</f>
        <v>5335</v>
      </c>
      <c r="G13" s="15">
        <f t="shared" si="0"/>
        <v>0.44329896907216493</v>
      </c>
      <c r="H13" s="22">
        <f>SUMIFS(knicks_players_all_stats[FG3M],knicks_players_all_stats[SEASON],$A13)</f>
        <v>517</v>
      </c>
      <c r="I13" s="22">
        <f>SUMIFS(knicks_players_all_stats[FG3A],knicks_players_all_stats[SEASON],$A13)</f>
        <v>1538</v>
      </c>
      <c r="J13" s="15">
        <f t="shared" si="1"/>
        <v>0.33615084525357608</v>
      </c>
      <c r="K13" s="22">
        <f>SUMIFS(knicks_players_all_stats[FTM],knicks_players_all_stats[SEASON],$A13)</f>
        <v>1211</v>
      </c>
      <c r="L13" s="22">
        <f>SUMIFS(knicks_players_all_stats[FTA],knicks_players_all_stats[SEASON],$A13)</f>
        <v>1634</v>
      </c>
      <c r="M13" s="15">
        <f>IFERROR(EvolucionKnicks[[#This Row],[FTM]]/EvolucionKnicks[[#This Row],[FTA]],0)</f>
        <v>0.74112607099143202</v>
      </c>
      <c r="N13" s="22">
        <f>SUMIFS(knicks_players_all_stats[REB],knicks_players_all_stats[SEASON],$A13)</f>
        <v>2755</v>
      </c>
      <c r="O13" s="22">
        <f>SUMIFS(knicks_players_all_stats[AST],knicks_players_all_stats[SEASON],$A13)</f>
        <v>1328</v>
      </c>
      <c r="P13" s="22">
        <f>SUMIFS(knicks_players_all_stats[STL],knicks_players_all_stats[SEASON],$A13)</f>
        <v>622</v>
      </c>
      <c r="Q13" s="22">
        <f>SUMIFS(knicks_players_all_stats[BLK],knicks_players_all_stats[SEASON],$A13)</f>
        <v>276</v>
      </c>
      <c r="R13" s="22">
        <f>SUMIFS(knicks_players_all_stats[TOV],knicks_players_all_stats[SEASON],$A13)</f>
        <v>1009</v>
      </c>
    </row>
    <row r="14" spans="1:18" x14ac:dyDescent="0.3">
      <c r="A14" s="1" t="s">
        <v>1292</v>
      </c>
      <c r="B14" s="20">
        <f>COUNTIFS(knicks_players_all_stats[SEASON],$A14)</f>
        <v>19</v>
      </c>
      <c r="C14" s="21" cm="1">
        <f t="array" ref="C14">SUMPRODUCT((knicks_players_all_stats[SEASON]=$A14)*knicks_players_all_stats[AGE]*knicks_players_all_stats[MIN])/SUMPRODUCT((knicks_players_all_stats[SEASON]=$A14)*knicks_players_all_stats[MIN])</f>
        <v>30.845775682935482</v>
      </c>
      <c r="D14" s="22">
        <f>SUMIFS(knicks_players_all_stats[PTS],knicks_players_all_stats[SEASON],$A14)</f>
        <v>8196</v>
      </c>
      <c r="E14" s="22">
        <f>SUMIFS(knicks_players_all_stats[FGM],knicks_players_all_stats[SEASON],$A14)</f>
        <v>2996</v>
      </c>
      <c r="F14" s="22">
        <f>SUMIFS(knicks_players_all_stats[FGA],knicks_players_all_stats[SEASON],$A14)</f>
        <v>6689</v>
      </c>
      <c r="G14" s="15">
        <f t="shared" si="0"/>
        <v>0.44789953655254894</v>
      </c>
      <c r="H14" s="22">
        <f>SUMIFS(knicks_players_all_stats[FG3M],knicks_players_all_stats[SEASON],$A14)</f>
        <v>891</v>
      </c>
      <c r="I14" s="22">
        <f>SUMIFS(knicks_players_all_stats[FG3A],knicks_players_all_stats[SEASON],$A14)</f>
        <v>2371</v>
      </c>
      <c r="J14" s="15">
        <f t="shared" si="1"/>
        <v>0.37579080556727118</v>
      </c>
      <c r="K14" s="22">
        <f>SUMIFS(knicks_players_all_stats[FTM],knicks_players_all_stats[SEASON],$A14)</f>
        <v>1313</v>
      </c>
      <c r="L14" s="22">
        <f>SUMIFS(knicks_players_all_stats[FTA],knicks_players_all_stats[SEASON],$A14)</f>
        <v>1729</v>
      </c>
      <c r="M14" s="15">
        <f>IFERROR(EvolucionKnicks[[#This Row],[FTM]]/EvolucionKnicks[[#This Row],[FTA]],0)</f>
        <v>0.75939849624060152</v>
      </c>
      <c r="N14" s="22">
        <f>SUMIFS(knicks_players_all_stats[REB],knicks_players_all_stats[SEASON],$A14)</f>
        <v>3326</v>
      </c>
      <c r="O14" s="22">
        <f>SUMIFS(knicks_players_all_stats[AST],knicks_players_all_stats[SEASON],$A14)</f>
        <v>1579</v>
      </c>
      <c r="P14" s="22">
        <f>SUMIFS(knicks_players_all_stats[STL],knicks_players_all_stats[SEASON],$A14)</f>
        <v>672</v>
      </c>
      <c r="Q14" s="22">
        <f>SUMIFS(knicks_players_all_stats[BLK],knicks_players_all_stats[SEASON],$A14)</f>
        <v>294</v>
      </c>
      <c r="R14" s="22">
        <f>SUMIFS(knicks_players_all_stats[TOV],knicks_players_all_stats[SEASON],$A14)</f>
        <v>948</v>
      </c>
    </row>
    <row r="15" spans="1:18" x14ac:dyDescent="0.3">
      <c r="A15" s="1" t="s">
        <v>1337</v>
      </c>
      <c r="B15" s="20">
        <f>COUNTIFS(knicks_players_all_stats[SEASON],$A15)</f>
        <v>18</v>
      </c>
      <c r="C15" s="21" cm="1">
        <f t="array" ref="C15">SUMPRODUCT((knicks_players_all_stats[SEASON]=$A15)*knicks_players_all_stats[AGE]*knicks_players_all_stats[MIN])/SUMPRODUCT((knicks_players_all_stats[SEASON]=$A15)*knicks_players_all_stats[MIN])</f>
        <v>28.824770827037373</v>
      </c>
      <c r="D15" s="22">
        <f>SUMIFS(knicks_players_all_stats[PTS],knicks_players_all_stats[SEASON],$A15)</f>
        <v>8084</v>
      </c>
      <c r="E15" s="22">
        <f>SUMIFS(knicks_players_all_stats[FGM],knicks_players_all_stats[SEASON],$A15)</f>
        <v>3027</v>
      </c>
      <c r="F15" s="22">
        <f>SUMIFS(knicks_players_all_stats[FGA],knicks_players_all_stats[SEASON],$A15)</f>
        <v>6739</v>
      </c>
      <c r="G15" s="15">
        <f t="shared" si="0"/>
        <v>0.44917643567294852</v>
      </c>
      <c r="H15" s="22">
        <f>SUMIFS(knicks_players_all_stats[FG3M],knicks_players_all_stats[SEASON],$A15)</f>
        <v>759</v>
      </c>
      <c r="I15" s="22">
        <f>SUMIFS(knicks_players_all_stats[FG3A],knicks_players_all_stats[SEASON],$A15)</f>
        <v>2038</v>
      </c>
      <c r="J15" s="15">
        <f t="shared" si="1"/>
        <v>0.37242394504416093</v>
      </c>
      <c r="K15" s="22">
        <f>SUMIFS(knicks_players_all_stats[FTM],knicks_players_all_stats[SEASON],$A15)</f>
        <v>1271</v>
      </c>
      <c r="L15" s="22">
        <f>SUMIFS(knicks_players_all_stats[FTA],knicks_players_all_stats[SEASON],$A15)</f>
        <v>1670</v>
      </c>
      <c r="M15" s="15">
        <f>IFERROR(EvolucionKnicks[[#This Row],[FTM]]/EvolucionKnicks[[#This Row],[FTA]],0)</f>
        <v>0.76107784431137726</v>
      </c>
      <c r="N15" s="22">
        <f>SUMIFS(knicks_players_all_stats[REB],knicks_players_all_stats[SEASON],$A15)</f>
        <v>3307</v>
      </c>
      <c r="O15" s="22">
        <f>SUMIFS(knicks_players_all_stats[AST],knicks_players_all_stats[SEASON],$A15)</f>
        <v>1641</v>
      </c>
      <c r="P15" s="22">
        <f>SUMIFS(knicks_players_all_stats[STL],knicks_players_all_stats[SEASON],$A15)</f>
        <v>631</v>
      </c>
      <c r="Q15" s="22">
        <f>SUMIFS(knicks_players_all_stats[BLK],knicks_players_all_stats[SEASON],$A15)</f>
        <v>367</v>
      </c>
      <c r="R15" s="22">
        <f>SUMIFS(knicks_players_all_stats[TOV],knicks_players_all_stats[SEASON],$A15)</f>
        <v>1017</v>
      </c>
    </row>
    <row r="16" spans="1:18" x14ac:dyDescent="0.3">
      <c r="A16" s="1" t="s">
        <v>1343</v>
      </c>
      <c r="B16" s="20">
        <f>COUNTIFS(knicks_players_all_stats[SEASON],$A16)</f>
        <v>20</v>
      </c>
      <c r="C16" s="21" cm="1">
        <f t="array" ref="C16">SUMPRODUCT((knicks_players_all_stats[SEASON]=$A16)*knicks_players_all_stats[AGE]*knicks_players_all_stats[MIN])/SUMPRODUCT((knicks_players_all_stats[SEASON]=$A16)*knicks_players_all_stats[MIN])</f>
        <v>27.398539410727775</v>
      </c>
      <c r="D16" s="22">
        <f>SUMIFS(knicks_players_all_stats[PTS],knicks_players_all_stats[SEASON],$A16)</f>
        <v>7535</v>
      </c>
      <c r="E16" s="22">
        <f>SUMIFS(knicks_players_all_stats[FGM],knicks_players_all_stats[SEASON],$A16)</f>
        <v>2882</v>
      </c>
      <c r="F16" s="22">
        <f>SUMIFS(knicks_players_all_stats[FGA],knicks_players_all_stats[SEASON],$A16)</f>
        <v>6726</v>
      </c>
      <c r="G16" s="15">
        <f t="shared" si="0"/>
        <v>0.42848647041332144</v>
      </c>
      <c r="H16" s="22">
        <f>SUMIFS(knicks_players_all_stats[FG3M],knicks_players_all_stats[SEASON],$A16)</f>
        <v>560</v>
      </c>
      <c r="I16" s="22">
        <f>SUMIFS(knicks_players_all_stats[FG3A],knicks_players_all_stats[SEASON],$A16)</f>
        <v>1614</v>
      </c>
      <c r="J16" s="15">
        <f t="shared" si="1"/>
        <v>0.34696406443618338</v>
      </c>
      <c r="K16" s="22">
        <f>SUMIFS(knicks_players_all_stats[FTM],knicks_players_all_stats[SEASON],$A16)</f>
        <v>1211</v>
      </c>
      <c r="L16" s="22">
        <f>SUMIFS(knicks_players_all_stats[FTA],knicks_players_all_stats[SEASON],$A16)</f>
        <v>1575</v>
      </c>
      <c r="M16" s="15">
        <f>IFERROR(EvolucionKnicks[[#This Row],[FTM]]/EvolucionKnicks[[#This Row],[FTA]],0)</f>
        <v>0.76888888888888884</v>
      </c>
      <c r="N16" s="22">
        <f>SUMIFS(knicks_players_all_stats[REB],knicks_players_all_stats[SEASON],$A16)</f>
        <v>3310</v>
      </c>
      <c r="O16" s="22">
        <f>SUMIFS(knicks_players_all_stats[AST],knicks_players_all_stats[SEASON],$A16)</f>
        <v>1746</v>
      </c>
      <c r="P16" s="22">
        <f>SUMIFS(knicks_players_all_stats[STL],knicks_players_all_stats[SEASON],$A16)</f>
        <v>575</v>
      </c>
      <c r="Q16" s="22">
        <f>SUMIFS(knicks_players_all_stats[BLK],knicks_players_all_stats[SEASON],$A16)</f>
        <v>382</v>
      </c>
      <c r="R16" s="22">
        <f>SUMIFS(knicks_players_all_stats[TOV],knicks_players_all_stats[SEASON],$A16)</f>
        <v>1129</v>
      </c>
    </row>
    <row r="17" spans="1:18" x14ac:dyDescent="0.3">
      <c r="A17" s="1" t="s">
        <v>1279</v>
      </c>
      <c r="B17" s="20">
        <f>COUNTIFS(knicks_players_all_stats[SEASON],$A17)</f>
        <v>16</v>
      </c>
      <c r="C17" s="21" cm="1">
        <f t="array" ref="C17">SUMPRODUCT((knicks_players_all_stats[SEASON]=$A17)*knicks_players_all_stats[AGE]*knicks_players_all_stats[MIN])/SUMPRODUCT((knicks_players_all_stats[SEASON]=$A17)*knicks_players_all_stats[MIN])</f>
        <v>27.66890527166229</v>
      </c>
      <c r="D17" s="22">
        <f>SUMIFS(knicks_players_all_stats[PTS],knicks_players_all_stats[SEASON],$A17)</f>
        <v>8065</v>
      </c>
      <c r="E17" s="22">
        <f>SUMIFS(knicks_players_all_stats[FGM],knicks_players_all_stats[SEASON],$A17)</f>
        <v>3022</v>
      </c>
      <c r="F17" s="22">
        <f>SUMIFS(knicks_players_all_stats[FGA],knicks_players_all_stats[SEASON],$A17)</f>
        <v>6886</v>
      </c>
      <c r="G17" s="15">
        <f t="shared" si="0"/>
        <v>0.43886145803078708</v>
      </c>
      <c r="H17" s="22">
        <f>SUMIFS(knicks_players_all_stats[FG3M],knicks_players_all_stats[SEASON],$A17)</f>
        <v>610</v>
      </c>
      <c r="I17" s="22">
        <f>SUMIFS(knicks_players_all_stats[FG3A],knicks_players_all_stats[SEASON],$A17)</f>
        <v>1762</v>
      </c>
      <c r="J17" s="15">
        <f t="shared" si="1"/>
        <v>0.34619750283768447</v>
      </c>
      <c r="K17" s="22">
        <f>SUMIFS(knicks_players_all_stats[FTM],knicks_players_all_stats[SEASON],$A17)</f>
        <v>1411</v>
      </c>
      <c r="L17" s="22">
        <f>SUMIFS(knicks_players_all_stats[FTA],knicks_players_all_stats[SEASON],$A17)</f>
        <v>1753</v>
      </c>
      <c r="M17" s="15">
        <f>IFERROR(EvolucionKnicks[[#This Row],[FTM]]/EvolucionKnicks[[#This Row],[FTA]],0)</f>
        <v>0.80490587564175697</v>
      </c>
      <c r="N17" s="22">
        <f>SUMIFS(knicks_players_all_stats[REB],knicks_players_all_stats[SEASON],$A17)</f>
        <v>3638</v>
      </c>
      <c r="O17" s="22">
        <f>SUMIFS(knicks_players_all_stats[AST],knicks_players_all_stats[SEASON],$A17)</f>
        <v>1682</v>
      </c>
      <c r="P17" s="22">
        <f>SUMIFS(knicks_players_all_stats[STL],knicks_players_all_stats[SEASON],$A17)</f>
        <v>467</v>
      </c>
      <c r="Q17" s="22">
        <f>SUMIFS(knicks_players_all_stats[BLK],knicks_players_all_stats[SEASON],$A17)</f>
        <v>466</v>
      </c>
      <c r="R17" s="22">
        <f>SUMIFS(knicks_players_all_stats[TOV],knicks_players_all_stats[SEASON],$A17)</f>
        <v>1038</v>
      </c>
    </row>
    <row r="18" spans="1:18" x14ac:dyDescent="0.3">
      <c r="A18" s="1" t="s">
        <v>1281</v>
      </c>
      <c r="B18" s="20">
        <f>COUNTIFS(knicks_players_all_stats[SEASON],$A18)</f>
        <v>16</v>
      </c>
      <c r="C18" s="21" cm="1">
        <f t="array" ref="C18">SUMPRODUCT((knicks_players_all_stats[SEASON]=$A18)*knicks_players_all_stats[AGE]*knicks_players_all_stats[MIN])/SUMPRODUCT((knicks_players_all_stats[SEASON]=$A18)*knicks_players_all_stats[MIN])</f>
        <v>27.783055457613457</v>
      </c>
      <c r="D18" s="22">
        <f>SUMIFS(knicks_players_all_stats[PTS],knicks_players_all_stats[SEASON],$A18)</f>
        <v>8556</v>
      </c>
      <c r="E18" s="22">
        <f>SUMIFS(knicks_players_all_stats[FGM],knicks_players_all_stats[SEASON],$A18)</f>
        <v>3244</v>
      </c>
      <c r="F18" s="22">
        <f>SUMIFS(knicks_players_all_stats[FGA],knicks_players_all_stats[SEASON],$A18)</f>
        <v>7256</v>
      </c>
      <c r="G18" s="15">
        <f t="shared" si="0"/>
        <v>0.44707828004410144</v>
      </c>
      <c r="H18" s="22">
        <f>SUMIFS(knicks_players_all_stats[FG3M],knicks_players_all_stats[SEASON],$A18)</f>
        <v>704</v>
      </c>
      <c r="I18" s="22">
        <f>SUMIFS(knicks_players_all_stats[FG3A],knicks_players_all_stats[SEASON],$A18)</f>
        <v>2022</v>
      </c>
      <c r="J18" s="15">
        <f t="shared" si="1"/>
        <v>0.34817012858555885</v>
      </c>
      <c r="K18" s="22">
        <f>SUMIFS(knicks_players_all_stats[FTM],knicks_players_all_stats[SEASON],$A18)</f>
        <v>1364</v>
      </c>
      <c r="L18" s="22">
        <f>SUMIFS(knicks_players_all_stats[FTA],knicks_players_all_stats[SEASON],$A18)</f>
        <v>1731</v>
      </c>
      <c r="M18" s="15">
        <f>IFERROR(EvolucionKnicks[[#This Row],[FTM]]/EvolucionKnicks[[#This Row],[FTA]],0)</f>
        <v>0.78798382437897174</v>
      </c>
      <c r="N18" s="22">
        <f>SUMIFS(knicks_players_all_stats[REB],knicks_players_all_stats[SEASON],$A18)</f>
        <v>3706</v>
      </c>
      <c r="O18" s="22">
        <f>SUMIFS(knicks_players_all_stats[AST],knicks_players_all_stats[SEASON],$A18)</f>
        <v>1786</v>
      </c>
      <c r="P18" s="22">
        <f>SUMIFS(knicks_players_all_stats[STL],knicks_players_all_stats[SEASON],$A18)</f>
        <v>581</v>
      </c>
      <c r="Q18" s="22">
        <f>SUMIFS(knicks_players_all_stats[BLK],knicks_players_all_stats[SEASON],$A18)</f>
        <v>455</v>
      </c>
      <c r="R18" s="22">
        <f>SUMIFS(knicks_players_all_stats[TOV],knicks_players_all_stats[SEASON],$A18)</f>
        <v>1081</v>
      </c>
    </row>
    <row r="19" spans="1:18" x14ac:dyDescent="0.3">
      <c r="A19" s="1" t="s">
        <v>1259</v>
      </c>
      <c r="B19" s="20">
        <f>COUNTIFS(knicks_players_all_stats[SEASON],$A19)</f>
        <v>21</v>
      </c>
      <c r="C19" s="21" cm="1">
        <f t="array" ref="C19">SUMPRODUCT((knicks_players_all_stats[SEASON]=$A19)*knicks_players_all_stats[AGE]*knicks_players_all_stats[MIN])/SUMPRODUCT((knicks_players_all_stats[SEASON]=$A19)*knicks_players_all_stats[MIN])</f>
        <v>26.76012303968534</v>
      </c>
      <c r="D19" s="22">
        <f>SUMIFS(knicks_players_all_stats[PTS],knicks_players_all_stats[SEASON],$A19)</f>
        <v>8566</v>
      </c>
      <c r="E19" s="22">
        <f>SUMIFS(knicks_players_all_stats[FGM],knicks_players_all_stats[SEASON],$A19)</f>
        <v>3334</v>
      </c>
      <c r="F19" s="22">
        <f>SUMIFS(knicks_players_all_stats[FGA],knicks_players_all_stats[SEASON],$A19)</f>
        <v>7193</v>
      </c>
      <c r="G19" s="15">
        <f t="shared" si="0"/>
        <v>0.46350618657027665</v>
      </c>
      <c r="H19" s="22">
        <f>SUMIFS(knicks_players_all_stats[FG3M],knicks_players_all_stats[SEASON],$A19)</f>
        <v>673</v>
      </c>
      <c r="I19" s="22">
        <f>SUMIFS(knicks_players_all_stats[FG3A],knicks_players_all_stats[SEASON],$A19)</f>
        <v>1914</v>
      </c>
      <c r="J19" s="15">
        <f t="shared" si="1"/>
        <v>0.35161964472309298</v>
      </c>
      <c r="K19" s="22">
        <f>SUMIFS(knicks_players_all_stats[FTM],knicks_players_all_stats[SEASON],$A19)</f>
        <v>1225</v>
      </c>
      <c r="L19" s="22">
        <f>SUMIFS(knicks_players_all_stats[FTA],knicks_players_all_stats[SEASON],$A19)</f>
        <v>1557</v>
      </c>
      <c r="M19" s="15">
        <f>IFERROR(EvolucionKnicks[[#This Row],[FTM]]/EvolucionKnicks[[#This Row],[FTA]],0)</f>
        <v>0.78676942838792552</v>
      </c>
      <c r="N19" s="22">
        <f>SUMIFS(knicks_players_all_stats[REB],knicks_players_all_stats[SEASON],$A19)</f>
        <v>3611</v>
      </c>
      <c r="O19" s="22">
        <f>SUMIFS(knicks_players_all_stats[AST],knicks_players_all_stats[SEASON],$A19)</f>
        <v>1912</v>
      </c>
      <c r="P19" s="22">
        <f>SUMIFS(knicks_players_all_stats[STL],knicks_players_all_stats[SEASON],$A19)</f>
        <v>552</v>
      </c>
      <c r="Q19" s="22">
        <f>SUMIFS(knicks_players_all_stats[BLK],knicks_players_all_stats[SEASON],$A19)</f>
        <v>421</v>
      </c>
      <c r="R19" s="22">
        <f>SUMIFS(knicks_players_all_stats[TOV],knicks_players_all_stats[SEASON],$A19)</f>
        <v>1165</v>
      </c>
    </row>
    <row r="20" spans="1:18" x14ac:dyDescent="0.3">
      <c r="A20" s="1" t="s">
        <v>1289</v>
      </c>
      <c r="B20" s="20">
        <f>COUNTIFS(knicks_players_all_stats[SEASON],$A20)</f>
        <v>19</v>
      </c>
      <c r="C20" s="21" cm="1">
        <f t="array" ref="C20">SUMPRODUCT((knicks_players_all_stats[SEASON]=$A20)*knicks_players_all_stats[AGE]*knicks_players_all_stats[MIN])/SUMPRODUCT((knicks_players_all_stats[SEASON]=$A20)*knicks_players_all_stats[MIN])</f>
        <v>26.265102403763411</v>
      </c>
      <c r="D20" s="22">
        <f>SUMIFS(knicks_players_all_stats[PTS],knicks_players_all_stats[SEASON],$A20)</f>
        <v>7706</v>
      </c>
      <c r="E20" s="22">
        <f>SUMIFS(knicks_players_all_stats[FGM],knicks_players_all_stats[SEASON],$A20)</f>
        <v>2839</v>
      </c>
      <c r="F20" s="22">
        <f>SUMIFS(knicks_players_all_stats[FGA],knicks_players_all_stats[SEASON],$A20)</f>
        <v>6225</v>
      </c>
      <c r="G20" s="15">
        <f t="shared" si="0"/>
        <v>0.45606425702811243</v>
      </c>
      <c r="H20" s="22">
        <f>SUMIFS(knicks_players_all_stats[FG3M],knicks_players_all_stats[SEASON],$A20)</f>
        <v>847</v>
      </c>
      <c r="I20" s="22">
        <f>SUMIFS(knicks_players_all_stats[FG3A],knicks_players_all_stats[SEASON],$A20)</f>
        <v>2163</v>
      </c>
      <c r="J20" s="15">
        <f t="shared" si="1"/>
        <v>0.39158576051779936</v>
      </c>
      <c r="K20" s="22">
        <f>SUMIFS(knicks_players_all_stats[FTM],knicks_players_all_stats[SEASON],$A20)</f>
        <v>1181</v>
      </c>
      <c r="L20" s="22">
        <f>SUMIFS(knicks_players_all_stats[FTA],knicks_players_all_stats[SEASON],$A20)</f>
        <v>1506</v>
      </c>
      <c r="M20" s="15">
        <f>IFERROR(EvolucionKnicks[[#This Row],[FTM]]/EvolucionKnicks[[#This Row],[FTA]],0)</f>
        <v>0.78419654714475429</v>
      </c>
      <c r="N20" s="22">
        <f>SUMIFS(knicks_players_all_stats[REB],knicks_players_all_stats[SEASON],$A20)</f>
        <v>3250</v>
      </c>
      <c r="O20" s="22">
        <f>SUMIFS(knicks_players_all_stats[AST],knicks_players_all_stats[SEASON],$A20)</f>
        <v>1541</v>
      </c>
      <c r="P20" s="22">
        <f>SUMIFS(knicks_players_all_stats[STL],knicks_players_all_stats[SEASON],$A20)</f>
        <v>507</v>
      </c>
      <c r="Q20" s="22">
        <f>SUMIFS(knicks_players_all_stats[BLK],knicks_players_all_stats[SEASON],$A20)</f>
        <v>365</v>
      </c>
      <c r="R20" s="22">
        <f>SUMIFS(knicks_players_all_stats[TOV],knicks_players_all_stats[SEASON],$A20)</f>
        <v>876</v>
      </c>
    </row>
    <row r="21" spans="1:18" x14ac:dyDescent="0.3">
      <c r="A21" s="1" t="s">
        <v>1308</v>
      </c>
      <c r="B21" s="20">
        <f>COUNTIFS(knicks_players_all_stats[SEASON],$A21)</f>
        <v>23</v>
      </c>
      <c r="C21" s="21" cm="1">
        <f t="array" ref="C21">SUMPRODUCT((knicks_players_all_stats[SEASON]=$A21)*knicks_players_all_stats[AGE]*knicks_players_all_stats[MIN])/SUMPRODUCT((knicks_players_all_stats[SEASON]=$A21)*knicks_players_all_stats[MIN])</f>
        <v>26.583569261880687</v>
      </c>
      <c r="D21" s="22">
        <f>SUMIFS(knicks_players_all_stats[PTS],knicks_players_all_stats[SEASON],$A21)</f>
        <v>8731</v>
      </c>
      <c r="E21" s="22">
        <f>SUMIFS(knicks_players_all_stats[FGM],knicks_players_all_stats[SEASON],$A21)</f>
        <v>3088</v>
      </c>
      <c r="F21" s="22">
        <f>SUMIFS(knicks_players_all_stats[FGA],knicks_players_all_stats[SEASON],$A21)</f>
        <v>7069</v>
      </c>
      <c r="G21" s="15">
        <f t="shared" si="0"/>
        <v>0.43683689347856841</v>
      </c>
      <c r="H21" s="22">
        <f>SUMIFS(knicks_players_all_stats[FG3M],knicks_players_all_stats[SEASON],$A21)</f>
        <v>1082</v>
      </c>
      <c r="I21" s="22">
        <f>SUMIFS(knicks_players_all_stats[FG3A],knicks_players_all_stats[SEASON],$A21)</f>
        <v>3029</v>
      </c>
      <c r="J21" s="15">
        <f t="shared" si="1"/>
        <v>0.35721360184879497</v>
      </c>
      <c r="K21" s="22">
        <f>SUMIFS(knicks_players_all_stats[FTM],knicks_players_all_stats[SEASON],$A21)</f>
        <v>1473</v>
      </c>
      <c r="L21" s="22">
        <f>SUMIFS(knicks_players_all_stats[FTA],knicks_players_all_stats[SEASON],$A21)</f>
        <v>1980</v>
      </c>
      <c r="M21" s="15">
        <f>IFERROR(EvolucionKnicks[[#This Row],[FTM]]/EvolucionKnicks[[#This Row],[FTA]],0)</f>
        <v>0.7439393939393939</v>
      </c>
      <c r="N21" s="22">
        <f>SUMIFS(knicks_players_all_stats[REB],knicks_players_all_stats[SEASON],$A21)</f>
        <v>3782</v>
      </c>
      <c r="O21" s="22">
        <f>SUMIFS(knicks_players_all_stats[AST],knicks_players_all_stats[SEASON],$A21)</f>
        <v>1793</v>
      </c>
      <c r="P21" s="22">
        <f>SUMIFS(knicks_players_all_stats[STL],knicks_players_all_stats[SEASON],$A21)</f>
        <v>570</v>
      </c>
      <c r="Q21" s="22">
        <f>SUMIFS(knicks_players_all_stats[BLK],knicks_players_all_stats[SEASON],$A21)</f>
        <v>399</v>
      </c>
      <c r="R21" s="22">
        <f>SUMIFS(knicks_players_all_stats[TOV],knicks_players_all_stats[SEASON],$A21)</f>
        <v>1017</v>
      </c>
    </row>
    <row r="22" spans="1:18" x14ac:dyDescent="0.3">
      <c r="A22" s="1" t="s">
        <v>1327</v>
      </c>
      <c r="B22" s="20">
        <f>COUNTIFS(knicks_players_all_stats[SEASON],$A22)</f>
        <v>17</v>
      </c>
      <c r="C22" s="21" cm="1">
        <f t="array" ref="C22">SUMPRODUCT((knicks_players_all_stats[SEASON]=$A22)*knicks_players_all_stats[AGE]*knicks_players_all_stats[MIN])/SUMPRODUCT((knicks_players_all_stats[SEASON]=$A22)*knicks_players_all_stats[MIN])</f>
        <v>25.138655041090399</v>
      </c>
      <c r="D22" s="22">
        <f>SUMIFS(knicks_players_all_stats[PTS],knicks_players_all_stats[SEASON],$A22)</f>
        <v>9514</v>
      </c>
      <c r="E22" s="22">
        <f>SUMIFS(knicks_players_all_stats[FGM],knicks_players_all_stats[SEASON],$A22)</f>
        <v>3444</v>
      </c>
      <c r="F22" s="22">
        <f>SUMIFS(knicks_players_all_stats[FGA],knicks_players_all_stats[SEASON],$A22)</f>
        <v>7328</v>
      </c>
      <c r="G22" s="15">
        <f t="shared" si="0"/>
        <v>0.46997816593886466</v>
      </c>
      <c r="H22" s="22">
        <f>SUMIFS(knicks_players_all_stats[FG3M],knicks_players_all_stats[SEASON],$A22)</f>
        <v>1037</v>
      </c>
      <c r="I22" s="22">
        <f>SUMIFS(knicks_players_all_stats[FG3A],knicks_players_all_stats[SEASON],$A22)</f>
        <v>2930</v>
      </c>
      <c r="J22" s="15">
        <f t="shared" si="1"/>
        <v>0.35392491467576792</v>
      </c>
      <c r="K22" s="22">
        <f>SUMIFS(knicks_players_all_stats[FTM],knicks_players_all_stats[SEASON],$A22)</f>
        <v>1589</v>
      </c>
      <c r="L22" s="22">
        <f>SUMIFS(knicks_players_all_stats[FTA],knicks_players_all_stats[SEASON],$A22)</f>
        <v>2087</v>
      </c>
      <c r="M22" s="15">
        <f>IFERROR(EvolucionKnicks[[#This Row],[FTM]]/EvolucionKnicks[[#This Row],[FTA]],0)</f>
        <v>0.76137997125059897</v>
      </c>
      <c r="N22" s="22">
        <f>SUMIFS(knicks_players_all_stats[REB],knicks_players_all_stats[SEASON],$A22)</f>
        <v>3821</v>
      </c>
      <c r="O22" s="22">
        <f>SUMIFS(knicks_players_all_stats[AST],knicks_players_all_stats[SEASON],$A22)</f>
        <v>1880</v>
      </c>
      <c r="P22" s="22">
        <f>SUMIFS(knicks_players_all_stats[STL],knicks_players_all_stats[SEASON],$A22)</f>
        <v>527</v>
      </c>
      <c r="Q22" s="22">
        <f>SUMIFS(knicks_players_all_stats[BLK],knicks_players_all_stats[SEASON],$A22)</f>
        <v>340</v>
      </c>
      <c r="R22" s="22">
        <f>SUMIFS(knicks_players_all_stats[TOV],knicks_players_all_stats[SEASON],$A22)</f>
        <v>988</v>
      </c>
    </row>
    <row r="23" spans="1:18" x14ac:dyDescent="0.3">
      <c r="A23" s="1" t="s">
        <v>1369</v>
      </c>
      <c r="B23" s="20">
        <f>COUNTIFS(knicks_players_all_stats[SEASON],$A23)</f>
        <v>26</v>
      </c>
      <c r="C23" s="21" cm="1">
        <f t="array" ref="C23">SUMPRODUCT((knicks_players_all_stats[SEASON]=$A23)*knicks_players_all_stats[AGE]*knicks_players_all_stats[MIN])/SUMPRODUCT((knicks_players_all_stats[SEASON]=$A23)*knicks_players_all_stats[MIN])</f>
        <v>26.835419940189567</v>
      </c>
      <c r="D23" s="22">
        <f>SUMIFS(knicks_players_all_stats[PTS],knicks_players_all_stats[SEASON],$A23)</f>
        <v>9249</v>
      </c>
      <c r="E23" s="22">
        <f>SUMIFS(knicks_players_all_stats[FGM],knicks_players_all_stats[SEASON],$A23)</f>
        <v>3385</v>
      </c>
      <c r="F23" s="22">
        <f>SUMIFS(knicks_players_all_stats[FGA],knicks_players_all_stats[SEASON],$A23)</f>
        <v>7272</v>
      </c>
      <c r="G23" s="15">
        <f t="shared" si="0"/>
        <v>0.46548404840484048</v>
      </c>
      <c r="H23" s="22">
        <f>SUMIFS(knicks_players_all_stats[FG3M],knicks_players_all_stats[SEASON],$A23)</f>
        <v>1083</v>
      </c>
      <c r="I23" s="22">
        <f>SUMIFS(knicks_players_all_stats[FG3A],knicks_players_all_stats[SEASON],$A23)</f>
        <v>2936</v>
      </c>
      <c r="J23" s="15">
        <f t="shared" si="1"/>
        <v>0.3688692098092643</v>
      </c>
      <c r="K23" s="22">
        <f>SUMIFS(knicks_players_all_stats[FTM],knicks_players_all_stats[SEASON],$A23)</f>
        <v>1396</v>
      </c>
      <c r="L23" s="22">
        <f>SUMIFS(knicks_players_all_stats[FTA],knicks_players_all_stats[SEASON],$A23)</f>
        <v>1789</v>
      </c>
      <c r="M23" s="15">
        <f>IFERROR(EvolucionKnicks[[#This Row],[FTM]]/EvolucionKnicks[[#This Row],[FTA]],0)</f>
        <v>0.78032420346562326</v>
      </c>
      <c r="N23" s="22">
        <f>SUMIFS(knicks_players_all_stats[REB],knicks_players_all_stats[SEASON],$A23)</f>
        <v>3704</v>
      </c>
      <c r="O23" s="22">
        <f>SUMIFS(knicks_players_all_stats[AST],knicks_players_all_stats[SEASON],$A23)</f>
        <v>1998</v>
      </c>
      <c r="P23" s="22">
        <f>SUMIFS(knicks_players_all_stats[STL],knicks_players_all_stats[SEASON],$A23)</f>
        <v>612</v>
      </c>
      <c r="Q23" s="22">
        <f>SUMIFS(knicks_players_all_stats[BLK],knicks_players_all_stats[SEASON],$A23)</f>
        <v>336</v>
      </c>
      <c r="R23" s="22">
        <f>SUMIFS(knicks_players_all_stats[TOV],knicks_players_all_stats[SEASON],$A23)</f>
        <v>1003</v>
      </c>
    </row>
    <row r="24" spans="1:18" x14ac:dyDescent="0.3">
      <c r="B24" s="20"/>
      <c r="C24" s="21"/>
      <c r="D24" s="22"/>
      <c r="E24" s="22"/>
      <c r="F24" s="22"/>
      <c r="G24" s="15"/>
      <c r="H24" s="22"/>
      <c r="I24" s="22"/>
      <c r="J24" s="15"/>
      <c r="K24" s="15"/>
      <c r="L24" s="22"/>
      <c r="M24" s="22"/>
      <c r="N24" s="22"/>
      <c r="O24" s="22"/>
      <c r="P24" s="22"/>
      <c r="Q24" s="22"/>
      <c r="R24" s="22"/>
    </row>
    <row r="25" spans="1:18" x14ac:dyDescent="0.3">
      <c r="B25" s="20"/>
      <c r="C25" s="21"/>
      <c r="D25" s="22"/>
      <c r="E25" s="22"/>
      <c r="F25" s="22"/>
      <c r="G25" s="15"/>
      <c r="H25" s="22"/>
      <c r="I25" s="22"/>
      <c r="J25" s="15"/>
      <c r="K25" s="15"/>
      <c r="L25" s="22"/>
      <c r="M25" s="22"/>
      <c r="N25" s="22"/>
      <c r="O25" s="22"/>
      <c r="P25" s="22"/>
      <c r="Q25" s="22"/>
      <c r="R25" s="22"/>
    </row>
    <row r="26" spans="1:18" x14ac:dyDescent="0.3">
      <c r="A26" s="23"/>
    </row>
    <row r="28" spans="1:18" x14ac:dyDescent="0.3">
      <c r="A28" s="23"/>
      <c r="C28" s="15"/>
      <c r="F28" s="15"/>
      <c r="G28" s="15"/>
      <c r="J28" s="21"/>
    </row>
    <row r="29" spans="1:18" x14ac:dyDescent="0.3">
      <c r="A29" s="23"/>
      <c r="C29" s="15"/>
      <c r="F29" s="15"/>
      <c r="G29" s="15"/>
      <c r="J29" s="21"/>
    </row>
    <row r="30" spans="1:18" x14ac:dyDescent="0.3">
      <c r="A30" s="23"/>
      <c r="C30" s="15"/>
      <c r="F30" s="15"/>
      <c r="G30" s="15"/>
      <c r="J30" s="21"/>
    </row>
    <row r="31" spans="1:18" x14ac:dyDescent="0.3">
      <c r="A31" s="23"/>
      <c r="C31" s="15"/>
      <c r="F31" s="15"/>
      <c r="G31" s="15"/>
      <c r="J31" s="21"/>
    </row>
    <row r="32" spans="1:18" x14ac:dyDescent="0.3">
      <c r="A32" s="23"/>
      <c r="C32" s="15"/>
      <c r="F32" s="15"/>
      <c r="G32" s="15"/>
      <c r="J32" s="21"/>
    </row>
    <row r="33" spans="1:10" x14ac:dyDescent="0.3">
      <c r="A33" s="23"/>
      <c r="C33" s="15"/>
      <c r="F33" s="15"/>
      <c r="G33" s="15"/>
      <c r="J33" s="21"/>
    </row>
    <row r="34" spans="1:10" x14ac:dyDescent="0.3">
      <c r="A34" s="23"/>
      <c r="C34" s="15"/>
      <c r="F34" s="15"/>
      <c r="G34" s="15"/>
      <c r="J34" s="21"/>
    </row>
    <row r="35" spans="1:10" x14ac:dyDescent="0.3">
      <c r="A35" s="23"/>
      <c r="C35" s="15"/>
      <c r="F35" s="15"/>
      <c r="G35" s="15"/>
      <c r="J35" s="21"/>
    </row>
    <row r="36" spans="1:10" x14ac:dyDescent="0.3">
      <c r="A36" s="23"/>
      <c r="C36" s="15"/>
      <c r="F36" s="15"/>
      <c r="G36" s="15"/>
      <c r="J36" s="21"/>
    </row>
    <row r="37" spans="1:10" x14ac:dyDescent="0.3">
      <c r="A37" s="23"/>
      <c r="C37" s="15"/>
      <c r="F37" s="15"/>
      <c r="G37" s="15"/>
      <c r="J37" s="21"/>
    </row>
    <row r="38" spans="1:10" x14ac:dyDescent="0.3">
      <c r="A38" s="23"/>
      <c r="C38" s="15"/>
      <c r="F38" s="15"/>
      <c r="G38" s="15"/>
      <c r="J38" s="21"/>
    </row>
    <row r="39" spans="1:10" x14ac:dyDescent="0.3">
      <c r="A39" s="23"/>
      <c r="C39" s="15"/>
      <c r="F39" s="15"/>
      <c r="G39" s="15"/>
      <c r="J39" s="21"/>
    </row>
    <row r="40" spans="1:10" x14ac:dyDescent="0.3">
      <c r="A40" s="23"/>
      <c r="C40" s="15"/>
      <c r="F40" s="15"/>
      <c r="G40" s="15"/>
      <c r="J40" s="21"/>
    </row>
    <row r="41" spans="1:10" x14ac:dyDescent="0.3">
      <c r="A41" s="23"/>
      <c r="C41" s="15"/>
      <c r="F41" s="15"/>
      <c r="G41" s="15"/>
      <c r="J41" s="21"/>
    </row>
    <row r="42" spans="1:10" x14ac:dyDescent="0.3">
      <c r="A42" s="23"/>
      <c r="C42" s="15"/>
      <c r="F42" s="15"/>
      <c r="G42" s="15"/>
      <c r="J42" s="21"/>
    </row>
    <row r="43" spans="1:10" x14ac:dyDescent="0.3">
      <c r="A43" s="23"/>
      <c r="C43" s="15"/>
      <c r="F43" s="15"/>
      <c r="G43" s="15"/>
      <c r="J43" s="21"/>
    </row>
    <row r="44" spans="1:10" x14ac:dyDescent="0.3">
      <c r="A44" s="23"/>
      <c r="C44" s="15"/>
      <c r="F44" s="15"/>
      <c r="G44" s="15"/>
      <c r="J44" s="21"/>
    </row>
    <row r="45" spans="1:10" x14ac:dyDescent="0.3">
      <c r="A45" s="23"/>
      <c r="C45" s="15"/>
      <c r="F45" s="15"/>
      <c r="G45" s="15"/>
      <c r="J45" s="21"/>
    </row>
    <row r="46" spans="1:10" x14ac:dyDescent="0.3">
      <c r="A46" s="23"/>
      <c r="C46" s="15"/>
      <c r="F46" s="15"/>
      <c r="G46" s="15"/>
      <c r="J46" s="21"/>
    </row>
    <row r="47" spans="1:10" x14ac:dyDescent="0.3">
      <c r="A47" s="23"/>
      <c r="C47" s="15"/>
      <c r="F47" s="15"/>
      <c r="G47" s="15"/>
      <c r="J47" s="21"/>
    </row>
    <row r="48" spans="1:10" x14ac:dyDescent="0.3">
      <c r="A48" s="23"/>
      <c r="C48" s="15"/>
      <c r="F48" s="15"/>
      <c r="G48" s="15"/>
      <c r="J48" s="21"/>
    </row>
    <row r="49" spans="1:10" x14ac:dyDescent="0.3">
      <c r="A49" s="23"/>
      <c r="C49" s="15"/>
      <c r="F49" s="15"/>
      <c r="G49" s="15"/>
      <c r="J49" s="2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4DAC-5CA7-4614-BC99-9110A1D9622A}">
  <dimension ref="B1:R1225"/>
  <sheetViews>
    <sheetView topLeftCell="A39" zoomScale="61" zoomScaleNormal="40" workbookViewId="0">
      <selection activeCell="J82" sqref="J82"/>
    </sheetView>
  </sheetViews>
  <sheetFormatPr baseColWidth="10" defaultRowHeight="14.4" x14ac:dyDescent="0.3"/>
  <cols>
    <col min="2" max="2" width="27.33203125" bestFit="1" customWidth="1"/>
    <col min="3" max="3" width="17.33203125" bestFit="1" customWidth="1"/>
    <col min="4" max="4" width="13.88671875" bestFit="1" customWidth="1"/>
    <col min="5" max="5" width="14.109375" bestFit="1" customWidth="1"/>
    <col min="6" max="8" width="14.109375" customWidth="1"/>
    <col min="9" max="9" width="24" bestFit="1" customWidth="1"/>
    <col min="10" max="10" width="28" customWidth="1"/>
    <col min="11" max="11" width="16.44140625" bestFit="1" customWidth="1"/>
    <col min="12" max="12" width="24" bestFit="1" customWidth="1"/>
    <col min="13" max="13" width="29" customWidth="1"/>
    <col min="14" max="15" width="7.6640625" bestFit="1" customWidth="1"/>
    <col min="16" max="16" width="23.44140625" bestFit="1" customWidth="1"/>
    <col min="17" max="17" width="11.77734375" bestFit="1" customWidth="1"/>
    <col min="18" max="21" width="7.6640625" bestFit="1" customWidth="1"/>
    <col min="22" max="22" width="21.77734375" bestFit="1" customWidth="1"/>
    <col min="23" max="23" width="11.6640625" bestFit="1" customWidth="1"/>
    <col min="24" max="83" width="7.6640625" bestFit="1" customWidth="1"/>
  </cols>
  <sheetData>
    <row r="1" spans="2:18" ht="15.6" x14ac:dyDescent="0.3">
      <c r="J1" s="7"/>
    </row>
    <row r="3" spans="2:18" x14ac:dyDescent="0.3">
      <c r="B3" s="30" t="s">
        <v>1890</v>
      </c>
      <c r="C3" s="30"/>
      <c r="D3" s="30"/>
      <c r="I3" s="30" t="s">
        <v>1888</v>
      </c>
      <c r="J3" s="30"/>
      <c r="K3" s="30"/>
      <c r="L3" s="30"/>
      <c r="M3" s="30"/>
      <c r="P3" s="27" t="s">
        <v>1895</v>
      </c>
      <c r="Q3" s="28"/>
      <c r="R3" s="28"/>
    </row>
    <row r="4" spans="2:18" x14ac:dyDescent="0.3">
      <c r="P4" s="5" t="s">
        <v>1858</v>
      </c>
      <c r="Q4" t="s">
        <v>1911</v>
      </c>
    </row>
    <row r="5" spans="2:18" x14ac:dyDescent="0.3">
      <c r="B5" s="5" t="s">
        <v>1874</v>
      </c>
      <c r="C5" t="s">
        <v>1876</v>
      </c>
      <c r="F5" t="str">
        <f>B5</f>
        <v>Etiquetas de fila</v>
      </c>
      <c r="G5" t="str">
        <f>C5</f>
        <v>Suma de VALORATIONPG</v>
      </c>
      <c r="I5" s="5" t="s">
        <v>1874</v>
      </c>
      <c r="J5" t="s">
        <v>1889</v>
      </c>
      <c r="P5" t="s">
        <v>1419</v>
      </c>
      <c r="Q5">
        <v>7</v>
      </c>
    </row>
    <row r="6" spans="2:18" x14ac:dyDescent="0.3">
      <c r="B6" s="6" t="s">
        <v>1878</v>
      </c>
      <c r="C6" s="14">
        <v>23.814814814814813</v>
      </c>
      <c r="F6" t="str">
        <f>B6</f>
        <v>David Lee (2009-10)</v>
      </c>
      <c r="G6" s="24">
        <f>C6</f>
        <v>23.814814814814813</v>
      </c>
      <c r="I6" s="6" t="s">
        <v>1419</v>
      </c>
      <c r="J6">
        <v>10186</v>
      </c>
      <c r="P6" t="s">
        <v>1790</v>
      </c>
      <c r="Q6">
        <v>6</v>
      </c>
    </row>
    <row r="7" spans="2:18" x14ac:dyDescent="0.3">
      <c r="B7" s="6" t="s">
        <v>1880</v>
      </c>
      <c r="C7" s="14">
        <v>23.740259740259742</v>
      </c>
      <c r="F7" t="str">
        <f t="shared" ref="F7:G70" si="0">B7</f>
        <v>Jalen Brunson (2023-24)</v>
      </c>
      <c r="G7" s="24">
        <f t="shared" si="0"/>
        <v>23.740259740259742</v>
      </c>
      <c r="I7" s="6" t="s">
        <v>1535</v>
      </c>
      <c r="J7">
        <v>6197</v>
      </c>
      <c r="P7" t="s">
        <v>1734</v>
      </c>
      <c r="Q7">
        <v>6</v>
      </c>
    </row>
    <row r="8" spans="2:18" x14ac:dyDescent="0.3">
      <c r="B8" s="6" t="s">
        <v>1881</v>
      </c>
      <c r="C8" s="14">
        <v>23.64788732394366</v>
      </c>
      <c r="F8" t="str">
        <f t="shared" si="0"/>
        <v>Julius Randle (2020-21)</v>
      </c>
      <c r="G8" s="24">
        <f t="shared" si="0"/>
        <v>23.64788732394366</v>
      </c>
      <c r="I8" s="6" t="s">
        <v>1463</v>
      </c>
      <c r="J8">
        <v>6032</v>
      </c>
      <c r="P8" t="s">
        <v>1301</v>
      </c>
      <c r="Q8">
        <v>5</v>
      </c>
    </row>
    <row r="9" spans="2:18" x14ac:dyDescent="0.3">
      <c r="B9" s="6" t="s">
        <v>1882</v>
      </c>
      <c r="C9" s="14">
        <v>22.558441558441558</v>
      </c>
      <c r="F9" t="str">
        <f t="shared" si="0"/>
        <v>Julius Randle (2022-23)</v>
      </c>
      <c r="G9" s="24">
        <f t="shared" si="0"/>
        <v>22.558441558441558</v>
      </c>
      <c r="I9" s="6" t="s">
        <v>1697</v>
      </c>
      <c r="J9">
        <v>5269</v>
      </c>
      <c r="P9" t="s">
        <v>1738</v>
      </c>
      <c r="Q9">
        <v>5</v>
      </c>
    </row>
    <row r="10" spans="2:18" x14ac:dyDescent="0.3">
      <c r="B10" s="6" t="s">
        <v>1877</v>
      </c>
      <c r="C10" s="14">
        <v>22.311688311688311</v>
      </c>
      <c r="F10" t="str">
        <f t="shared" si="0"/>
        <v>Carmelo Anthony (2013-14)</v>
      </c>
      <c r="G10" s="24">
        <f t="shared" si="0"/>
        <v>22.311688311688311</v>
      </c>
      <c r="I10" s="6" t="s">
        <v>1498</v>
      </c>
      <c r="J10">
        <v>5232</v>
      </c>
      <c r="P10" t="s">
        <v>1463</v>
      </c>
      <c r="Q10">
        <v>5</v>
      </c>
    </row>
    <row r="11" spans="2:18" x14ac:dyDescent="0.3">
      <c r="B11" s="6" t="s">
        <v>1875</v>
      </c>
      <c r="C11" s="14">
        <v>116.07309174914809</v>
      </c>
      <c r="F11" t="str">
        <f t="shared" si="0"/>
        <v>Total general</v>
      </c>
      <c r="G11">
        <f t="shared" si="0"/>
        <v>116.07309174914809</v>
      </c>
      <c r="I11" s="6" t="s">
        <v>1875</v>
      </c>
      <c r="J11">
        <v>32916</v>
      </c>
      <c r="P11" t="s">
        <v>1547</v>
      </c>
      <c r="Q11">
        <v>5</v>
      </c>
    </row>
    <row r="12" spans="2:18" x14ac:dyDescent="0.3">
      <c r="F12">
        <f t="shared" si="0"/>
        <v>0</v>
      </c>
      <c r="G12">
        <f t="shared" si="0"/>
        <v>0</v>
      </c>
      <c r="P12" t="s">
        <v>1663</v>
      </c>
      <c r="Q12">
        <v>5</v>
      </c>
    </row>
    <row r="13" spans="2:18" x14ac:dyDescent="0.3">
      <c r="F13">
        <f t="shared" si="0"/>
        <v>0</v>
      </c>
      <c r="G13">
        <f t="shared" si="0"/>
        <v>0</v>
      </c>
      <c r="P13" t="s">
        <v>1676</v>
      </c>
      <c r="Q13">
        <v>5</v>
      </c>
    </row>
    <row r="14" spans="2:18" x14ac:dyDescent="0.3">
      <c r="B14" s="30" t="s">
        <v>1891</v>
      </c>
      <c r="C14" s="30"/>
      <c r="D14" s="30"/>
      <c r="F14" t="str">
        <f t="shared" si="0"/>
        <v>MEJORES TEMPORADAS DEFENSIVAS DEL 2000 AL 2024</v>
      </c>
      <c r="G14">
        <f t="shared" si="0"/>
        <v>0</v>
      </c>
      <c r="I14" s="30" t="s">
        <v>1897</v>
      </c>
      <c r="J14" s="30"/>
      <c r="K14" s="30"/>
      <c r="P14" t="s">
        <v>1773</v>
      </c>
      <c r="Q14">
        <v>5</v>
      </c>
    </row>
    <row r="15" spans="2:18" x14ac:dyDescent="0.3">
      <c r="F15">
        <f t="shared" si="0"/>
        <v>0</v>
      </c>
      <c r="G15">
        <f t="shared" si="0"/>
        <v>0</v>
      </c>
      <c r="P15" t="s">
        <v>1697</v>
      </c>
      <c r="Q15">
        <v>5</v>
      </c>
    </row>
    <row r="16" spans="2:18" x14ac:dyDescent="0.3">
      <c r="B16" s="5" t="s">
        <v>1874</v>
      </c>
      <c r="C16" t="s">
        <v>1894</v>
      </c>
      <c r="F16" t="str">
        <f t="shared" si="0"/>
        <v>Etiquetas de fila</v>
      </c>
      <c r="G16" t="str">
        <f t="shared" si="0"/>
        <v>Suma de DEFRTNGPG</v>
      </c>
      <c r="I16" s="5" t="s">
        <v>1874</v>
      </c>
      <c r="J16" t="s">
        <v>1898</v>
      </c>
      <c r="P16" t="s">
        <v>1498</v>
      </c>
      <c r="Q16">
        <v>5</v>
      </c>
    </row>
    <row r="17" spans="2:17" x14ac:dyDescent="0.3">
      <c r="B17" s="6" t="s">
        <v>1879</v>
      </c>
      <c r="C17" s="14">
        <v>19</v>
      </c>
      <c r="F17" t="str">
        <f t="shared" si="0"/>
        <v>Earl Barron (2012-13)</v>
      </c>
      <c r="G17">
        <f t="shared" si="0"/>
        <v>19</v>
      </c>
      <c r="I17" s="6" t="s">
        <v>1582</v>
      </c>
      <c r="J17">
        <v>-3</v>
      </c>
      <c r="P17" t="s">
        <v>1566</v>
      </c>
      <c r="Q17">
        <v>4</v>
      </c>
    </row>
    <row r="18" spans="2:17" x14ac:dyDescent="0.3">
      <c r="B18" s="6" t="s">
        <v>1883</v>
      </c>
      <c r="C18" s="14">
        <v>14.682539682539684</v>
      </c>
      <c r="F18" t="str">
        <f t="shared" si="0"/>
        <v>Marcus Camby (2000-01)</v>
      </c>
      <c r="G18">
        <f t="shared" si="0"/>
        <v>14.682539682539684</v>
      </c>
      <c r="I18" s="6" t="s">
        <v>1784</v>
      </c>
      <c r="J18">
        <v>-3</v>
      </c>
      <c r="P18" t="s">
        <v>1534</v>
      </c>
      <c r="Q18">
        <v>4</v>
      </c>
    </row>
    <row r="19" spans="2:17" x14ac:dyDescent="0.3">
      <c r="B19" s="6" t="s">
        <v>1884</v>
      </c>
      <c r="C19" s="14">
        <v>14</v>
      </c>
      <c r="F19" t="str">
        <f t="shared" si="0"/>
        <v>Marcus Camby (2001-02)</v>
      </c>
      <c r="G19">
        <f t="shared" si="0"/>
        <v>14</v>
      </c>
      <c r="I19" s="6" t="s">
        <v>1695</v>
      </c>
      <c r="J19">
        <v>-3</v>
      </c>
      <c r="P19" t="s">
        <v>1395</v>
      </c>
      <c r="Q19">
        <v>4</v>
      </c>
    </row>
    <row r="20" spans="2:17" x14ac:dyDescent="0.3">
      <c r="B20" s="6" t="s">
        <v>1885</v>
      </c>
      <c r="C20" s="14">
        <v>13.90909090909091</v>
      </c>
      <c r="F20" t="str">
        <f t="shared" si="0"/>
        <v>Zach Randolph (2008-09)</v>
      </c>
      <c r="G20">
        <f t="shared" si="0"/>
        <v>13.90909090909091</v>
      </c>
      <c r="I20" s="6" t="s">
        <v>1800</v>
      </c>
      <c r="J20">
        <v>-3</v>
      </c>
      <c r="P20" t="s">
        <v>1822</v>
      </c>
      <c r="Q20">
        <v>4</v>
      </c>
    </row>
    <row r="21" spans="2:17" x14ac:dyDescent="0.3">
      <c r="B21" s="6" t="s">
        <v>1878</v>
      </c>
      <c r="C21" s="14">
        <v>13.25925925925926</v>
      </c>
      <c r="F21" t="str">
        <f t="shared" si="0"/>
        <v>David Lee (2009-10)</v>
      </c>
      <c r="G21">
        <f t="shared" si="0"/>
        <v>13.25925925925926</v>
      </c>
      <c r="I21" s="6" t="s">
        <v>1470</v>
      </c>
      <c r="J21">
        <v>-3</v>
      </c>
      <c r="P21" t="s">
        <v>1408</v>
      </c>
      <c r="Q21">
        <v>4</v>
      </c>
    </row>
    <row r="22" spans="2:17" x14ac:dyDescent="0.3">
      <c r="B22" s="6" t="s">
        <v>1875</v>
      </c>
      <c r="C22" s="14">
        <v>74.850889850889857</v>
      </c>
      <c r="F22" t="str">
        <f t="shared" si="0"/>
        <v>Total general</v>
      </c>
      <c r="G22">
        <f t="shared" si="0"/>
        <v>74.850889850889857</v>
      </c>
      <c r="I22" s="6" t="s">
        <v>1485</v>
      </c>
      <c r="J22">
        <v>-5</v>
      </c>
      <c r="P22" t="s">
        <v>1718</v>
      </c>
      <c r="Q22">
        <v>4</v>
      </c>
    </row>
    <row r="23" spans="2:17" x14ac:dyDescent="0.3">
      <c r="F23">
        <f t="shared" si="0"/>
        <v>0</v>
      </c>
      <c r="G23">
        <f t="shared" si="0"/>
        <v>0</v>
      </c>
      <c r="I23" s="6" t="s">
        <v>1597</v>
      </c>
      <c r="J23">
        <v>-5</v>
      </c>
      <c r="P23" t="s">
        <v>1311</v>
      </c>
      <c r="Q23">
        <v>4</v>
      </c>
    </row>
    <row r="24" spans="2:17" x14ac:dyDescent="0.3">
      <c r="B24" s="29" t="s">
        <v>1895</v>
      </c>
      <c r="C24" s="29"/>
      <c r="D24" s="29"/>
      <c r="F24" t="str">
        <f t="shared" si="0"/>
        <v>JUGADORES QUE HAN PASADO POR LOS KNICKS DEL 2000 AL 2024</v>
      </c>
      <c r="G24">
        <f t="shared" si="0"/>
        <v>0</v>
      </c>
      <c r="I24" s="6" t="s">
        <v>1875</v>
      </c>
      <c r="J24">
        <v>-25</v>
      </c>
      <c r="P24" t="s">
        <v>1791</v>
      </c>
      <c r="Q24">
        <v>4</v>
      </c>
    </row>
    <row r="25" spans="2:17" x14ac:dyDescent="0.3">
      <c r="F25">
        <f t="shared" si="0"/>
        <v>0</v>
      </c>
      <c r="G25">
        <f t="shared" si="0"/>
        <v>0</v>
      </c>
      <c r="P25" t="s">
        <v>1496</v>
      </c>
      <c r="Q25">
        <v>4</v>
      </c>
    </row>
    <row r="26" spans="2:17" x14ac:dyDescent="0.3">
      <c r="B26" s="26" t="s">
        <v>1912</v>
      </c>
      <c r="F26" t="str">
        <f t="shared" si="0"/>
        <v>Jugadores únicos (listado completo en columnas P:Q →)</v>
      </c>
      <c r="G26">
        <f t="shared" si="0"/>
        <v>0</v>
      </c>
      <c r="I26" s="31" t="s">
        <v>1908</v>
      </c>
      <c r="J26" s="31"/>
      <c r="L26" s="31" t="s">
        <v>1909</v>
      </c>
      <c r="M26" s="31"/>
      <c r="P26" t="s">
        <v>1632</v>
      </c>
      <c r="Q26">
        <v>4</v>
      </c>
    </row>
    <row r="27" spans="2:17" x14ac:dyDescent="0.3">
      <c r="B27" s="25" cm="1">
        <f t="array" ref="B27">SUMPRODUCT(1/COUNTIF(KNICKS_TABLA_LIMPIA_20_to_24!A2:A409,KNICKS_TABLA_LIMPIA_20_to_24!A2:A409))</f>
        <v>219</v>
      </c>
      <c r="F27">
        <f t="shared" si="0"/>
        <v>219</v>
      </c>
      <c r="G27">
        <f t="shared" si="0"/>
        <v>0</v>
      </c>
      <c r="I27" s="5" t="s">
        <v>1874</v>
      </c>
      <c r="J27" t="s">
        <v>1906</v>
      </c>
      <c r="L27" s="5" t="s">
        <v>1874</v>
      </c>
      <c r="M27" t="s">
        <v>1907</v>
      </c>
      <c r="P27" t="s">
        <v>1446</v>
      </c>
      <c r="Q27">
        <v>4</v>
      </c>
    </row>
    <row r="28" spans="2:17" x14ac:dyDescent="0.3">
      <c r="I28" s="6" t="s">
        <v>1547</v>
      </c>
      <c r="J28" s="8">
        <v>3529</v>
      </c>
      <c r="L28" s="6" t="s">
        <v>1498</v>
      </c>
      <c r="M28" s="8">
        <v>2004</v>
      </c>
      <c r="P28" t="s">
        <v>1535</v>
      </c>
      <c r="Q28">
        <v>4</v>
      </c>
    </row>
    <row r="29" spans="2:17" x14ac:dyDescent="0.3">
      <c r="B29" s="29" t="s">
        <v>1896</v>
      </c>
      <c r="C29" s="29"/>
      <c r="D29" s="29"/>
      <c r="F29" s="32" t="str">
        <f t="shared" si="0"/>
        <v>JUGADORES CON MÁS PARTIDOS DEL 2000 AL 2024</v>
      </c>
      <c r="G29" s="32"/>
      <c r="I29" s="6" t="s">
        <v>1790</v>
      </c>
      <c r="J29" s="8">
        <v>3481</v>
      </c>
      <c r="L29" s="6" t="s">
        <v>1535</v>
      </c>
      <c r="M29" s="8">
        <v>1342</v>
      </c>
      <c r="P29" t="s">
        <v>1743</v>
      </c>
      <c r="Q29">
        <v>4</v>
      </c>
    </row>
    <row r="30" spans="2:17" x14ac:dyDescent="0.3">
      <c r="I30" s="6" t="s">
        <v>1419</v>
      </c>
      <c r="J30" s="8">
        <v>2865</v>
      </c>
      <c r="L30" s="6" t="s">
        <v>1419</v>
      </c>
      <c r="M30" s="8">
        <v>1328</v>
      </c>
      <c r="P30" t="s">
        <v>1451</v>
      </c>
      <c r="Q30">
        <v>4</v>
      </c>
    </row>
    <row r="31" spans="2:17" x14ac:dyDescent="0.3">
      <c r="B31" s="5" t="s">
        <v>1874</v>
      </c>
      <c r="C31" t="s">
        <v>1887</v>
      </c>
      <c r="F31" t="str">
        <f t="shared" si="0"/>
        <v>Etiquetas de fila</v>
      </c>
      <c r="G31" t="str">
        <f t="shared" si="0"/>
        <v>Suma de GP</v>
      </c>
      <c r="I31" s="6" t="s">
        <v>1535</v>
      </c>
      <c r="J31" s="8">
        <v>2630</v>
      </c>
      <c r="L31" s="6" t="s">
        <v>1697</v>
      </c>
      <c r="M31" s="8">
        <v>1308</v>
      </c>
      <c r="P31" t="s">
        <v>1404</v>
      </c>
      <c r="Q31">
        <v>3</v>
      </c>
    </row>
    <row r="32" spans="2:17" x14ac:dyDescent="0.3">
      <c r="B32" s="6" t="s">
        <v>1790</v>
      </c>
      <c r="C32">
        <v>439</v>
      </c>
      <c r="F32" t="str">
        <f t="shared" si="0"/>
        <v>Kurt Thomas</v>
      </c>
      <c r="G32">
        <f t="shared" si="0"/>
        <v>439</v>
      </c>
      <c r="I32" s="6" t="s">
        <v>1450</v>
      </c>
      <c r="J32" s="8">
        <v>1844</v>
      </c>
      <c r="L32" s="6" t="s">
        <v>1505</v>
      </c>
      <c r="M32" s="8">
        <v>1225</v>
      </c>
      <c r="P32" t="s">
        <v>1577</v>
      </c>
      <c r="Q32">
        <v>3</v>
      </c>
    </row>
    <row r="33" spans="2:17" x14ac:dyDescent="0.3">
      <c r="B33" s="6" t="s">
        <v>1419</v>
      </c>
      <c r="C33">
        <v>412</v>
      </c>
      <c r="F33" t="str">
        <f t="shared" si="0"/>
        <v>Carmelo Anthony</v>
      </c>
      <c r="G33">
        <f t="shared" si="0"/>
        <v>412</v>
      </c>
      <c r="I33" s="6" t="s">
        <v>1875</v>
      </c>
      <c r="J33" s="8">
        <v>14349</v>
      </c>
      <c r="L33" s="6" t="s">
        <v>1875</v>
      </c>
      <c r="M33" s="8">
        <v>7207</v>
      </c>
      <c r="P33" t="s">
        <v>1424</v>
      </c>
      <c r="Q33">
        <v>3</v>
      </c>
    </row>
    <row r="34" spans="2:17" x14ac:dyDescent="0.3">
      <c r="B34" s="6" t="s">
        <v>1547</v>
      </c>
      <c r="C34">
        <v>368</v>
      </c>
      <c r="F34" t="str">
        <f t="shared" si="0"/>
        <v>David Lee</v>
      </c>
      <c r="G34">
        <f t="shared" si="0"/>
        <v>368</v>
      </c>
      <c r="P34" t="s">
        <v>1853</v>
      </c>
      <c r="Q34">
        <v>3</v>
      </c>
    </row>
    <row r="35" spans="2:17" x14ac:dyDescent="0.3">
      <c r="B35" s="6" t="s">
        <v>1301</v>
      </c>
      <c r="C35">
        <v>312</v>
      </c>
      <c r="F35" t="str">
        <f t="shared" si="0"/>
        <v>Nate Robinson</v>
      </c>
      <c r="G35">
        <f t="shared" si="0"/>
        <v>312</v>
      </c>
      <c r="P35" t="s">
        <v>1438</v>
      </c>
      <c r="Q35">
        <v>3</v>
      </c>
    </row>
    <row r="36" spans="2:17" x14ac:dyDescent="0.3">
      <c r="B36" s="6" t="s">
        <v>1463</v>
      </c>
      <c r="C36">
        <v>307</v>
      </c>
      <c r="F36" t="str">
        <f t="shared" si="0"/>
        <v>Allan Houston</v>
      </c>
      <c r="G36">
        <f t="shared" si="0"/>
        <v>307</v>
      </c>
      <c r="P36" t="s">
        <v>1740</v>
      </c>
      <c r="Q36">
        <v>3</v>
      </c>
    </row>
    <row r="37" spans="2:17" x14ac:dyDescent="0.3">
      <c r="B37" s="6" t="s">
        <v>1875</v>
      </c>
      <c r="C37">
        <v>1838</v>
      </c>
      <c r="F37" t="str">
        <f t="shared" si="0"/>
        <v>Total general</v>
      </c>
      <c r="G37">
        <f t="shared" si="0"/>
        <v>1838</v>
      </c>
      <c r="P37" t="s">
        <v>1505</v>
      </c>
      <c r="Q37">
        <v>3</v>
      </c>
    </row>
    <row r="38" spans="2:17" x14ac:dyDescent="0.3">
      <c r="I38" t="str">
        <f>I5</f>
        <v>Etiquetas de fila</v>
      </c>
      <c r="J38" t="str">
        <f t="shared" ref="J38" si="1">J5</f>
        <v>Suma de PTS</v>
      </c>
      <c r="P38" t="s">
        <v>1612</v>
      </c>
      <c r="Q38">
        <v>3</v>
      </c>
    </row>
    <row r="39" spans="2:17" x14ac:dyDescent="0.3">
      <c r="I39" t="str">
        <f t="shared" ref="I39:J39" si="2">I6</f>
        <v>Carmelo Anthony</v>
      </c>
      <c r="J39">
        <f t="shared" si="2"/>
        <v>10186</v>
      </c>
      <c r="P39" t="s">
        <v>1607</v>
      </c>
      <c r="Q39">
        <v>3</v>
      </c>
    </row>
    <row r="40" spans="2:17" x14ac:dyDescent="0.3">
      <c r="I40" t="str">
        <f t="shared" ref="I40:J40" si="3">I7</f>
        <v>Julius Randle</v>
      </c>
      <c r="J40">
        <f t="shared" si="3"/>
        <v>6197</v>
      </c>
      <c r="P40" t="s">
        <v>1455</v>
      </c>
      <c r="Q40">
        <v>3</v>
      </c>
    </row>
    <row r="41" spans="2:17" x14ac:dyDescent="0.3">
      <c r="B41" s="29" t="s">
        <v>1904</v>
      </c>
      <c r="C41" s="29"/>
      <c r="D41" s="29"/>
      <c r="F41" t="str">
        <f t="shared" si="0"/>
        <v xml:space="preserve">EVOLUCIÓN DEL TRIPLE EN EL EQUIPO </v>
      </c>
      <c r="I41" t="str">
        <f t="shared" ref="I41:J41" si="4">I8</f>
        <v>Allan Houston</v>
      </c>
      <c r="J41">
        <f t="shared" si="4"/>
        <v>6032</v>
      </c>
      <c r="P41" t="s">
        <v>1450</v>
      </c>
      <c r="Q41">
        <v>3</v>
      </c>
    </row>
    <row r="42" spans="2:17" x14ac:dyDescent="0.3">
      <c r="I42" t="str">
        <f t="shared" ref="I42:J42" si="5">I9</f>
        <v>Jamal Crawford</v>
      </c>
      <c r="J42">
        <f t="shared" si="5"/>
        <v>5269</v>
      </c>
      <c r="P42" t="s">
        <v>1817</v>
      </c>
      <c r="Q42">
        <v>3</v>
      </c>
    </row>
    <row r="43" spans="2:17" x14ac:dyDescent="0.3">
      <c r="B43" s="5" t="s">
        <v>1874</v>
      </c>
      <c r="C43" t="s">
        <v>1905</v>
      </c>
      <c r="F43" t="str">
        <f t="shared" si="0"/>
        <v>Etiquetas de fila</v>
      </c>
      <c r="G43" t="str">
        <f t="shared" si="0"/>
        <v>Suma de FG3A</v>
      </c>
      <c r="I43" t="str">
        <f t="shared" ref="I43:J43" si="6">I10</f>
        <v>Stephon Marbury</v>
      </c>
      <c r="J43">
        <f t="shared" si="6"/>
        <v>5232</v>
      </c>
      <c r="P43" t="s">
        <v>1798</v>
      </c>
      <c r="Q43">
        <v>3</v>
      </c>
    </row>
    <row r="44" spans="2:17" x14ac:dyDescent="0.3">
      <c r="B44" s="6" t="s">
        <v>1465</v>
      </c>
      <c r="C44" s="8">
        <v>1115</v>
      </c>
      <c r="F44" t="str">
        <f t="shared" si="0"/>
        <v>2000-01</v>
      </c>
      <c r="G44">
        <f t="shared" si="0"/>
        <v>1115</v>
      </c>
      <c r="I44" t="str">
        <f t="shared" ref="I44:J44" si="7">I11</f>
        <v>Total general</v>
      </c>
      <c r="J44">
        <f t="shared" si="7"/>
        <v>32916</v>
      </c>
      <c r="P44" t="s">
        <v>1544</v>
      </c>
      <c r="Q44">
        <v>3</v>
      </c>
    </row>
    <row r="45" spans="2:17" x14ac:dyDescent="0.3">
      <c r="B45" s="6" t="s">
        <v>1330</v>
      </c>
      <c r="C45" s="8">
        <v>1344</v>
      </c>
      <c r="F45" t="str">
        <f t="shared" si="0"/>
        <v>2001-02</v>
      </c>
      <c r="G45">
        <f t="shared" si="0"/>
        <v>1344</v>
      </c>
      <c r="I45">
        <f t="shared" ref="I45:J45" si="8">I12</f>
        <v>0</v>
      </c>
      <c r="J45">
        <f t="shared" si="8"/>
        <v>0</v>
      </c>
      <c r="P45" t="s">
        <v>1630</v>
      </c>
      <c r="Q45">
        <v>3</v>
      </c>
    </row>
    <row r="46" spans="2:17" x14ac:dyDescent="0.3">
      <c r="B46" s="6" t="s">
        <v>1325</v>
      </c>
      <c r="C46" s="8">
        <v>1582</v>
      </c>
      <c r="F46" t="str">
        <f t="shared" si="0"/>
        <v>2002-03</v>
      </c>
      <c r="G46">
        <f t="shared" si="0"/>
        <v>1582</v>
      </c>
      <c r="I46">
        <f t="shared" ref="I46:J46" si="9">I13</f>
        <v>0</v>
      </c>
      <c r="J46">
        <f t="shared" si="9"/>
        <v>0</v>
      </c>
      <c r="P46" t="s">
        <v>1552</v>
      </c>
      <c r="Q46">
        <v>3</v>
      </c>
    </row>
    <row r="47" spans="2:17" x14ac:dyDescent="0.3">
      <c r="B47" s="6" t="s">
        <v>1293</v>
      </c>
      <c r="C47" s="8">
        <v>1115</v>
      </c>
      <c r="F47" t="str">
        <f t="shared" si="0"/>
        <v>2003-04</v>
      </c>
      <c r="G47">
        <f t="shared" si="0"/>
        <v>1115</v>
      </c>
      <c r="I47" t="str">
        <f t="shared" ref="I47:J47" si="10">I14</f>
        <v>PEORES JUGADORES DEL 2000 AL 2024</v>
      </c>
      <c r="J47">
        <f t="shared" si="10"/>
        <v>0</v>
      </c>
      <c r="P47" t="s">
        <v>1545</v>
      </c>
      <c r="Q47">
        <v>3</v>
      </c>
    </row>
    <row r="48" spans="2:17" x14ac:dyDescent="0.3">
      <c r="B48" s="6" t="s">
        <v>1295</v>
      </c>
      <c r="C48" s="8">
        <v>1240</v>
      </c>
      <c r="F48" t="str">
        <f t="shared" si="0"/>
        <v>2004-05</v>
      </c>
      <c r="G48">
        <f t="shared" si="0"/>
        <v>1240</v>
      </c>
      <c r="I48">
        <f t="shared" ref="I48:J48" si="11">I15</f>
        <v>0</v>
      </c>
      <c r="J48">
        <f t="shared" si="11"/>
        <v>0</v>
      </c>
      <c r="P48" t="s">
        <v>1306</v>
      </c>
      <c r="Q48">
        <v>3</v>
      </c>
    </row>
    <row r="49" spans="2:17" x14ac:dyDescent="0.3">
      <c r="B49" s="6" t="s">
        <v>1300</v>
      </c>
      <c r="C49" s="8">
        <v>884</v>
      </c>
      <c r="F49" t="str">
        <f t="shared" si="0"/>
        <v>2005-06</v>
      </c>
      <c r="G49">
        <f t="shared" si="0"/>
        <v>884</v>
      </c>
      <c r="I49" t="str">
        <f t="shared" ref="I49:J49" si="12">I16</f>
        <v>Etiquetas de fila</v>
      </c>
      <c r="J49" t="str">
        <f t="shared" si="12"/>
        <v>Suma de VALORATION</v>
      </c>
      <c r="P49" t="s">
        <v>1710</v>
      </c>
      <c r="Q49">
        <v>3</v>
      </c>
    </row>
    <row r="50" spans="2:17" x14ac:dyDescent="0.3">
      <c r="B50" s="6" t="s">
        <v>1302</v>
      </c>
      <c r="C50" s="8">
        <v>1370</v>
      </c>
      <c r="F50" t="str">
        <f t="shared" si="0"/>
        <v>2006-07</v>
      </c>
      <c r="G50">
        <f t="shared" si="0"/>
        <v>1370</v>
      </c>
      <c r="I50" t="str">
        <f t="shared" ref="I50:J50" si="13">I17</f>
        <v>Jared Harper</v>
      </c>
      <c r="J50">
        <f t="shared" si="13"/>
        <v>-3</v>
      </c>
      <c r="P50" t="s">
        <v>1280</v>
      </c>
      <c r="Q50">
        <v>3</v>
      </c>
    </row>
    <row r="51" spans="2:17" x14ac:dyDescent="0.3">
      <c r="B51" s="6" t="s">
        <v>1303</v>
      </c>
      <c r="C51" s="8">
        <v>1454</v>
      </c>
      <c r="F51" t="str">
        <f t="shared" si="0"/>
        <v>2007-08</v>
      </c>
      <c r="G51">
        <f t="shared" si="0"/>
        <v>1454</v>
      </c>
      <c r="I51" t="str">
        <f t="shared" ref="I51:J51" si="14">I18</f>
        <v>Bruno Sundov</v>
      </c>
      <c r="J51">
        <f t="shared" si="14"/>
        <v>-3</v>
      </c>
      <c r="P51" t="s">
        <v>1792</v>
      </c>
      <c r="Q51">
        <v>3</v>
      </c>
    </row>
    <row r="52" spans="2:17" x14ac:dyDescent="0.3">
      <c r="B52" s="6" t="s">
        <v>1304</v>
      </c>
      <c r="C52" s="8">
        <v>2284</v>
      </c>
      <c r="F52" t="str">
        <f t="shared" si="0"/>
        <v>2008-09</v>
      </c>
      <c r="G52">
        <f t="shared" si="0"/>
        <v>2284</v>
      </c>
      <c r="I52" t="str">
        <f t="shared" ref="I52:J52" si="15">I19</f>
        <v>Solomon Jones</v>
      </c>
      <c r="J52">
        <f t="shared" si="15"/>
        <v>-3</v>
      </c>
      <c r="P52" t="s">
        <v>1600</v>
      </c>
      <c r="Q52">
        <v>3</v>
      </c>
    </row>
    <row r="53" spans="2:17" x14ac:dyDescent="0.3">
      <c r="B53" s="6" t="s">
        <v>1305</v>
      </c>
      <c r="C53" s="8">
        <v>2145</v>
      </c>
      <c r="F53" t="str">
        <f t="shared" si="0"/>
        <v>2009-10</v>
      </c>
      <c r="G53">
        <f t="shared" si="0"/>
        <v>2145</v>
      </c>
      <c r="I53" t="str">
        <f t="shared" ref="I53:J53" si="16">I20</f>
        <v>Cezary Trybanski</v>
      </c>
      <c r="J53">
        <f t="shared" si="16"/>
        <v>-3</v>
      </c>
      <c r="P53" t="s">
        <v>1625</v>
      </c>
      <c r="Q53">
        <v>3</v>
      </c>
    </row>
    <row r="54" spans="2:17" x14ac:dyDescent="0.3">
      <c r="B54" s="6" t="s">
        <v>1312</v>
      </c>
      <c r="C54" s="8">
        <v>2081</v>
      </c>
      <c r="F54" t="str">
        <f t="shared" si="0"/>
        <v>2010-11</v>
      </c>
      <c r="G54">
        <f t="shared" si="0"/>
        <v>2081</v>
      </c>
      <c r="I54" t="str">
        <f t="shared" ref="I54:J54" si="17">I21</f>
        <v>Cheikh Samb</v>
      </c>
      <c r="J54">
        <f t="shared" si="17"/>
        <v>-3</v>
      </c>
      <c r="P54" t="s">
        <v>1501</v>
      </c>
      <c r="Q54">
        <v>3</v>
      </c>
    </row>
    <row r="55" spans="2:17" x14ac:dyDescent="0.3">
      <c r="B55" s="6" t="s">
        <v>1290</v>
      </c>
      <c r="C55" s="8">
        <v>1538</v>
      </c>
      <c r="F55" t="str">
        <f t="shared" si="0"/>
        <v>2011-12</v>
      </c>
      <c r="G55">
        <f t="shared" si="0"/>
        <v>1538</v>
      </c>
      <c r="I55" t="str">
        <f t="shared" ref="I55:J55" si="18">I22</f>
        <v>Theo Pinson</v>
      </c>
      <c r="J55">
        <f t="shared" si="18"/>
        <v>-5</v>
      </c>
      <c r="P55" t="s">
        <v>1727</v>
      </c>
      <c r="Q55">
        <v>3</v>
      </c>
    </row>
    <row r="56" spans="2:17" x14ac:dyDescent="0.3">
      <c r="B56" s="6" t="s">
        <v>1292</v>
      </c>
      <c r="C56" s="8">
        <v>2371</v>
      </c>
      <c r="F56" t="str">
        <f t="shared" si="0"/>
        <v>2012-13</v>
      </c>
      <c r="G56">
        <f t="shared" si="0"/>
        <v>2371</v>
      </c>
      <c r="I56" t="str">
        <f t="shared" ref="I56:J56" si="19">I23</f>
        <v>Charlie Brown Jr.</v>
      </c>
      <c r="J56">
        <f t="shared" si="19"/>
        <v>-5</v>
      </c>
      <c r="P56" t="s">
        <v>1592</v>
      </c>
      <c r="Q56">
        <v>3</v>
      </c>
    </row>
    <row r="57" spans="2:17" x14ac:dyDescent="0.3">
      <c r="B57" s="6" t="s">
        <v>1337</v>
      </c>
      <c r="C57" s="8">
        <v>2038</v>
      </c>
      <c r="F57" t="str">
        <f t="shared" si="0"/>
        <v>2013-14</v>
      </c>
      <c r="G57">
        <f t="shared" si="0"/>
        <v>2038</v>
      </c>
      <c r="I57" t="str">
        <f t="shared" ref="I57:J57" si="20">I24</f>
        <v>Total general</v>
      </c>
      <c r="J57">
        <f t="shared" si="20"/>
        <v>-25</v>
      </c>
      <c r="P57" t="s">
        <v>1449</v>
      </c>
      <c r="Q57">
        <v>2</v>
      </c>
    </row>
    <row r="58" spans="2:17" x14ac:dyDescent="0.3">
      <c r="B58" s="6" t="s">
        <v>1343</v>
      </c>
      <c r="C58" s="8">
        <v>1614</v>
      </c>
      <c r="F58" t="str">
        <f t="shared" si="0"/>
        <v>2014-15</v>
      </c>
      <c r="G58">
        <f t="shared" si="0"/>
        <v>1614</v>
      </c>
      <c r="P58" t="s">
        <v>1678</v>
      </c>
      <c r="Q58">
        <v>2</v>
      </c>
    </row>
    <row r="59" spans="2:17" x14ac:dyDescent="0.3">
      <c r="B59" s="6" t="s">
        <v>1279</v>
      </c>
      <c r="C59" s="8">
        <v>1762</v>
      </c>
      <c r="F59" t="str">
        <f t="shared" si="0"/>
        <v>2015-16</v>
      </c>
      <c r="G59">
        <f t="shared" si="0"/>
        <v>1762</v>
      </c>
      <c r="I59" t="str">
        <f t="shared" ref="I59:L59" si="21">I26</f>
        <v>MÁXIMOS REBOTEADORES 2000 AL 2024</v>
      </c>
      <c r="L59" t="str">
        <f t="shared" si="21"/>
        <v>MÁXIMOS ASISTENTES 2000 AL 2024</v>
      </c>
      <c r="P59" t="s">
        <v>1486</v>
      </c>
      <c r="Q59">
        <v>2</v>
      </c>
    </row>
    <row r="60" spans="2:17" x14ac:dyDescent="0.3">
      <c r="B60" s="6" t="s">
        <v>1281</v>
      </c>
      <c r="C60" s="8">
        <v>2022</v>
      </c>
      <c r="F60" t="str">
        <f t="shared" si="0"/>
        <v>2016-17</v>
      </c>
      <c r="G60">
        <f t="shared" si="0"/>
        <v>2022</v>
      </c>
      <c r="I60" t="str">
        <f t="shared" ref="I60:M60" si="22">I27</f>
        <v>Etiquetas de fila</v>
      </c>
      <c r="J60" t="str">
        <f t="shared" si="22"/>
        <v>Suma de REB</v>
      </c>
      <c r="K60">
        <f t="shared" si="22"/>
        <v>0</v>
      </c>
      <c r="L60" t="str">
        <f t="shared" si="22"/>
        <v>Etiquetas de fila</v>
      </c>
      <c r="M60" t="str">
        <f t="shared" si="22"/>
        <v>Suma de AST</v>
      </c>
      <c r="P60" t="s">
        <v>1342</v>
      </c>
      <c r="Q60">
        <v>2</v>
      </c>
    </row>
    <row r="61" spans="2:17" x14ac:dyDescent="0.3">
      <c r="B61" s="6" t="s">
        <v>1259</v>
      </c>
      <c r="C61" s="8">
        <v>1914</v>
      </c>
      <c r="F61" t="str">
        <f t="shared" si="0"/>
        <v>2017-18</v>
      </c>
      <c r="G61">
        <f t="shared" si="0"/>
        <v>1914</v>
      </c>
      <c r="I61" t="str">
        <f t="shared" ref="I61:M61" si="23">I28</f>
        <v>David Lee</v>
      </c>
      <c r="J61">
        <f t="shared" si="23"/>
        <v>3529</v>
      </c>
      <c r="K61">
        <f t="shared" si="23"/>
        <v>0</v>
      </c>
      <c r="L61" t="str">
        <f t="shared" si="23"/>
        <v>Stephon Marbury</v>
      </c>
      <c r="M61">
        <f t="shared" si="23"/>
        <v>2004</v>
      </c>
      <c r="P61" t="s">
        <v>1457</v>
      </c>
      <c r="Q61">
        <v>2</v>
      </c>
    </row>
    <row r="62" spans="2:17" x14ac:dyDescent="0.3">
      <c r="B62" s="6" t="s">
        <v>1289</v>
      </c>
      <c r="C62" s="8">
        <v>2163</v>
      </c>
      <c r="F62" t="str">
        <f t="shared" si="0"/>
        <v>2020-21</v>
      </c>
      <c r="G62">
        <f t="shared" si="0"/>
        <v>2163</v>
      </c>
      <c r="I62" t="str">
        <f t="shared" ref="I62:M62" si="24">I29</f>
        <v>Kurt Thomas</v>
      </c>
      <c r="J62">
        <f t="shared" si="24"/>
        <v>3481</v>
      </c>
      <c r="K62">
        <f t="shared" si="24"/>
        <v>0</v>
      </c>
      <c r="L62" t="str">
        <f t="shared" si="24"/>
        <v>Julius Randle</v>
      </c>
      <c r="M62">
        <f t="shared" si="24"/>
        <v>1342</v>
      </c>
      <c r="P62" t="s">
        <v>1324</v>
      </c>
      <c r="Q62">
        <v>2</v>
      </c>
    </row>
    <row r="63" spans="2:17" x14ac:dyDescent="0.3">
      <c r="B63" s="6" t="s">
        <v>1308</v>
      </c>
      <c r="C63" s="8">
        <v>3029</v>
      </c>
      <c r="F63" t="str">
        <f t="shared" si="0"/>
        <v>2021-22</v>
      </c>
      <c r="G63">
        <f t="shared" si="0"/>
        <v>3029</v>
      </c>
      <c r="I63" t="str">
        <f t="shared" ref="I63:M63" si="25">I30</f>
        <v>Carmelo Anthony</v>
      </c>
      <c r="J63">
        <f t="shared" si="25"/>
        <v>2865</v>
      </c>
      <c r="K63">
        <f t="shared" si="25"/>
        <v>0</v>
      </c>
      <c r="L63" t="str">
        <f t="shared" si="25"/>
        <v>Carmelo Anthony</v>
      </c>
      <c r="M63">
        <f t="shared" si="25"/>
        <v>1328</v>
      </c>
      <c r="P63" t="s">
        <v>1510</v>
      </c>
      <c r="Q63">
        <v>2</v>
      </c>
    </row>
    <row r="64" spans="2:17" x14ac:dyDescent="0.3">
      <c r="B64" s="6" t="s">
        <v>1327</v>
      </c>
      <c r="C64" s="8">
        <v>2930</v>
      </c>
      <c r="F64" t="str">
        <f t="shared" si="0"/>
        <v>2022-23</v>
      </c>
      <c r="G64">
        <f t="shared" si="0"/>
        <v>2930</v>
      </c>
      <c r="I64" t="str">
        <f t="shared" ref="I64:M64" si="26">I31</f>
        <v>Julius Randle</v>
      </c>
      <c r="J64">
        <f t="shared" si="26"/>
        <v>2630</v>
      </c>
      <c r="K64">
        <f t="shared" si="26"/>
        <v>0</v>
      </c>
      <c r="L64" t="str">
        <f t="shared" si="26"/>
        <v>Jamal Crawford</v>
      </c>
      <c r="M64">
        <f t="shared" si="26"/>
        <v>1308</v>
      </c>
      <c r="P64" t="s">
        <v>1735</v>
      </c>
      <c r="Q64">
        <v>2</v>
      </c>
    </row>
    <row r="65" spans="2:17" x14ac:dyDescent="0.3">
      <c r="B65" s="6" t="s">
        <v>1369</v>
      </c>
      <c r="C65" s="8">
        <v>2936</v>
      </c>
      <c r="F65" t="str">
        <f t="shared" si="0"/>
        <v>2023-24</v>
      </c>
      <c r="G65">
        <f t="shared" si="0"/>
        <v>2936</v>
      </c>
      <c r="I65" t="str">
        <f t="shared" ref="I65:M65" si="27">I32</f>
        <v>Tyson Chandler</v>
      </c>
      <c r="J65">
        <f t="shared" si="27"/>
        <v>1844</v>
      </c>
      <c r="K65">
        <f t="shared" si="27"/>
        <v>0</v>
      </c>
      <c r="L65" t="str">
        <f t="shared" si="27"/>
        <v>Raymond Felton</v>
      </c>
      <c r="M65">
        <f t="shared" si="27"/>
        <v>1225</v>
      </c>
      <c r="P65" t="s">
        <v>1553</v>
      </c>
      <c r="Q65">
        <v>2</v>
      </c>
    </row>
    <row r="66" spans="2:17" x14ac:dyDescent="0.3">
      <c r="B66" s="6" t="s">
        <v>1875</v>
      </c>
      <c r="C66" s="8">
        <v>40931</v>
      </c>
      <c r="F66" t="str">
        <f t="shared" si="0"/>
        <v>Total general</v>
      </c>
      <c r="G66">
        <f t="shared" si="0"/>
        <v>40931</v>
      </c>
      <c r="I66" t="str">
        <f t="shared" ref="I66:M66" si="28">I33</f>
        <v>Total general</v>
      </c>
      <c r="J66">
        <f t="shared" si="28"/>
        <v>14349</v>
      </c>
      <c r="K66">
        <f t="shared" si="28"/>
        <v>0</v>
      </c>
      <c r="L66" t="str">
        <f t="shared" si="28"/>
        <v>Total general</v>
      </c>
      <c r="M66">
        <f t="shared" si="28"/>
        <v>7207</v>
      </c>
      <c r="P66" t="s">
        <v>1459</v>
      </c>
      <c r="Q66">
        <v>2</v>
      </c>
    </row>
    <row r="67" spans="2:17" x14ac:dyDescent="0.3">
      <c r="B67" s="6"/>
      <c r="C67" s="8"/>
      <c r="F67">
        <f t="shared" si="0"/>
        <v>0</v>
      </c>
      <c r="G67">
        <f t="shared" si="0"/>
        <v>0</v>
      </c>
      <c r="P67" t="s">
        <v>1558</v>
      </c>
      <c r="Q67">
        <v>2</v>
      </c>
    </row>
    <row r="68" spans="2:17" x14ac:dyDescent="0.3">
      <c r="B68" s="29" t="s">
        <v>1910</v>
      </c>
      <c r="C68" s="29"/>
      <c r="D68" s="29"/>
      <c r="F68" t="str">
        <f t="shared" si="0"/>
        <v>ANOTACIONES DE CADA TEMPORADA</v>
      </c>
      <c r="G68">
        <f t="shared" si="0"/>
        <v>0</v>
      </c>
      <c r="P68" t="s">
        <v>1559</v>
      </c>
      <c r="Q68">
        <v>2</v>
      </c>
    </row>
    <row r="69" spans="2:17" x14ac:dyDescent="0.3">
      <c r="B69" s="5" t="s">
        <v>1857</v>
      </c>
      <c r="C69" t="s">
        <v>1327</v>
      </c>
      <c r="F69" t="str">
        <f t="shared" si="0"/>
        <v>SEASON</v>
      </c>
      <c r="G69" t="str">
        <f t="shared" si="0"/>
        <v>2022-23</v>
      </c>
      <c r="P69" t="s">
        <v>1814</v>
      </c>
      <c r="Q69">
        <v>2</v>
      </c>
    </row>
    <row r="70" spans="2:17" x14ac:dyDescent="0.3">
      <c r="F70">
        <f t="shared" si="0"/>
        <v>0</v>
      </c>
      <c r="G70">
        <f t="shared" si="0"/>
        <v>0</v>
      </c>
      <c r="P70" t="s">
        <v>1388</v>
      </c>
      <c r="Q70">
        <v>2</v>
      </c>
    </row>
    <row r="71" spans="2:17" x14ac:dyDescent="0.3">
      <c r="B71" s="5" t="s">
        <v>1874</v>
      </c>
      <c r="C71" t="s">
        <v>1889</v>
      </c>
      <c r="F71" t="str">
        <f t="shared" ref="F71:G89" si="29">B71</f>
        <v>Etiquetas de fila</v>
      </c>
      <c r="G71" t="str">
        <f t="shared" si="29"/>
        <v>Suma de PTS</v>
      </c>
      <c r="P71" t="s">
        <v>1567</v>
      </c>
      <c r="Q71">
        <v>2</v>
      </c>
    </row>
    <row r="72" spans="2:17" x14ac:dyDescent="0.3">
      <c r="B72" s="6" t="s">
        <v>1535</v>
      </c>
      <c r="C72" s="8">
        <v>1936</v>
      </c>
      <c r="F72" t="str">
        <f t="shared" si="29"/>
        <v>Julius Randle</v>
      </c>
      <c r="G72">
        <f t="shared" si="29"/>
        <v>1936</v>
      </c>
      <c r="P72" t="s">
        <v>1530</v>
      </c>
      <c r="Q72">
        <v>2</v>
      </c>
    </row>
    <row r="73" spans="2:17" x14ac:dyDescent="0.3">
      <c r="B73" s="6" t="s">
        <v>1591</v>
      </c>
      <c r="C73" s="8">
        <v>1633</v>
      </c>
      <c r="F73" t="str">
        <f t="shared" si="29"/>
        <v>Jalen Brunson</v>
      </c>
      <c r="G73">
        <f t="shared" si="29"/>
        <v>1633</v>
      </c>
      <c r="P73" t="s">
        <v>1571</v>
      </c>
      <c r="Q73">
        <v>2</v>
      </c>
    </row>
    <row r="74" spans="2:17" x14ac:dyDescent="0.3">
      <c r="B74" s="6" t="s">
        <v>1395</v>
      </c>
      <c r="C74" s="8">
        <v>1431</v>
      </c>
      <c r="F74" t="str">
        <f t="shared" si="29"/>
        <v>RJ Barrett</v>
      </c>
      <c r="G74">
        <f t="shared" si="29"/>
        <v>1431</v>
      </c>
      <c r="P74" t="s">
        <v>1421</v>
      </c>
      <c r="Q74">
        <v>2</v>
      </c>
    </row>
    <row r="75" spans="2:17" x14ac:dyDescent="0.3">
      <c r="B75" s="6" t="s">
        <v>1496</v>
      </c>
      <c r="C75" s="8">
        <v>1209</v>
      </c>
      <c r="F75" t="str">
        <f t="shared" si="29"/>
        <v>Immanuel Quickley</v>
      </c>
      <c r="G75">
        <f t="shared" si="29"/>
        <v>1209</v>
      </c>
      <c r="P75" t="s">
        <v>1784</v>
      </c>
      <c r="Q75">
        <v>2</v>
      </c>
    </row>
    <row r="76" spans="2:17" x14ac:dyDescent="0.3">
      <c r="B76" s="6" t="s">
        <v>1630</v>
      </c>
      <c r="C76" s="8">
        <v>799</v>
      </c>
      <c r="F76" t="str">
        <f t="shared" si="29"/>
        <v>Quentin Grimes</v>
      </c>
      <c r="G76">
        <f t="shared" si="29"/>
        <v>799</v>
      </c>
      <c r="P76" t="s">
        <v>1673</v>
      </c>
      <c r="Q76">
        <v>2</v>
      </c>
    </row>
    <row r="77" spans="2:17" x14ac:dyDescent="0.3">
      <c r="B77" s="6" t="s">
        <v>1798</v>
      </c>
      <c r="C77" s="8">
        <v>497</v>
      </c>
      <c r="F77" t="str">
        <f t="shared" si="29"/>
        <v>Obi Toppin</v>
      </c>
      <c r="G77">
        <f t="shared" si="29"/>
        <v>497</v>
      </c>
      <c r="P77" t="s">
        <v>1583</v>
      </c>
      <c r="Q77">
        <v>2</v>
      </c>
    </row>
    <row r="78" spans="2:17" x14ac:dyDescent="0.3">
      <c r="B78" s="6" t="s">
        <v>1534</v>
      </c>
      <c r="C78" s="8">
        <v>435</v>
      </c>
      <c r="F78" t="str">
        <f t="shared" si="29"/>
        <v>Mitchell Robinson</v>
      </c>
      <c r="G78">
        <f t="shared" si="29"/>
        <v>435</v>
      </c>
      <c r="P78" t="s">
        <v>1757</v>
      </c>
      <c r="Q78">
        <v>2</v>
      </c>
    </row>
    <row r="79" spans="2:17" x14ac:dyDescent="0.3">
      <c r="B79" s="6" t="s">
        <v>1558</v>
      </c>
      <c r="C79" s="8">
        <v>406</v>
      </c>
      <c r="F79" t="str">
        <f t="shared" si="29"/>
        <v>Isaiah Hartenstein</v>
      </c>
      <c r="G79">
        <f t="shared" si="29"/>
        <v>406</v>
      </c>
      <c r="P79" t="s">
        <v>1351</v>
      </c>
      <c r="Q79">
        <v>2</v>
      </c>
    </row>
    <row r="80" spans="2:17" x14ac:dyDescent="0.3">
      <c r="B80" s="6" t="s">
        <v>1562</v>
      </c>
      <c r="C80" s="8">
        <v>256</v>
      </c>
      <c r="F80" t="str">
        <f t="shared" si="29"/>
        <v>Josh Hart</v>
      </c>
      <c r="G80">
        <f t="shared" si="29"/>
        <v>256</v>
      </c>
      <c r="P80" t="s">
        <v>1788</v>
      </c>
      <c r="Q80">
        <v>2</v>
      </c>
    </row>
    <row r="81" spans="2:17" x14ac:dyDescent="0.3">
      <c r="B81" s="6" t="s">
        <v>1438</v>
      </c>
      <c r="C81" s="8">
        <v>222</v>
      </c>
      <c r="F81" t="str">
        <f t="shared" si="29"/>
        <v>Miles McBride</v>
      </c>
      <c r="G81">
        <f t="shared" si="29"/>
        <v>222</v>
      </c>
      <c r="P81" t="s">
        <v>1519</v>
      </c>
      <c r="Q81">
        <v>2</v>
      </c>
    </row>
    <row r="82" spans="2:17" x14ac:dyDescent="0.3">
      <c r="B82" s="6" t="s">
        <v>1552</v>
      </c>
      <c r="C82" s="8">
        <v>178</v>
      </c>
      <c r="F82" t="str">
        <f t="shared" si="29"/>
        <v>Jericho Sims</v>
      </c>
      <c r="G82">
        <f t="shared" si="29"/>
        <v>178</v>
      </c>
      <c r="P82" t="s">
        <v>1608</v>
      </c>
      <c r="Q82">
        <v>2</v>
      </c>
    </row>
    <row r="83" spans="2:17" x14ac:dyDescent="0.3">
      <c r="B83" s="6" t="s">
        <v>1678</v>
      </c>
      <c r="C83" s="8">
        <v>168</v>
      </c>
      <c r="F83" t="str">
        <f t="shared" si="29"/>
        <v>Cam Reddish</v>
      </c>
      <c r="G83">
        <f t="shared" si="29"/>
        <v>168</v>
      </c>
      <c r="P83" t="s">
        <v>1591</v>
      </c>
      <c r="Q83">
        <v>2</v>
      </c>
    </row>
    <row r="84" spans="2:17" x14ac:dyDescent="0.3">
      <c r="B84" s="6" t="s">
        <v>1455</v>
      </c>
      <c r="C84" s="8">
        <v>165</v>
      </c>
      <c r="F84" t="str">
        <f t="shared" si="29"/>
        <v>Evan Fournier</v>
      </c>
      <c r="G84">
        <f t="shared" si="29"/>
        <v>165</v>
      </c>
      <c r="P84" t="s">
        <v>1786</v>
      </c>
      <c r="Q84">
        <v>2</v>
      </c>
    </row>
    <row r="85" spans="2:17" x14ac:dyDescent="0.3">
      <c r="B85" s="6" t="s">
        <v>1408</v>
      </c>
      <c r="C85" s="8">
        <v>152</v>
      </c>
      <c r="F85" t="str">
        <f t="shared" si="29"/>
        <v>Derrick Rose</v>
      </c>
      <c r="G85">
        <f t="shared" si="29"/>
        <v>152</v>
      </c>
      <c r="P85" t="s">
        <v>1758</v>
      </c>
      <c r="Q85">
        <v>2</v>
      </c>
    </row>
    <row r="86" spans="2:17" x14ac:dyDescent="0.3">
      <c r="B86" s="6" t="s">
        <v>1328</v>
      </c>
      <c r="C86" s="8">
        <v>21</v>
      </c>
      <c r="F86" t="str">
        <f t="shared" si="29"/>
        <v>Svi Mykhailiuk</v>
      </c>
      <c r="G86">
        <f t="shared" si="29"/>
        <v>21</v>
      </c>
      <c r="P86" t="s">
        <v>1286</v>
      </c>
      <c r="Q86">
        <v>2</v>
      </c>
    </row>
    <row r="87" spans="2:17" x14ac:dyDescent="0.3">
      <c r="B87" s="6" t="s">
        <v>1665</v>
      </c>
      <c r="C87" s="8">
        <v>3</v>
      </c>
      <c r="F87" t="str">
        <f t="shared" si="29"/>
        <v>Trevor Keels</v>
      </c>
      <c r="G87">
        <f t="shared" si="29"/>
        <v>3</v>
      </c>
      <c r="P87" t="s">
        <v>1291</v>
      </c>
      <c r="Q87">
        <v>2</v>
      </c>
    </row>
    <row r="88" spans="2:17" x14ac:dyDescent="0.3">
      <c r="B88" s="6" t="s">
        <v>1424</v>
      </c>
      <c r="C88" s="8">
        <v>3</v>
      </c>
      <c r="F88" t="str">
        <f t="shared" si="29"/>
        <v>Ryan Arcidiacono</v>
      </c>
      <c r="G88">
        <f t="shared" si="29"/>
        <v>3</v>
      </c>
      <c r="P88" t="s">
        <v>1588</v>
      </c>
      <c r="Q88">
        <v>2</v>
      </c>
    </row>
    <row r="89" spans="2:17" x14ac:dyDescent="0.3">
      <c r="B89" s="6" t="s">
        <v>1875</v>
      </c>
      <c r="C89" s="8">
        <v>9514</v>
      </c>
      <c r="F89" t="str">
        <f t="shared" si="29"/>
        <v>Total general</v>
      </c>
      <c r="G89">
        <f t="shared" si="29"/>
        <v>9514</v>
      </c>
      <c r="P89" t="s">
        <v>1309</v>
      </c>
      <c r="Q89">
        <v>2</v>
      </c>
    </row>
    <row r="90" spans="2:17" x14ac:dyDescent="0.3">
      <c r="P90" t="s">
        <v>1294</v>
      </c>
      <c r="Q90">
        <v>2</v>
      </c>
    </row>
    <row r="91" spans="2:17" x14ac:dyDescent="0.3">
      <c r="P91" t="s">
        <v>1562</v>
      </c>
      <c r="Q91">
        <v>2</v>
      </c>
    </row>
    <row r="92" spans="2:17" x14ac:dyDescent="0.3">
      <c r="P92" t="s">
        <v>1364</v>
      </c>
      <c r="Q92">
        <v>2</v>
      </c>
    </row>
    <row r="93" spans="2:17" x14ac:dyDescent="0.3">
      <c r="P93" t="s">
        <v>1368</v>
      </c>
      <c r="Q93">
        <v>2</v>
      </c>
    </row>
    <row r="94" spans="2:17" x14ac:dyDescent="0.3">
      <c r="P94" t="s">
        <v>1307</v>
      </c>
      <c r="Q94">
        <v>2</v>
      </c>
    </row>
    <row r="95" spans="2:17" x14ac:dyDescent="0.3">
      <c r="P95" t="s">
        <v>1616</v>
      </c>
      <c r="Q95">
        <v>2</v>
      </c>
    </row>
    <row r="96" spans="2:17" x14ac:dyDescent="0.3">
      <c r="P96" t="s">
        <v>1834</v>
      </c>
      <c r="Q96">
        <v>2</v>
      </c>
    </row>
    <row r="97" spans="16:17" x14ac:dyDescent="0.3">
      <c r="P97" t="s">
        <v>1774</v>
      </c>
      <c r="Q97">
        <v>2</v>
      </c>
    </row>
    <row r="98" spans="16:17" x14ac:dyDescent="0.3">
      <c r="P98" t="s">
        <v>1772</v>
      </c>
      <c r="Q98">
        <v>2</v>
      </c>
    </row>
    <row r="99" spans="16:17" x14ac:dyDescent="0.3">
      <c r="P99" t="s">
        <v>1494</v>
      </c>
      <c r="Q99">
        <v>2</v>
      </c>
    </row>
    <row r="100" spans="16:17" x14ac:dyDescent="0.3">
      <c r="P100" t="s">
        <v>1733</v>
      </c>
      <c r="Q100">
        <v>1</v>
      </c>
    </row>
    <row r="101" spans="16:17" x14ac:dyDescent="0.3">
      <c r="P101" t="s">
        <v>1840</v>
      </c>
      <c r="Q101">
        <v>1</v>
      </c>
    </row>
    <row r="102" spans="16:17" x14ac:dyDescent="0.3">
      <c r="P102" t="s">
        <v>1584</v>
      </c>
      <c r="Q102">
        <v>1</v>
      </c>
    </row>
    <row r="103" spans="16:17" x14ac:dyDescent="0.3">
      <c r="P103" t="s">
        <v>1310</v>
      </c>
      <c r="Q103">
        <v>1</v>
      </c>
    </row>
    <row r="104" spans="16:17" x14ac:dyDescent="0.3">
      <c r="P104" t="s">
        <v>1662</v>
      </c>
      <c r="Q104">
        <v>1</v>
      </c>
    </row>
    <row r="105" spans="16:17" x14ac:dyDescent="0.3">
      <c r="P105" t="s">
        <v>1765</v>
      </c>
      <c r="Q105">
        <v>1</v>
      </c>
    </row>
    <row r="106" spans="16:17" x14ac:dyDescent="0.3">
      <c r="P106" t="s">
        <v>1703</v>
      </c>
      <c r="Q106">
        <v>1</v>
      </c>
    </row>
    <row r="107" spans="16:17" x14ac:dyDescent="0.3">
      <c r="P107" t="s">
        <v>1426</v>
      </c>
      <c r="Q107">
        <v>1</v>
      </c>
    </row>
    <row r="108" spans="16:17" x14ac:dyDescent="0.3">
      <c r="P108" t="s">
        <v>1707</v>
      </c>
      <c r="Q108">
        <v>1</v>
      </c>
    </row>
    <row r="109" spans="16:17" x14ac:dyDescent="0.3">
      <c r="P109" t="s">
        <v>1682</v>
      </c>
      <c r="Q109">
        <v>1</v>
      </c>
    </row>
    <row r="110" spans="16:17" x14ac:dyDescent="0.3">
      <c r="P110" t="s">
        <v>1436</v>
      </c>
      <c r="Q110">
        <v>1</v>
      </c>
    </row>
    <row r="111" spans="16:17" x14ac:dyDescent="0.3">
      <c r="P111" t="s">
        <v>1855</v>
      </c>
      <c r="Q111">
        <v>1</v>
      </c>
    </row>
    <row r="112" spans="16:17" x14ac:dyDescent="0.3">
      <c r="P112" t="s">
        <v>1533</v>
      </c>
      <c r="Q112">
        <v>1</v>
      </c>
    </row>
    <row r="113" spans="16:17" x14ac:dyDescent="0.3">
      <c r="P113" t="s">
        <v>1779</v>
      </c>
      <c r="Q113">
        <v>1</v>
      </c>
    </row>
    <row r="114" spans="16:17" x14ac:dyDescent="0.3">
      <c r="P114" t="s">
        <v>1472</v>
      </c>
      <c r="Q114">
        <v>1</v>
      </c>
    </row>
    <row r="115" spans="16:17" x14ac:dyDescent="0.3">
      <c r="P115" t="s">
        <v>1491</v>
      </c>
      <c r="Q115">
        <v>1</v>
      </c>
    </row>
    <row r="116" spans="16:17" x14ac:dyDescent="0.3">
      <c r="P116" t="s">
        <v>1821</v>
      </c>
      <c r="Q116">
        <v>1</v>
      </c>
    </row>
    <row r="117" spans="16:17" x14ac:dyDescent="0.3">
      <c r="P117" t="s">
        <v>1691</v>
      </c>
      <c r="Q117">
        <v>1</v>
      </c>
    </row>
    <row r="118" spans="16:17" x14ac:dyDescent="0.3">
      <c r="P118" t="s">
        <v>1471</v>
      </c>
      <c r="Q118">
        <v>1</v>
      </c>
    </row>
    <row r="119" spans="16:17" x14ac:dyDescent="0.3">
      <c r="P119" t="s">
        <v>1760</v>
      </c>
      <c r="Q119">
        <v>1</v>
      </c>
    </row>
    <row r="120" spans="16:17" x14ac:dyDescent="0.3">
      <c r="P120" t="s">
        <v>1370</v>
      </c>
      <c r="Q120">
        <v>1</v>
      </c>
    </row>
    <row r="121" spans="16:17" x14ac:dyDescent="0.3">
      <c r="P121" t="s">
        <v>1508</v>
      </c>
      <c r="Q121">
        <v>1</v>
      </c>
    </row>
    <row r="122" spans="16:17" x14ac:dyDescent="0.3">
      <c r="P122" t="s">
        <v>1470</v>
      </c>
      <c r="Q122">
        <v>1</v>
      </c>
    </row>
    <row r="123" spans="16:17" x14ac:dyDescent="0.3">
      <c r="P123" t="s">
        <v>1712</v>
      </c>
      <c r="Q123">
        <v>1</v>
      </c>
    </row>
    <row r="124" spans="16:17" x14ac:dyDescent="0.3">
      <c r="P124" t="s">
        <v>1346</v>
      </c>
      <c r="Q124">
        <v>1</v>
      </c>
    </row>
    <row r="125" spans="16:17" x14ac:dyDescent="0.3">
      <c r="P125" t="s">
        <v>1576</v>
      </c>
      <c r="Q125">
        <v>1</v>
      </c>
    </row>
    <row r="126" spans="16:17" x14ac:dyDescent="0.3">
      <c r="P126" t="s">
        <v>1551</v>
      </c>
      <c r="Q126">
        <v>1</v>
      </c>
    </row>
    <row r="127" spans="16:17" x14ac:dyDescent="0.3">
      <c r="P127" t="s">
        <v>1605</v>
      </c>
      <c r="Q127">
        <v>1</v>
      </c>
    </row>
    <row r="128" spans="16:17" x14ac:dyDescent="0.3">
      <c r="P128" t="s">
        <v>1805</v>
      </c>
      <c r="Q128">
        <v>1</v>
      </c>
    </row>
    <row r="129" spans="16:17" x14ac:dyDescent="0.3">
      <c r="P129" t="s">
        <v>1724</v>
      </c>
      <c r="Q129">
        <v>1</v>
      </c>
    </row>
    <row r="130" spans="16:17" x14ac:dyDescent="0.3">
      <c r="P130" t="s">
        <v>1490</v>
      </c>
      <c r="Q130">
        <v>1</v>
      </c>
    </row>
    <row r="131" spans="16:17" x14ac:dyDescent="0.3">
      <c r="P131" t="s">
        <v>1374</v>
      </c>
      <c r="Q131">
        <v>1</v>
      </c>
    </row>
    <row r="132" spans="16:17" x14ac:dyDescent="0.3">
      <c r="P132" t="s">
        <v>1636</v>
      </c>
      <c r="Q132">
        <v>1</v>
      </c>
    </row>
    <row r="133" spans="16:17" x14ac:dyDescent="0.3">
      <c r="P133" t="s">
        <v>1499</v>
      </c>
      <c r="Q133">
        <v>1</v>
      </c>
    </row>
    <row r="134" spans="16:17" x14ac:dyDescent="0.3">
      <c r="P134" t="s">
        <v>1375</v>
      </c>
      <c r="Q134">
        <v>1</v>
      </c>
    </row>
    <row r="135" spans="16:17" x14ac:dyDescent="0.3">
      <c r="P135" t="s">
        <v>1810</v>
      </c>
      <c r="Q135">
        <v>1</v>
      </c>
    </row>
    <row r="136" spans="16:17" x14ac:dyDescent="0.3">
      <c r="P136" t="s">
        <v>1564</v>
      </c>
      <c r="Q136">
        <v>1</v>
      </c>
    </row>
    <row r="137" spans="16:17" x14ac:dyDescent="0.3">
      <c r="P137" t="s">
        <v>1461</v>
      </c>
      <c r="Q137">
        <v>1</v>
      </c>
    </row>
    <row r="138" spans="16:17" x14ac:dyDescent="0.3">
      <c r="P138" t="s">
        <v>1800</v>
      </c>
      <c r="Q138">
        <v>1</v>
      </c>
    </row>
    <row r="139" spans="16:17" x14ac:dyDescent="0.3">
      <c r="P139" t="s">
        <v>1818</v>
      </c>
      <c r="Q139">
        <v>1</v>
      </c>
    </row>
    <row r="140" spans="16:17" x14ac:dyDescent="0.3">
      <c r="P140" t="s">
        <v>1620</v>
      </c>
      <c r="Q140">
        <v>1</v>
      </c>
    </row>
    <row r="141" spans="16:17" x14ac:dyDescent="0.3">
      <c r="P141" t="s">
        <v>1833</v>
      </c>
      <c r="Q141">
        <v>1</v>
      </c>
    </row>
    <row r="142" spans="16:17" x14ac:dyDescent="0.3">
      <c r="P142" t="s">
        <v>1379</v>
      </c>
      <c r="Q142">
        <v>1</v>
      </c>
    </row>
    <row r="143" spans="16:17" x14ac:dyDescent="0.3">
      <c r="P143" t="s">
        <v>1334</v>
      </c>
      <c r="Q143">
        <v>1</v>
      </c>
    </row>
    <row r="144" spans="16:17" x14ac:dyDescent="0.3">
      <c r="P144" t="s">
        <v>1570</v>
      </c>
      <c r="Q144">
        <v>1</v>
      </c>
    </row>
    <row r="145" spans="16:17" x14ac:dyDescent="0.3">
      <c r="P145" t="s">
        <v>1401</v>
      </c>
      <c r="Q145">
        <v>1</v>
      </c>
    </row>
    <row r="146" spans="16:17" x14ac:dyDescent="0.3">
      <c r="P146" t="s">
        <v>1695</v>
      </c>
      <c r="Q146">
        <v>1</v>
      </c>
    </row>
    <row r="147" spans="16:17" x14ac:dyDescent="0.3">
      <c r="P147" t="s">
        <v>1579</v>
      </c>
      <c r="Q147">
        <v>1</v>
      </c>
    </row>
    <row r="148" spans="16:17" x14ac:dyDescent="0.3">
      <c r="P148" t="s">
        <v>1328</v>
      </c>
      <c r="Q148">
        <v>1</v>
      </c>
    </row>
    <row r="149" spans="16:17" x14ac:dyDescent="0.3">
      <c r="P149" t="s">
        <v>1347</v>
      </c>
      <c r="Q149">
        <v>1</v>
      </c>
    </row>
    <row r="150" spans="16:17" x14ac:dyDescent="0.3">
      <c r="P150" t="s">
        <v>1829</v>
      </c>
      <c r="Q150">
        <v>1</v>
      </c>
    </row>
    <row r="151" spans="16:17" x14ac:dyDescent="0.3">
      <c r="P151" t="s">
        <v>1618</v>
      </c>
      <c r="Q151">
        <v>1</v>
      </c>
    </row>
    <row r="152" spans="16:17" x14ac:dyDescent="0.3">
      <c r="P152" t="s">
        <v>1338</v>
      </c>
      <c r="Q152">
        <v>1</v>
      </c>
    </row>
    <row r="153" spans="16:17" x14ac:dyDescent="0.3">
      <c r="P153" t="s">
        <v>1659</v>
      </c>
      <c r="Q153">
        <v>1</v>
      </c>
    </row>
    <row r="154" spans="16:17" x14ac:dyDescent="0.3">
      <c r="P154" t="s">
        <v>1775</v>
      </c>
      <c r="Q154">
        <v>1</v>
      </c>
    </row>
    <row r="155" spans="16:17" x14ac:dyDescent="0.3">
      <c r="P155" t="s">
        <v>1586</v>
      </c>
      <c r="Q155">
        <v>1</v>
      </c>
    </row>
    <row r="156" spans="16:17" x14ac:dyDescent="0.3">
      <c r="P156" t="s">
        <v>1617</v>
      </c>
      <c r="Q156">
        <v>1</v>
      </c>
    </row>
    <row r="157" spans="16:17" x14ac:dyDescent="0.3">
      <c r="P157" t="s">
        <v>1427</v>
      </c>
      <c r="Q157">
        <v>1</v>
      </c>
    </row>
    <row r="158" spans="16:17" x14ac:dyDescent="0.3">
      <c r="P158" t="s">
        <v>1541</v>
      </c>
      <c r="Q158">
        <v>1</v>
      </c>
    </row>
    <row r="159" spans="16:17" x14ac:dyDescent="0.3">
      <c r="P159" t="s">
        <v>1845</v>
      </c>
      <c r="Q159">
        <v>1</v>
      </c>
    </row>
    <row r="160" spans="16:17" x14ac:dyDescent="0.3">
      <c r="P160" t="s">
        <v>1700</v>
      </c>
      <c r="Q160">
        <v>1</v>
      </c>
    </row>
    <row r="161" spans="16:17" x14ac:dyDescent="0.3">
      <c r="P161" t="s">
        <v>1709</v>
      </c>
      <c r="Q161">
        <v>1</v>
      </c>
    </row>
    <row r="162" spans="16:17" x14ac:dyDescent="0.3">
      <c r="P162" t="s">
        <v>1524</v>
      </c>
      <c r="Q162">
        <v>1</v>
      </c>
    </row>
    <row r="163" spans="16:17" x14ac:dyDescent="0.3">
      <c r="P163" t="s">
        <v>1331</v>
      </c>
      <c r="Q163">
        <v>1</v>
      </c>
    </row>
    <row r="164" spans="16:17" x14ac:dyDescent="0.3">
      <c r="P164" t="s">
        <v>1831</v>
      </c>
      <c r="Q164">
        <v>1</v>
      </c>
    </row>
    <row r="165" spans="16:17" x14ac:dyDescent="0.3">
      <c r="P165" t="s">
        <v>1771</v>
      </c>
      <c r="Q165">
        <v>1</v>
      </c>
    </row>
    <row r="166" spans="16:17" x14ac:dyDescent="0.3">
      <c r="P166" t="s">
        <v>1762</v>
      </c>
      <c r="Q166">
        <v>1</v>
      </c>
    </row>
    <row r="167" spans="16:17" x14ac:dyDescent="0.3">
      <c r="P167" t="s">
        <v>1755</v>
      </c>
      <c r="Q167">
        <v>1</v>
      </c>
    </row>
    <row r="168" spans="16:17" x14ac:dyDescent="0.3">
      <c r="P168" t="s">
        <v>1483</v>
      </c>
      <c r="Q168">
        <v>1</v>
      </c>
    </row>
    <row r="169" spans="16:17" x14ac:dyDescent="0.3">
      <c r="P169" t="s">
        <v>1326</v>
      </c>
      <c r="Q169">
        <v>1</v>
      </c>
    </row>
    <row r="170" spans="16:17" x14ac:dyDescent="0.3">
      <c r="P170" t="s">
        <v>1848</v>
      </c>
      <c r="Q170">
        <v>1</v>
      </c>
    </row>
    <row r="171" spans="16:17" x14ac:dyDescent="0.3">
      <c r="P171" t="s">
        <v>1477</v>
      </c>
      <c r="Q171">
        <v>1</v>
      </c>
    </row>
    <row r="172" spans="16:17" x14ac:dyDescent="0.3">
      <c r="P172" t="s">
        <v>1806</v>
      </c>
      <c r="Q172">
        <v>1</v>
      </c>
    </row>
    <row r="173" spans="16:17" x14ac:dyDescent="0.3">
      <c r="P173" t="s">
        <v>1529</v>
      </c>
      <c r="Q173">
        <v>1</v>
      </c>
    </row>
    <row r="174" spans="16:17" x14ac:dyDescent="0.3">
      <c r="P174" t="s">
        <v>1484</v>
      </c>
      <c r="Q174">
        <v>1</v>
      </c>
    </row>
    <row r="175" spans="16:17" x14ac:dyDescent="0.3">
      <c r="P175" t="s">
        <v>1606</v>
      </c>
      <c r="Q175">
        <v>1</v>
      </c>
    </row>
    <row r="176" spans="16:17" x14ac:dyDescent="0.3">
      <c r="P176" t="s">
        <v>1741</v>
      </c>
      <c r="Q176">
        <v>1</v>
      </c>
    </row>
    <row r="177" spans="16:17" x14ac:dyDescent="0.3">
      <c r="P177" t="s">
        <v>1473</v>
      </c>
      <c r="Q177">
        <v>1</v>
      </c>
    </row>
    <row r="178" spans="16:17" x14ac:dyDescent="0.3">
      <c r="P178" t="s">
        <v>1557</v>
      </c>
      <c r="Q178">
        <v>1</v>
      </c>
    </row>
    <row r="179" spans="16:17" x14ac:dyDescent="0.3">
      <c r="P179" t="s">
        <v>1825</v>
      </c>
      <c r="Q179">
        <v>1</v>
      </c>
    </row>
    <row r="180" spans="16:17" x14ac:dyDescent="0.3">
      <c r="P180" t="s">
        <v>1525</v>
      </c>
      <c r="Q180">
        <v>1</v>
      </c>
    </row>
    <row r="181" spans="16:17" x14ac:dyDescent="0.3">
      <c r="P181" t="s">
        <v>1613</v>
      </c>
      <c r="Q181">
        <v>1</v>
      </c>
    </row>
    <row r="182" spans="16:17" x14ac:dyDescent="0.3">
      <c r="P182" t="s">
        <v>1512</v>
      </c>
      <c r="Q182">
        <v>1</v>
      </c>
    </row>
    <row r="183" spans="16:17" x14ac:dyDescent="0.3">
      <c r="P183" t="s">
        <v>1711</v>
      </c>
      <c r="Q183">
        <v>1</v>
      </c>
    </row>
    <row r="184" spans="16:17" x14ac:dyDescent="0.3">
      <c r="P184" t="s">
        <v>1802</v>
      </c>
      <c r="Q184">
        <v>1</v>
      </c>
    </row>
    <row r="185" spans="16:17" x14ac:dyDescent="0.3">
      <c r="P185" t="s">
        <v>1581</v>
      </c>
      <c r="Q185">
        <v>1</v>
      </c>
    </row>
    <row r="186" spans="16:17" x14ac:dyDescent="0.3">
      <c r="P186" t="s">
        <v>1671</v>
      </c>
      <c r="Q186">
        <v>1</v>
      </c>
    </row>
    <row r="187" spans="16:17" x14ac:dyDescent="0.3">
      <c r="P187" t="s">
        <v>1440</v>
      </c>
      <c r="Q187">
        <v>1</v>
      </c>
    </row>
    <row r="188" spans="16:17" x14ac:dyDescent="0.3">
      <c r="P188" t="s">
        <v>1391</v>
      </c>
      <c r="Q188">
        <v>1</v>
      </c>
    </row>
    <row r="189" spans="16:17" x14ac:dyDescent="0.3">
      <c r="P189" t="s">
        <v>1345</v>
      </c>
      <c r="Q189">
        <v>1</v>
      </c>
    </row>
    <row r="190" spans="16:17" x14ac:dyDescent="0.3">
      <c r="P190" t="s">
        <v>1797</v>
      </c>
      <c r="Q190">
        <v>1</v>
      </c>
    </row>
    <row r="191" spans="16:17" x14ac:dyDescent="0.3">
      <c r="P191" t="s">
        <v>1648</v>
      </c>
      <c r="Q191">
        <v>1</v>
      </c>
    </row>
    <row r="192" spans="16:17" x14ac:dyDescent="0.3">
      <c r="P192" t="s">
        <v>1601</v>
      </c>
      <c r="Q192">
        <v>1</v>
      </c>
    </row>
    <row r="193" spans="16:17" x14ac:dyDescent="0.3">
      <c r="P193" t="s">
        <v>1384</v>
      </c>
      <c r="Q193">
        <v>1</v>
      </c>
    </row>
    <row r="194" spans="16:17" x14ac:dyDescent="0.3">
      <c r="P194" t="s">
        <v>1841</v>
      </c>
      <c r="Q194">
        <v>1</v>
      </c>
    </row>
    <row r="195" spans="16:17" x14ac:dyDescent="0.3">
      <c r="P195" t="s">
        <v>1353</v>
      </c>
      <c r="Q195">
        <v>1</v>
      </c>
    </row>
    <row r="196" spans="16:17" x14ac:dyDescent="0.3">
      <c r="P196" t="s">
        <v>1597</v>
      </c>
      <c r="Q196">
        <v>1</v>
      </c>
    </row>
    <row r="197" spans="16:17" x14ac:dyDescent="0.3">
      <c r="P197" t="s">
        <v>1317</v>
      </c>
      <c r="Q197">
        <v>1</v>
      </c>
    </row>
    <row r="198" spans="16:17" x14ac:dyDescent="0.3">
      <c r="P198" t="s">
        <v>1329</v>
      </c>
      <c r="Q198">
        <v>1</v>
      </c>
    </row>
    <row r="199" spans="16:17" x14ac:dyDescent="0.3">
      <c r="P199" t="s">
        <v>1776</v>
      </c>
      <c r="Q199">
        <v>1</v>
      </c>
    </row>
    <row r="200" spans="16:17" x14ac:dyDescent="0.3">
      <c r="P200" t="s">
        <v>1652</v>
      </c>
      <c r="Q200">
        <v>1</v>
      </c>
    </row>
    <row r="201" spans="16:17" x14ac:dyDescent="0.3">
      <c r="P201" t="s">
        <v>1850</v>
      </c>
      <c r="Q201">
        <v>1</v>
      </c>
    </row>
    <row r="202" spans="16:17" x14ac:dyDescent="0.3">
      <c r="P202" t="s">
        <v>1485</v>
      </c>
      <c r="Q202">
        <v>1</v>
      </c>
    </row>
    <row r="203" spans="16:17" x14ac:dyDescent="0.3">
      <c r="P203" t="s">
        <v>1260</v>
      </c>
      <c r="Q203">
        <v>1</v>
      </c>
    </row>
    <row r="204" spans="16:17" x14ac:dyDescent="0.3">
      <c r="P204" t="s">
        <v>1624</v>
      </c>
      <c r="Q204">
        <v>1</v>
      </c>
    </row>
    <row r="205" spans="16:17" x14ac:dyDescent="0.3">
      <c r="P205" t="s">
        <v>1807</v>
      </c>
      <c r="Q205">
        <v>1</v>
      </c>
    </row>
    <row r="206" spans="16:17" x14ac:dyDescent="0.3">
      <c r="P206" t="s">
        <v>1582</v>
      </c>
      <c r="Q206">
        <v>1</v>
      </c>
    </row>
    <row r="207" spans="16:17" x14ac:dyDescent="0.3">
      <c r="P207" t="s">
        <v>1425</v>
      </c>
      <c r="Q207">
        <v>1</v>
      </c>
    </row>
    <row r="208" spans="16:17" x14ac:dyDescent="0.3">
      <c r="P208" t="s">
        <v>1418</v>
      </c>
      <c r="Q208">
        <v>1</v>
      </c>
    </row>
    <row r="209" spans="16:17" x14ac:dyDescent="0.3">
      <c r="P209" t="s">
        <v>1335</v>
      </c>
      <c r="Q209">
        <v>1</v>
      </c>
    </row>
    <row r="210" spans="16:17" x14ac:dyDescent="0.3">
      <c r="P210" t="s">
        <v>1824</v>
      </c>
      <c r="Q210">
        <v>1</v>
      </c>
    </row>
    <row r="211" spans="16:17" x14ac:dyDescent="0.3">
      <c r="P211" t="s">
        <v>1352</v>
      </c>
      <c r="Q211">
        <v>1</v>
      </c>
    </row>
    <row r="212" spans="16:17" x14ac:dyDescent="0.3">
      <c r="P212" t="s">
        <v>1665</v>
      </c>
      <c r="Q212">
        <v>1</v>
      </c>
    </row>
    <row r="213" spans="16:17" x14ac:dyDescent="0.3">
      <c r="P213" t="s">
        <v>1454</v>
      </c>
      <c r="Q213">
        <v>1</v>
      </c>
    </row>
    <row r="214" spans="16:17" x14ac:dyDescent="0.3">
      <c r="P214" t="s">
        <v>1843</v>
      </c>
      <c r="Q214">
        <v>1</v>
      </c>
    </row>
    <row r="215" spans="16:17" x14ac:dyDescent="0.3">
      <c r="P215" t="s">
        <v>1752</v>
      </c>
      <c r="Q215">
        <v>1</v>
      </c>
    </row>
    <row r="216" spans="16:17" x14ac:dyDescent="0.3">
      <c r="P216" t="s">
        <v>1660</v>
      </c>
      <c r="Q216">
        <v>1</v>
      </c>
    </row>
    <row r="217" spans="16:17" x14ac:dyDescent="0.3">
      <c r="P217" t="s">
        <v>1723</v>
      </c>
      <c r="Q217">
        <v>1</v>
      </c>
    </row>
    <row r="218" spans="16:17" x14ac:dyDescent="0.3">
      <c r="P218" t="s">
        <v>1433</v>
      </c>
      <c r="Q218">
        <v>1</v>
      </c>
    </row>
    <row r="219" spans="16:17" x14ac:dyDescent="0.3">
      <c r="P219" t="s">
        <v>1704</v>
      </c>
      <c r="Q219">
        <v>1</v>
      </c>
    </row>
    <row r="220" spans="16:17" x14ac:dyDescent="0.3">
      <c r="P220" t="s">
        <v>1372</v>
      </c>
      <c r="Q220">
        <v>1</v>
      </c>
    </row>
    <row r="221" spans="16:17" x14ac:dyDescent="0.3">
      <c r="P221" t="s">
        <v>1725</v>
      </c>
      <c r="Q221">
        <v>1</v>
      </c>
    </row>
    <row r="222" spans="16:17" x14ac:dyDescent="0.3">
      <c r="P222" t="s">
        <v>1661</v>
      </c>
      <c r="Q222">
        <v>1</v>
      </c>
    </row>
    <row r="223" spans="16:17" x14ac:dyDescent="0.3">
      <c r="P223" t="s">
        <v>1754</v>
      </c>
      <c r="Q223">
        <v>1</v>
      </c>
    </row>
    <row r="224" spans="16:17" x14ac:dyDescent="0.3">
      <c r="P224" t="s">
        <v>1875</v>
      </c>
      <c r="Q224">
        <v>408</v>
      </c>
    </row>
    <row r="1225" spans="11:12" x14ac:dyDescent="0.3">
      <c r="K1225" s="8"/>
      <c r="L1225" s="9"/>
    </row>
  </sheetData>
  <mergeCells count="12">
    <mergeCell ref="B68:D68"/>
    <mergeCell ref="L26:M26"/>
    <mergeCell ref="I26:J26"/>
    <mergeCell ref="F29:G29"/>
    <mergeCell ref="B41:D41"/>
    <mergeCell ref="P3:R3"/>
    <mergeCell ref="B24:D24"/>
    <mergeCell ref="B29:D29"/>
    <mergeCell ref="B3:D3"/>
    <mergeCell ref="I3:M3"/>
    <mergeCell ref="B14:D14"/>
    <mergeCell ref="I14:K14"/>
  </mergeCell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A3F1-EEA0-4A97-B6FC-EA9A909AF395}">
  <dimension ref="A1"/>
  <sheetViews>
    <sheetView tabSelected="1" zoomScale="55" zoomScaleNormal="55" workbookViewId="0">
      <selection activeCell="AC10" sqref="AC10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2B1A6-801A-476B-B7D4-84F64D9223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KNICKS_DATASET</vt:lpstr>
      <vt:lpstr>KNICKS_TABLA_BRUTO</vt:lpstr>
      <vt:lpstr>KNICKS_TABLA_LIMPIA_20_to_24</vt:lpstr>
      <vt:lpstr>EVOLUCIÓN_FRANQUICIA</vt:lpstr>
      <vt:lpstr>TABLAS_DINÁMICAS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Sánchez Toledo</cp:lastModifiedBy>
  <dcterms:created xsi:type="dcterms:W3CDTF">2026-06-09T12:34:16Z</dcterms:created>
  <dcterms:modified xsi:type="dcterms:W3CDTF">2026-06-24T10:48:37Z</dcterms:modified>
</cp:coreProperties>
</file>